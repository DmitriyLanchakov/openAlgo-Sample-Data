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</sheets>
  <functionGroups builtInGroupCount="18"/>
  <definedNames>
    <definedName name="KC_5yr_Daily" localSheetId="0">Sheet1!$A$1:$F$1511</definedName>
  </definedNames>
  <calcPr calcId="152511"/>
</workbook>
</file>

<file path=xl/calcChain.xml><?xml version="1.0" encoding="utf-8"?>
<calcChain xmlns="http://schemas.openxmlformats.org/spreadsheetml/2006/main">
  <c r="R12" i="2" l="1"/>
  <c r="S14" i="2" l="1"/>
  <c r="S15" i="2" s="1"/>
  <c r="L3" i="2"/>
  <c r="L4" i="2"/>
  <c r="L5" i="2"/>
  <c r="L6" i="2"/>
  <c r="L7" i="2"/>
  <c r="L8" i="2"/>
  <c r="L9" i="2"/>
  <c r="L10" i="2"/>
  <c r="L2" i="2"/>
  <c r="V71" i="2" l="1"/>
  <c r="U71" i="2"/>
  <c r="S16" i="2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R4" i="2"/>
  <c r="R5" i="2"/>
  <c r="R6" i="2"/>
  <c r="R7" i="2"/>
  <c r="R8" i="2"/>
  <c r="R9" i="2"/>
  <c r="R10" i="2"/>
  <c r="R11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U9" i="2" s="1"/>
  <c r="R3" i="2"/>
  <c r="U1" i="2" l="1"/>
  <c r="N3" i="2" l="1"/>
  <c r="A509" i="2" l="1"/>
  <c r="B509" i="2"/>
  <c r="C509" i="2"/>
  <c r="D509" i="2"/>
  <c r="E509" i="2"/>
  <c r="F509" i="2"/>
  <c r="A510" i="2"/>
  <c r="B510" i="2"/>
  <c r="C510" i="2"/>
  <c r="D510" i="2"/>
  <c r="E510" i="2"/>
  <c r="F510" i="2"/>
  <c r="A511" i="2"/>
  <c r="B511" i="2"/>
  <c r="C511" i="2"/>
  <c r="D511" i="2"/>
  <c r="E511" i="2"/>
  <c r="F511" i="2"/>
  <c r="O511" i="2" s="1"/>
  <c r="A512" i="2"/>
  <c r="B512" i="2"/>
  <c r="C512" i="2"/>
  <c r="D512" i="2"/>
  <c r="E512" i="2"/>
  <c r="F512" i="2"/>
  <c r="O512" i="2" s="1"/>
  <c r="A513" i="2"/>
  <c r="B513" i="2"/>
  <c r="C513" i="2"/>
  <c r="D513" i="2"/>
  <c r="E513" i="2"/>
  <c r="F513" i="2"/>
  <c r="A514" i="2"/>
  <c r="B514" i="2"/>
  <c r="C514" i="2"/>
  <c r="D514" i="2"/>
  <c r="E514" i="2"/>
  <c r="F514" i="2"/>
  <c r="A515" i="2"/>
  <c r="B515" i="2"/>
  <c r="C515" i="2"/>
  <c r="D515" i="2"/>
  <c r="E515" i="2"/>
  <c r="F515" i="2"/>
  <c r="O515" i="2" s="1"/>
  <c r="A516" i="2"/>
  <c r="B516" i="2"/>
  <c r="C516" i="2"/>
  <c r="D516" i="2"/>
  <c r="E516" i="2"/>
  <c r="F516" i="2"/>
  <c r="O516" i="2" s="1"/>
  <c r="A517" i="2"/>
  <c r="B517" i="2"/>
  <c r="C517" i="2"/>
  <c r="D517" i="2"/>
  <c r="E517" i="2"/>
  <c r="F517" i="2"/>
  <c r="A518" i="2"/>
  <c r="B518" i="2"/>
  <c r="C518" i="2"/>
  <c r="D518" i="2"/>
  <c r="E518" i="2"/>
  <c r="F518" i="2"/>
  <c r="O518" i="2" s="1"/>
  <c r="A519" i="2"/>
  <c r="B519" i="2"/>
  <c r="C519" i="2"/>
  <c r="D519" i="2"/>
  <c r="E519" i="2"/>
  <c r="F519" i="2"/>
  <c r="O519" i="2" s="1"/>
  <c r="A520" i="2"/>
  <c r="B520" i="2"/>
  <c r="C520" i="2"/>
  <c r="D520" i="2"/>
  <c r="E520" i="2"/>
  <c r="F520" i="2"/>
  <c r="O520" i="2" s="1"/>
  <c r="A521" i="2"/>
  <c r="B521" i="2"/>
  <c r="C521" i="2"/>
  <c r="D521" i="2"/>
  <c r="E521" i="2"/>
  <c r="F521" i="2"/>
  <c r="A522" i="2"/>
  <c r="B522" i="2"/>
  <c r="C522" i="2"/>
  <c r="D522" i="2"/>
  <c r="E522" i="2"/>
  <c r="F522" i="2"/>
  <c r="O522" i="2" s="1"/>
  <c r="A523" i="2"/>
  <c r="B523" i="2"/>
  <c r="C523" i="2"/>
  <c r="D523" i="2"/>
  <c r="E523" i="2"/>
  <c r="F523" i="2"/>
  <c r="O523" i="2" s="1"/>
  <c r="A524" i="2"/>
  <c r="B524" i="2"/>
  <c r="C524" i="2"/>
  <c r="D524" i="2"/>
  <c r="E524" i="2"/>
  <c r="F524" i="2"/>
  <c r="O524" i="2" s="1"/>
  <c r="A525" i="2"/>
  <c r="B525" i="2"/>
  <c r="C525" i="2"/>
  <c r="D525" i="2"/>
  <c r="E525" i="2"/>
  <c r="F525" i="2"/>
  <c r="A526" i="2"/>
  <c r="B526" i="2"/>
  <c r="C526" i="2"/>
  <c r="D526" i="2"/>
  <c r="E526" i="2"/>
  <c r="F526" i="2"/>
  <c r="O526" i="2" s="1"/>
  <c r="A527" i="2"/>
  <c r="B527" i="2"/>
  <c r="C527" i="2"/>
  <c r="D527" i="2"/>
  <c r="E527" i="2"/>
  <c r="F527" i="2"/>
  <c r="O527" i="2" s="1"/>
  <c r="A528" i="2"/>
  <c r="B528" i="2"/>
  <c r="C528" i="2"/>
  <c r="D528" i="2"/>
  <c r="E528" i="2"/>
  <c r="F528" i="2"/>
  <c r="O528" i="2" s="1"/>
  <c r="A529" i="2"/>
  <c r="B529" i="2"/>
  <c r="C529" i="2"/>
  <c r="D529" i="2"/>
  <c r="E529" i="2"/>
  <c r="F529" i="2"/>
  <c r="A530" i="2"/>
  <c r="B530" i="2"/>
  <c r="C530" i="2"/>
  <c r="D530" i="2"/>
  <c r="E530" i="2"/>
  <c r="F530" i="2"/>
  <c r="O530" i="2" s="1"/>
  <c r="A531" i="2"/>
  <c r="B531" i="2"/>
  <c r="C531" i="2"/>
  <c r="D531" i="2"/>
  <c r="E531" i="2"/>
  <c r="F531" i="2"/>
  <c r="O531" i="2" s="1"/>
  <c r="A532" i="2"/>
  <c r="B532" i="2"/>
  <c r="C532" i="2"/>
  <c r="D532" i="2"/>
  <c r="E532" i="2"/>
  <c r="F532" i="2"/>
  <c r="O532" i="2" s="1"/>
  <c r="A533" i="2"/>
  <c r="B533" i="2"/>
  <c r="C533" i="2"/>
  <c r="D533" i="2"/>
  <c r="E533" i="2"/>
  <c r="F533" i="2"/>
  <c r="A534" i="2"/>
  <c r="B534" i="2"/>
  <c r="C534" i="2"/>
  <c r="D534" i="2"/>
  <c r="E534" i="2"/>
  <c r="F534" i="2"/>
  <c r="O534" i="2" s="1"/>
  <c r="A535" i="2"/>
  <c r="B535" i="2"/>
  <c r="C535" i="2"/>
  <c r="D535" i="2"/>
  <c r="E535" i="2"/>
  <c r="F535" i="2"/>
  <c r="O535" i="2" s="1"/>
  <c r="A536" i="2"/>
  <c r="B536" i="2"/>
  <c r="C536" i="2"/>
  <c r="D536" i="2"/>
  <c r="E536" i="2"/>
  <c r="F536" i="2"/>
  <c r="O536" i="2" s="1"/>
  <c r="A537" i="2"/>
  <c r="B537" i="2"/>
  <c r="C537" i="2"/>
  <c r="D537" i="2"/>
  <c r="E537" i="2"/>
  <c r="F537" i="2"/>
  <c r="A538" i="2"/>
  <c r="B538" i="2"/>
  <c r="C538" i="2"/>
  <c r="D538" i="2"/>
  <c r="E538" i="2"/>
  <c r="F538" i="2"/>
  <c r="O538" i="2" s="1"/>
  <c r="A539" i="2"/>
  <c r="B539" i="2"/>
  <c r="C539" i="2"/>
  <c r="D539" i="2"/>
  <c r="E539" i="2"/>
  <c r="F539" i="2"/>
  <c r="O539" i="2" s="1"/>
  <c r="A540" i="2"/>
  <c r="B540" i="2"/>
  <c r="C540" i="2"/>
  <c r="D540" i="2"/>
  <c r="E540" i="2"/>
  <c r="F540" i="2"/>
  <c r="O540" i="2" s="1"/>
  <c r="A541" i="2"/>
  <c r="B541" i="2"/>
  <c r="C541" i="2"/>
  <c r="D541" i="2"/>
  <c r="E541" i="2"/>
  <c r="F541" i="2"/>
  <c r="A542" i="2"/>
  <c r="B542" i="2"/>
  <c r="C542" i="2"/>
  <c r="D542" i="2"/>
  <c r="E542" i="2"/>
  <c r="F542" i="2"/>
  <c r="O542" i="2" s="1"/>
  <c r="A543" i="2"/>
  <c r="B543" i="2"/>
  <c r="C543" i="2"/>
  <c r="D543" i="2"/>
  <c r="E543" i="2"/>
  <c r="F543" i="2"/>
  <c r="O543" i="2" s="1"/>
  <c r="A544" i="2"/>
  <c r="B544" i="2"/>
  <c r="C544" i="2"/>
  <c r="D544" i="2"/>
  <c r="E544" i="2"/>
  <c r="F544" i="2"/>
  <c r="O544" i="2" s="1"/>
  <c r="A545" i="2"/>
  <c r="B545" i="2"/>
  <c r="C545" i="2"/>
  <c r="D545" i="2"/>
  <c r="E545" i="2"/>
  <c r="F545" i="2"/>
  <c r="A546" i="2"/>
  <c r="B546" i="2"/>
  <c r="C546" i="2"/>
  <c r="D546" i="2"/>
  <c r="E546" i="2"/>
  <c r="F546" i="2"/>
  <c r="O546" i="2" s="1"/>
  <c r="A547" i="2"/>
  <c r="B547" i="2"/>
  <c r="C547" i="2"/>
  <c r="D547" i="2"/>
  <c r="E547" i="2"/>
  <c r="F547" i="2"/>
  <c r="O547" i="2" s="1"/>
  <c r="A548" i="2"/>
  <c r="B548" i="2"/>
  <c r="C548" i="2"/>
  <c r="D548" i="2"/>
  <c r="E548" i="2"/>
  <c r="F548" i="2"/>
  <c r="O548" i="2" s="1"/>
  <c r="A549" i="2"/>
  <c r="B549" i="2"/>
  <c r="C549" i="2"/>
  <c r="D549" i="2"/>
  <c r="E549" i="2"/>
  <c r="F549" i="2"/>
  <c r="A550" i="2"/>
  <c r="B550" i="2"/>
  <c r="C550" i="2"/>
  <c r="D550" i="2"/>
  <c r="E550" i="2"/>
  <c r="F550" i="2"/>
  <c r="O550" i="2" s="1"/>
  <c r="A551" i="2"/>
  <c r="B551" i="2"/>
  <c r="C551" i="2"/>
  <c r="D551" i="2"/>
  <c r="E551" i="2"/>
  <c r="F551" i="2"/>
  <c r="O551" i="2" s="1"/>
  <c r="A552" i="2"/>
  <c r="B552" i="2"/>
  <c r="C552" i="2"/>
  <c r="D552" i="2"/>
  <c r="E552" i="2"/>
  <c r="F552" i="2"/>
  <c r="O552" i="2" s="1"/>
  <c r="A553" i="2"/>
  <c r="B553" i="2"/>
  <c r="C553" i="2"/>
  <c r="D553" i="2"/>
  <c r="E553" i="2"/>
  <c r="F553" i="2"/>
  <c r="A554" i="2"/>
  <c r="B554" i="2"/>
  <c r="C554" i="2"/>
  <c r="D554" i="2"/>
  <c r="E554" i="2"/>
  <c r="F554" i="2"/>
  <c r="O554" i="2" s="1"/>
  <c r="A555" i="2"/>
  <c r="B555" i="2"/>
  <c r="C555" i="2"/>
  <c r="D555" i="2"/>
  <c r="E555" i="2"/>
  <c r="F555" i="2"/>
  <c r="O555" i="2" s="1"/>
  <c r="A556" i="2"/>
  <c r="B556" i="2"/>
  <c r="C556" i="2"/>
  <c r="D556" i="2"/>
  <c r="E556" i="2"/>
  <c r="F556" i="2"/>
  <c r="O556" i="2" s="1"/>
  <c r="A557" i="2"/>
  <c r="B557" i="2"/>
  <c r="C557" i="2"/>
  <c r="D557" i="2"/>
  <c r="E557" i="2"/>
  <c r="F557" i="2"/>
  <c r="A558" i="2"/>
  <c r="B558" i="2"/>
  <c r="C558" i="2"/>
  <c r="D558" i="2"/>
  <c r="E558" i="2"/>
  <c r="F558" i="2"/>
  <c r="O558" i="2" s="1"/>
  <c r="A559" i="2"/>
  <c r="B559" i="2"/>
  <c r="C559" i="2"/>
  <c r="D559" i="2"/>
  <c r="E559" i="2"/>
  <c r="F559" i="2"/>
  <c r="O559" i="2" s="1"/>
  <c r="A560" i="2"/>
  <c r="B560" i="2"/>
  <c r="C560" i="2"/>
  <c r="D560" i="2"/>
  <c r="E560" i="2"/>
  <c r="F560" i="2"/>
  <c r="O560" i="2" s="1"/>
  <c r="A561" i="2"/>
  <c r="B561" i="2"/>
  <c r="C561" i="2"/>
  <c r="D561" i="2"/>
  <c r="E561" i="2"/>
  <c r="F561" i="2"/>
  <c r="A562" i="2"/>
  <c r="B562" i="2"/>
  <c r="C562" i="2"/>
  <c r="D562" i="2"/>
  <c r="E562" i="2"/>
  <c r="F562" i="2"/>
  <c r="O562" i="2" s="1"/>
  <c r="A563" i="2"/>
  <c r="B563" i="2"/>
  <c r="C563" i="2"/>
  <c r="D563" i="2"/>
  <c r="E563" i="2"/>
  <c r="F563" i="2"/>
  <c r="O563" i="2" s="1"/>
  <c r="A564" i="2"/>
  <c r="B564" i="2"/>
  <c r="C564" i="2"/>
  <c r="D564" i="2"/>
  <c r="E564" i="2"/>
  <c r="F564" i="2"/>
  <c r="O564" i="2" s="1"/>
  <c r="A565" i="2"/>
  <c r="B565" i="2"/>
  <c r="C565" i="2"/>
  <c r="D565" i="2"/>
  <c r="E565" i="2"/>
  <c r="F565" i="2"/>
  <c r="A566" i="2"/>
  <c r="B566" i="2"/>
  <c r="C566" i="2"/>
  <c r="D566" i="2"/>
  <c r="E566" i="2"/>
  <c r="F566" i="2"/>
  <c r="O566" i="2" s="1"/>
  <c r="A567" i="2"/>
  <c r="B567" i="2"/>
  <c r="C567" i="2"/>
  <c r="D567" i="2"/>
  <c r="E567" i="2"/>
  <c r="F567" i="2"/>
  <c r="O567" i="2" s="1"/>
  <c r="A568" i="2"/>
  <c r="B568" i="2"/>
  <c r="C568" i="2"/>
  <c r="D568" i="2"/>
  <c r="E568" i="2"/>
  <c r="F568" i="2"/>
  <c r="O568" i="2" s="1"/>
  <c r="A569" i="2"/>
  <c r="B569" i="2"/>
  <c r="C569" i="2"/>
  <c r="D569" i="2"/>
  <c r="E569" i="2"/>
  <c r="F569" i="2"/>
  <c r="A570" i="2"/>
  <c r="B570" i="2"/>
  <c r="C570" i="2"/>
  <c r="D570" i="2"/>
  <c r="E570" i="2"/>
  <c r="F570" i="2"/>
  <c r="O570" i="2" s="1"/>
  <c r="A571" i="2"/>
  <c r="B571" i="2"/>
  <c r="C571" i="2"/>
  <c r="D571" i="2"/>
  <c r="E571" i="2"/>
  <c r="F571" i="2"/>
  <c r="O571" i="2" s="1"/>
  <c r="A572" i="2"/>
  <c r="B572" i="2"/>
  <c r="C572" i="2"/>
  <c r="D572" i="2"/>
  <c r="E572" i="2"/>
  <c r="F572" i="2"/>
  <c r="O572" i="2" s="1"/>
  <c r="A573" i="2"/>
  <c r="B573" i="2"/>
  <c r="C573" i="2"/>
  <c r="D573" i="2"/>
  <c r="E573" i="2"/>
  <c r="F573" i="2"/>
  <c r="A574" i="2"/>
  <c r="B574" i="2"/>
  <c r="C574" i="2"/>
  <c r="D574" i="2"/>
  <c r="E574" i="2"/>
  <c r="F574" i="2"/>
  <c r="A575" i="2"/>
  <c r="B575" i="2"/>
  <c r="C575" i="2"/>
  <c r="D575" i="2"/>
  <c r="E575" i="2"/>
  <c r="F575" i="2"/>
  <c r="O575" i="2" s="1"/>
  <c r="A576" i="2"/>
  <c r="B576" i="2"/>
  <c r="C576" i="2"/>
  <c r="D576" i="2"/>
  <c r="E576" i="2"/>
  <c r="F576" i="2"/>
  <c r="O576" i="2" s="1"/>
  <c r="A577" i="2"/>
  <c r="B577" i="2"/>
  <c r="C577" i="2"/>
  <c r="D577" i="2"/>
  <c r="E577" i="2"/>
  <c r="F577" i="2"/>
  <c r="A578" i="2"/>
  <c r="B578" i="2"/>
  <c r="C578" i="2"/>
  <c r="D578" i="2"/>
  <c r="E578" i="2"/>
  <c r="F578" i="2"/>
  <c r="A579" i="2"/>
  <c r="B579" i="2"/>
  <c r="C579" i="2"/>
  <c r="D579" i="2"/>
  <c r="E579" i="2"/>
  <c r="F579" i="2"/>
  <c r="O579" i="2" s="1"/>
  <c r="A580" i="2"/>
  <c r="B580" i="2"/>
  <c r="C580" i="2"/>
  <c r="D580" i="2"/>
  <c r="E580" i="2"/>
  <c r="F580" i="2"/>
  <c r="O580" i="2" s="1"/>
  <c r="A581" i="2"/>
  <c r="B581" i="2"/>
  <c r="C581" i="2"/>
  <c r="D581" i="2"/>
  <c r="E581" i="2"/>
  <c r="F581" i="2"/>
  <c r="A582" i="2"/>
  <c r="B582" i="2"/>
  <c r="C582" i="2"/>
  <c r="D582" i="2"/>
  <c r="E582" i="2"/>
  <c r="F582" i="2"/>
  <c r="A583" i="2"/>
  <c r="B583" i="2"/>
  <c r="C583" i="2"/>
  <c r="D583" i="2"/>
  <c r="E583" i="2"/>
  <c r="F583" i="2"/>
  <c r="O583" i="2" s="1"/>
  <c r="A584" i="2"/>
  <c r="B584" i="2"/>
  <c r="C584" i="2"/>
  <c r="D584" i="2"/>
  <c r="E584" i="2"/>
  <c r="F584" i="2"/>
  <c r="O584" i="2" s="1"/>
  <c r="A585" i="2"/>
  <c r="B585" i="2"/>
  <c r="C585" i="2"/>
  <c r="D585" i="2"/>
  <c r="E585" i="2"/>
  <c r="F585" i="2"/>
  <c r="A586" i="2"/>
  <c r="B586" i="2"/>
  <c r="C586" i="2"/>
  <c r="D586" i="2"/>
  <c r="E586" i="2"/>
  <c r="F586" i="2"/>
  <c r="A587" i="2"/>
  <c r="B587" i="2"/>
  <c r="C587" i="2"/>
  <c r="D587" i="2"/>
  <c r="E587" i="2"/>
  <c r="F587" i="2"/>
  <c r="O587" i="2" s="1"/>
  <c r="A588" i="2"/>
  <c r="B588" i="2"/>
  <c r="C588" i="2"/>
  <c r="D588" i="2"/>
  <c r="E588" i="2"/>
  <c r="F588" i="2"/>
  <c r="O588" i="2" s="1"/>
  <c r="A589" i="2"/>
  <c r="B589" i="2"/>
  <c r="C589" i="2"/>
  <c r="D589" i="2"/>
  <c r="E589" i="2"/>
  <c r="F589" i="2"/>
  <c r="A590" i="2"/>
  <c r="B590" i="2"/>
  <c r="C590" i="2"/>
  <c r="D590" i="2"/>
  <c r="E590" i="2"/>
  <c r="F590" i="2"/>
  <c r="A591" i="2"/>
  <c r="B591" i="2"/>
  <c r="C591" i="2"/>
  <c r="D591" i="2"/>
  <c r="E591" i="2"/>
  <c r="F591" i="2"/>
  <c r="O591" i="2" s="1"/>
  <c r="A592" i="2"/>
  <c r="B592" i="2"/>
  <c r="C592" i="2"/>
  <c r="D592" i="2"/>
  <c r="E592" i="2"/>
  <c r="F592" i="2"/>
  <c r="O592" i="2" s="1"/>
  <c r="A593" i="2"/>
  <c r="B593" i="2"/>
  <c r="C593" i="2"/>
  <c r="D593" i="2"/>
  <c r="E593" i="2"/>
  <c r="F593" i="2"/>
  <c r="A594" i="2"/>
  <c r="B594" i="2"/>
  <c r="C594" i="2"/>
  <c r="D594" i="2"/>
  <c r="E594" i="2"/>
  <c r="F594" i="2"/>
  <c r="A595" i="2"/>
  <c r="B595" i="2"/>
  <c r="C595" i="2"/>
  <c r="D595" i="2"/>
  <c r="E595" i="2"/>
  <c r="F595" i="2"/>
  <c r="O595" i="2" s="1"/>
  <c r="A596" i="2"/>
  <c r="B596" i="2"/>
  <c r="C596" i="2"/>
  <c r="D596" i="2"/>
  <c r="E596" i="2"/>
  <c r="F596" i="2"/>
  <c r="O596" i="2" s="1"/>
  <c r="A597" i="2"/>
  <c r="B597" i="2"/>
  <c r="C597" i="2"/>
  <c r="D597" i="2"/>
  <c r="E597" i="2"/>
  <c r="F597" i="2"/>
  <c r="A598" i="2"/>
  <c r="B598" i="2"/>
  <c r="C598" i="2"/>
  <c r="D598" i="2"/>
  <c r="E598" i="2"/>
  <c r="F598" i="2"/>
  <c r="A599" i="2"/>
  <c r="B599" i="2"/>
  <c r="C599" i="2"/>
  <c r="D599" i="2"/>
  <c r="E599" i="2"/>
  <c r="F599" i="2"/>
  <c r="O599" i="2" s="1"/>
  <c r="A600" i="2"/>
  <c r="B600" i="2"/>
  <c r="C600" i="2"/>
  <c r="D600" i="2"/>
  <c r="E600" i="2"/>
  <c r="F600" i="2"/>
  <c r="O600" i="2" s="1"/>
  <c r="A601" i="2"/>
  <c r="B601" i="2"/>
  <c r="C601" i="2"/>
  <c r="D601" i="2"/>
  <c r="E601" i="2"/>
  <c r="F601" i="2"/>
  <c r="A602" i="2"/>
  <c r="B602" i="2"/>
  <c r="C602" i="2"/>
  <c r="D602" i="2"/>
  <c r="E602" i="2"/>
  <c r="F602" i="2"/>
  <c r="A603" i="2"/>
  <c r="B603" i="2"/>
  <c r="C603" i="2"/>
  <c r="D603" i="2"/>
  <c r="E603" i="2"/>
  <c r="F603" i="2"/>
  <c r="O603" i="2" s="1"/>
  <c r="A604" i="2"/>
  <c r="B604" i="2"/>
  <c r="C604" i="2"/>
  <c r="D604" i="2"/>
  <c r="E604" i="2"/>
  <c r="F604" i="2"/>
  <c r="O604" i="2" s="1"/>
  <c r="A605" i="2"/>
  <c r="B605" i="2"/>
  <c r="C605" i="2"/>
  <c r="D605" i="2"/>
  <c r="E605" i="2"/>
  <c r="F605" i="2"/>
  <c r="A606" i="2"/>
  <c r="B606" i="2"/>
  <c r="C606" i="2"/>
  <c r="D606" i="2"/>
  <c r="E606" i="2"/>
  <c r="F606" i="2"/>
  <c r="A607" i="2"/>
  <c r="B607" i="2"/>
  <c r="C607" i="2"/>
  <c r="D607" i="2"/>
  <c r="E607" i="2"/>
  <c r="F607" i="2"/>
  <c r="O607" i="2" s="1"/>
  <c r="A608" i="2"/>
  <c r="B608" i="2"/>
  <c r="C608" i="2"/>
  <c r="D608" i="2"/>
  <c r="E608" i="2"/>
  <c r="F608" i="2"/>
  <c r="O608" i="2" s="1"/>
  <c r="A609" i="2"/>
  <c r="B609" i="2"/>
  <c r="C609" i="2"/>
  <c r="D609" i="2"/>
  <c r="E609" i="2"/>
  <c r="F609" i="2"/>
  <c r="A610" i="2"/>
  <c r="B610" i="2"/>
  <c r="C610" i="2"/>
  <c r="D610" i="2"/>
  <c r="E610" i="2"/>
  <c r="F610" i="2"/>
  <c r="A611" i="2"/>
  <c r="B611" i="2"/>
  <c r="C611" i="2"/>
  <c r="D611" i="2"/>
  <c r="E611" i="2"/>
  <c r="F611" i="2"/>
  <c r="O611" i="2" s="1"/>
  <c r="A612" i="2"/>
  <c r="B612" i="2"/>
  <c r="C612" i="2"/>
  <c r="D612" i="2"/>
  <c r="E612" i="2"/>
  <c r="F612" i="2"/>
  <c r="O612" i="2" s="1"/>
  <c r="A613" i="2"/>
  <c r="B613" i="2"/>
  <c r="C613" i="2"/>
  <c r="D613" i="2"/>
  <c r="E613" i="2"/>
  <c r="F613" i="2"/>
  <c r="A614" i="2"/>
  <c r="B614" i="2"/>
  <c r="C614" i="2"/>
  <c r="D614" i="2"/>
  <c r="E614" i="2"/>
  <c r="F614" i="2"/>
  <c r="A615" i="2"/>
  <c r="B615" i="2"/>
  <c r="C615" i="2"/>
  <c r="D615" i="2"/>
  <c r="E615" i="2"/>
  <c r="F615" i="2"/>
  <c r="O615" i="2" s="1"/>
  <c r="A616" i="2"/>
  <c r="B616" i="2"/>
  <c r="C616" i="2"/>
  <c r="D616" i="2"/>
  <c r="E616" i="2"/>
  <c r="F616" i="2"/>
  <c r="O616" i="2" s="1"/>
  <c r="A617" i="2"/>
  <c r="B617" i="2"/>
  <c r="C617" i="2"/>
  <c r="D617" i="2"/>
  <c r="E617" i="2"/>
  <c r="F617" i="2"/>
  <c r="A618" i="2"/>
  <c r="B618" i="2"/>
  <c r="C618" i="2"/>
  <c r="D618" i="2"/>
  <c r="E618" i="2"/>
  <c r="F618" i="2"/>
  <c r="A619" i="2"/>
  <c r="B619" i="2"/>
  <c r="C619" i="2"/>
  <c r="D619" i="2"/>
  <c r="E619" i="2"/>
  <c r="F619" i="2"/>
  <c r="O619" i="2" s="1"/>
  <c r="A620" i="2"/>
  <c r="B620" i="2"/>
  <c r="C620" i="2"/>
  <c r="D620" i="2"/>
  <c r="E620" i="2"/>
  <c r="F620" i="2"/>
  <c r="O620" i="2" s="1"/>
  <c r="A621" i="2"/>
  <c r="B621" i="2"/>
  <c r="C621" i="2"/>
  <c r="D621" i="2"/>
  <c r="E621" i="2"/>
  <c r="F621" i="2"/>
  <c r="A622" i="2"/>
  <c r="B622" i="2"/>
  <c r="C622" i="2"/>
  <c r="D622" i="2"/>
  <c r="E622" i="2"/>
  <c r="F622" i="2"/>
  <c r="A623" i="2"/>
  <c r="B623" i="2"/>
  <c r="C623" i="2"/>
  <c r="D623" i="2"/>
  <c r="E623" i="2"/>
  <c r="F623" i="2"/>
  <c r="O623" i="2" s="1"/>
  <c r="A624" i="2"/>
  <c r="B624" i="2"/>
  <c r="C624" i="2"/>
  <c r="D624" i="2"/>
  <c r="E624" i="2"/>
  <c r="F624" i="2"/>
  <c r="O624" i="2" s="1"/>
  <c r="A625" i="2"/>
  <c r="B625" i="2"/>
  <c r="C625" i="2"/>
  <c r="D625" i="2"/>
  <c r="E625" i="2"/>
  <c r="F625" i="2"/>
  <c r="A626" i="2"/>
  <c r="B626" i="2"/>
  <c r="C626" i="2"/>
  <c r="D626" i="2"/>
  <c r="E626" i="2"/>
  <c r="F626" i="2"/>
  <c r="A627" i="2"/>
  <c r="B627" i="2"/>
  <c r="C627" i="2"/>
  <c r="D627" i="2"/>
  <c r="E627" i="2"/>
  <c r="F627" i="2"/>
  <c r="O627" i="2" s="1"/>
  <c r="A628" i="2"/>
  <c r="B628" i="2"/>
  <c r="C628" i="2"/>
  <c r="D628" i="2"/>
  <c r="E628" i="2"/>
  <c r="F628" i="2"/>
  <c r="O628" i="2" s="1"/>
  <c r="A629" i="2"/>
  <c r="B629" i="2"/>
  <c r="C629" i="2"/>
  <c r="D629" i="2"/>
  <c r="E629" i="2"/>
  <c r="F629" i="2"/>
  <c r="A630" i="2"/>
  <c r="B630" i="2"/>
  <c r="C630" i="2"/>
  <c r="D630" i="2"/>
  <c r="E630" i="2"/>
  <c r="F630" i="2"/>
  <c r="A631" i="2"/>
  <c r="B631" i="2"/>
  <c r="C631" i="2"/>
  <c r="D631" i="2"/>
  <c r="E631" i="2"/>
  <c r="F631" i="2"/>
  <c r="O631" i="2" s="1"/>
  <c r="A632" i="2"/>
  <c r="B632" i="2"/>
  <c r="C632" i="2"/>
  <c r="D632" i="2"/>
  <c r="E632" i="2"/>
  <c r="F632" i="2"/>
  <c r="O632" i="2" s="1"/>
  <c r="A633" i="2"/>
  <c r="B633" i="2"/>
  <c r="C633" i="2"/>
  <c r="D633" i="2"/>
  <c r="E633" i="2"/>
  <c r="F633" i="2"/>
  <c r="A634" i="2"/>
  <c r="B634" i="2"/>
  <c r="C634" i="2"/>
  <c r="D634" i="2"/>
  <c r="E634" i="2"/>
  <c r="F634" i="2"/>
  <c r="A635" i="2"/>
  <c r="B635" i="2"/>
  <c r="C635" i="2"/>
  <c r="D635" i="2"/>
  <c r="E635" i="2"/>
  <c r="F635" i="2"/>
  <c r="O635" i="2" s="1"/>
  <c r="A636" i="2"/>
  <c r="B636" i="2"/>
  <c r="C636" i="2"/>
  <c r="D636" i="2"/>
  <c r="E636" i="2"/>
  <c r="F636" i="2"/>
  <c r="O636" i="2" s="1"/>
  <c r="A637" i="2"/>
  <c r="B637" i="2"/>
  <c r="C637" i="2"/>
  <c r="D637" i="2"/>
  <c r="E637" i="2"/>
  <c r="F637" i="2"/>
  <c r="A638" i="2"/>
  <c r="B638" i="2"/>
  <c r="C638" i="2"/>
  <c r="D638" i="2"/>
  <c r="E638" i="2"/>
  <c r="F638" i="2"/>
  <c r="A639" i="2"/>
  <c r="B639" i="2"/>
  <c r="C639" i="2"/>
  <c r="D639" i="2"/>
  <c r="E639" i="2"/>
  <c r="F639" i="2"/>
  <c r="O639" i="2" s="1"/>
  <c r="A640" i="2"/>
  <c r="B640" i="2"/>
  <c r="C640" i="2"/>
  <c r="D640" i="2"/>
  <c r="E640" i="2"/>
  <c r="F640" i="2"/>
  <c r="O640" i="2" s="1"/>
  <c r="A641" i="2"/>
  <c r="B641" i="2"/>
  <c r="C641" i="2"/>
  <c r="D641" i="2"/>
  <c r="E641" i="2"/>
  <c r="F641" i="2"/>
  <c r="A642" i="2"/>
  <c r="B642" i="2"/>
  <c r="C642" i="2"/>
  <c r="D642" i="2"/>
  <c r="E642" i="2"/>
  <c r="F642" i="2"/>
  <c r="A643" i="2"/>
  <c r="B643" i="2"/>
  <c r="C643" i="2"/>
  <c r="D643" i="2"/>
  <c r="E643" i="2"/>
  <c r="F643" i="2"/>
  <c r="O643" i="2" s="1"/>
  <c r="A644" i="2"/>
  <c r="B644" i="2"/>
  <c r="C644" i="2"/>
  <c r="D644" i="2"/>
  <c r="E644" i="2"/>
  <c r="F644" i="2"/>
  <c r="O644" i="2" s="1"/>
  <c r="A645" i="2"/>
  <c r="B645" i="2"/>
  <c r="C645" i="2"/>
  <c r="D645" i="2"/>
  <c r="E645" i="2"/>
  <c r="F645" i="2"/>
  <c r="A646" i="2"/>
  <c r="B646" i="2"/>
  <c r="C646" i="2"/>
  <c r="D646" i="2"/>
  <c r="E646" i="2"/>
  <c r="F646" i="2"/>
  <c r="A647" i="2"/>
  <c r="B647" i="2"/>
  <c r="C647" i="2"/>
  <c r="D647" i="2"/>
  <c r="E647" i="2"/>
  <c r="F647" i="2"/>
  <c r="O647" i="2" s="1"/>
  <c r="A648" i="2"/>
  <c r="B648" i="2"/>
  <c r="C648" i="2"/>
  <c r="D648" i="2"/>
  <c r="E648" i="2"/>
  <c r="F648" i="2"/>
  <c r="O648" i="2" s="1"/>
  <c r="A649" i="2"/>
  <c r="B649" i="2"/>
  <c r="C649" i="2"/>
  <c r="D649" i="2"/>
  <c r="E649" i="2"/>
  <c r="F649" i="2"/>
  <c r="A650" i="2"/>
  <c r="B650" i="2"/>
  <c r="C650" i="2"/>
  <c r="D650" i="2"/>
  <c r="E650" i="2"/>
  <c r="F650" i="2"/>
  <c r="A651" i="2"/>
  <c r="B651" i="2"/>
  <c r="C651" i="2"/>
  <c r="D651" i="2"/>
  <c r="E651" i="2"/>
  <c r="F651" i="2"/>
  <c r="O651" i="2" s="1"/>
  <c r="A652" i="2"/>
  <c r="B652" i="2"/>
  <c r="C652" i="2"/>
  <c r="D652" i="2"/>
  <c r="E652" i="2"/>
  <c r="F652" i="2"/>
  <c r="O652" i="2" s="1"/>
  <c r="A653" i="2"/>
  <c r="B653" i="2"/>
  <c r="C653" i="2"/>
  <c r="D653" i="2"/>
  <c r="E653" i="2"/>
  <c r="F653" i="2"/>
  <c r="A654" i="2"/>
  <c r="B654" i="2"/>
  <c r="C654" i="2"/>
  <c r="D654" i="2"/>
  <c r="E654" i="2"/>
  <c r="F654" i="2"/>
  <c r="A655" i="2"/>
  <c r="B655" i="2"/>
  <c r="C655" i="2"/>
  <c r="D655" i="2"/>
  <c r="E655" i="2"/>
  <c r="F655" i="2"/>
  <c r="O655" i="2" s="1"/>
  <c r="A656" i="2"/>
  <c r="B656" i="2"/>
  <c r="C656" i="2"/>
  <c r="D656" i="2"/>
  <c r="E656" i="2"/>
  <c r="F656" i="2"/>
  <c r="O656" i="2" s="1"/>
  <c r="A657" i="2"/>
  <c r="B657" i="2"/>
  <c r="C657" i="2"/>
  <c r="D657" i="2"/>
  <c r="E657" i="2"/>
  <c r="F657" i="2"/>
  <c r="A658" i="2"/>
  <c r="B658" i="2"/>
  <c r="C658" i="2"/>
  <c r="D658" i="2"/>
  <c r="E658" i="2"/>
  <c r="F658" i="2"/>
  <c r="A659" i="2"/>
  <c r="B659" i="2"/>
  <c r="C659" i="2"/>
  <c r="D659" i="2"/>
  <c r="E659" i="2"/>
  <c r="F659" i="2"/>
  <c r="O659" i="2" s="1"/>
  <c r="A660" i="2"/>
  <c r="B660" i="2"/>
  <c r="C660" i="2"/>
  <c r="D660" i="2"/>
  <c r="E660" i="2"/>
  <c r="F660" i="2"/>
  <c r="O660" i="2" s="1"/>
  <c r="A661" i="2"/>
  <c r="B661" i="2"/>
  <c r="C661" i="2"/>
  <c r="D661" i="2"/>
  <c r="E661" i="2"/>
  <c r="F661" i="2"/>
  <c r="A662" i="2"/>
  <c r="B662" i="2"/>
  <c r="C662" i="2"/>
  <c r="D662" i="2"/>
  <c r="E662" i="2"/>
  <c r="F662" i="2"/>
  <c r="A663" i="2"/>
  <c r="B663" i="2"/>
  <c r="C663" i="2"/>
  <c r="D663" i="2"/>
  <c r="E663" i="2"/>
  <c r="F663" i="2"/>
  <c r="O663" i="2" s="1"/>
  <c r="A664" i="2"/>
  <c r="B664" i="2"/>
  <c r="C664" i="2"/>
  <c r="D664" i="2"/>
  <c r="E664" i="2"/>
  <c r="F664" i="2"/>
  <c r="O664" i="2" s="1"/>
  <c r="A665" i="2"/>
  <c r="B665" i="2"/>
  <c r="C665" i="2"/>
  <c r="D665" i="2"/>
  <c r="E665" i="2"/>
  <c r="F665" i="2"/>
  <c r="A666" i="2"/>
  <c r="B666" i="2"/>
  <c r="C666" i="2"/>
  <c r="D666" i="2"/>
  <c r="E666" i="2"/>
  <c r="F666" i="2"/>
  <c r="A667" i="2"/>
  <c r="B667" i="2"/>
  <c r="C667" i="2"/>
  <c r="D667" i="2"/>
  <c r="E667" i="2"/>
  <c r="F667" i="2"/>
  <c r="O667" i="2" s="1"/>
  <c r="A668" i="2"/>
  <c r="B668" i="2"/>
  <c r="C668" i="2"/>
  <c r="D668" i="2"/>
  <c r="E668" i="2"/>
  <c r="F668" i="2"/>
  <c r="O668" i="2" s="1"/>
  <c r="A669" i="2"/>
  <c r="B669" i="2"/>
  <c r="C669" i="2"/>
  <c r="D669" i="2"/>
  <c r="E669" i="2"/>
  <c r="F669" i="2"/>
  <c r="A670" i="2"/>
  <c r="B670" i="2"/>
  <c r="C670" i="2"/>
  <c r="D670" i="2"/>
  <c r="E670" i="2"/>
  <c r="F670" i="2"/>
  <c r="A671" i="2"/>
  <c r="B671" i="2"/>
  <c r="C671" i="2"/>
  <c r="D671" i="2"/>
  <c r="E671" i="2"/>
  <c r="F671" i="2"/>
  <c r="O671" i="2" s="1"/>
  <c r="A672" i="2"/>
  <c r="B672" i="2"/>
  <c r="C672" i="2"/>
  <c r="D672" i="2"/>
  <c r="E672" i="2"/>
  <c r="F672" i="2"/>
  <c r="O672" i="2" s="1"/>
  <c r="A673" i="2"/>
  <c r="B673" i="2"/>
  <c r="C673" i="2"/>
  <c r="D673" i="2"/>
  <c r="E673" i="2"/>
  <c r="F673" i="2"/>
  <c r="A674" i="2"/>
  <c r="B674" i="2"/>
  <c r="C674" i="2"/>
  <c r="D674" i="2"/>
  <c r="E674" i="2"/>
  <c r="F674" i="2"/>
  <c r="A675" i="2"/>
  <c r="B675" i="2"/>
  <c r="C675" i="2"/>
  <c r="D675" i="2"/>
  <c r="E675" i="2"/>
  <c r="F675" i="2"/>
  <c r="O675" i="2" s="1"/>
  <c r="A676" i="2"/>
  <c r="B676" i="2"/>
  <c r="C676" i="2"/>
  <c r="D676" i="2"/>
  <c r="E676" i="2"/>
  <c r="F676" i="2"/>
  <c r="O676" i="2" s="1"/>
  <c r="A677" i="2"/>
  <c r="B677" i="2"/>
  <c r="C677" i="2"/>
  <c r="D677" i="2"/>
  <c r="E677" i="2"/>
  <c r="F677" i="2"/>
  <c r="A678" i="2"/>
  <c r="B678" i="2"/>
  <c r="C678" i="2"/>
  <c r="D678" i="2"/>
  <c r="E678" i="2"/>
  <c r="F678" i="2"/>
  <c r="A679" i="2"/>
  <c r="B679" i="2"/>
  <c r="C679" i="2"/>
  <c r="D679" i="2"/>
  <c r="E679" i="2"/>
  <c r="F679" i="2"/>
  <c r="O679" i="2" s="1"/>
  <c r="A680" i="2"/>
  <c r="B680" i="2"/>
  <c r="C680" i="2"/>
  <c r="D680" i="2"/>
  <c r="E680" i="2"/>
  <c r="F680" i="2"/>
  <c r="O680" i="2" s="1"/>
  <c r="A681" i="2"/>
  <c r="B681" i="2"/>
  <c r="C681" i="2"/>
  <c r="D681" i="2"/>
  <c r="E681" i="2"/>
  <c r="F681" i="2"/>
  <c r="A682" i="2"/>
  <c r="B682" i="2"/>
  <c r="C682" i="2"/>
  <c r="D682" i="2"/>
  <c r="E682" i="2"/>
  <c r="F682" i="2"/>
  <c r="A683" i="2"/>
  <c r="B683" i="2"/>
  <c r="C683" i="2"/>
  <c r="D683" i="2"/>
  <c r="E683" i="2"/>
  <c r="F683" i="2"/>
  <c r="O683" i="2" s="1"/>
  <c r="A684" i="2"/>
  <c r="B684" i="2"/>
  <c r="C684" i="2"/>
  <c r="D684" i="2"/>
  <c r="E684" i="2"/>
  <c r="F684" i="2"/>
  <c r="O684" i="2" s="1"/>
  <c r="A685" i="2"/>
  <c r="B685" i="2"/>
  <c r="C685" i="2"/>
  <c r="D685" i="2"/>
  <c r="E685" i="2"/>
  <c r="F685" i="2"/>
  <c r="A686" i="2"/>
  <c r="B686" i="2"/>
  <c r="C686" i="2"/>
  <c r="D686" i="2"/>
  <c r="E686" i="2"/>
  <c r="F686" i="2"/>
  <c r="A687" i="2"/>
  <c r="B687" i="2"/>
  <c r="C687" i="2"/>
  <c r="D687" i="2"/>
  <c r="E687" i="2"/>
  <c r="F687" i="2"/>
  <c r="O687" i="2" s="1"/>
  <c r="A688" i="2"/>
  <c r="B688" i="2"/>
  <c r="C688" i="2"/>
  <c r="D688" i="2"/>
  <c r="E688" i="2"/>
  <c r="F688" i="2"/>
  <c r="O688" i="2" s="1"/>
  <c r="A689" i="2"/>
  <c r="B689" i="2"/>
  <c r="C689" i="2"/>
  <c r="D689" i="2"/>
  <c r="E689" i="2"/>
  <c r="F689" i="2"/>
  <c r="A690" i="2"/>
  <c r="B690" i="2"/>
  <c r="C690" i="2"/>
  <c r="D690" i="2"/>
  <c r="E690" i="2"/>
  <c r="F690" i="2"/>
  <c r="A691" i="2"/>
  <c r="B691" i="2"/>
  <c r="C691" i="2"/>
  <c r="D691" i="2"/>
  <c r="E691" i="2"/>
  <c r="F691" i="2"/>
  <c r="O691" i="2" s="1"/>
  <c r="A692" i="2"/>
  <c r="B692" i="2"/>
  <c r="C692" i="2"/>
  <c r="D692" i="2"/>
  <c r="E692" i="2"/>
  <c r="F692" i="2"/>
  <c r="O692" i="2" s="1"/>
  <c r="A693" i="2"/>
  <c r="B693" i="2"/>
  <c r="C693" i="2"/>
  <c r="D693" i="2"/>
  <c r="E693" i="2"/>
  <c r="F693" i="2"/>
  <c r="A694" i="2"/>
  <c r="B694" i="2"/>
  <c r="C694" i="2"/>
  <c r="D694" i="2"/>
  <c r="E694" i="2"/>
  <c r="F694" i="2"/>
  <c r="A695" i="2"/>
  <c r="B695" i="2"/>
  <c r="C695" i="2"/>
  <c r="D695" i="2"/>
  <c r="E695" i="2"/>
  <c r="F695" i="2"/>
  <c r="O695" i="2" s="1"/>
  <c r="A696" i="2"/>
  <c r="B696" i="2"/>
  <c r="C696" i="2"/>
  <c r="D696" i="2"/>
  <c r="E696" i="2"/>
  <c r="F696" i="2"/>
  <c r="O696" i="2" s="1"/>
  <c r="A697" i="2"/>
  <c r="B697" i="2"/>
  <c r="C697" i="2"/>
  <c r="D697" i="2"/>
  <c r="E697" i="2"/>
  <c r="F697" i="2"/>
  <c r="A698" i="2"/>
  <c r="B698" i="2"/>
  <c r="C698" i="2"/>
  <c r="D698" i="2"/>
  <c r="E698" i="2"/>
  <c r="F698" i="2"/>
  <c r="A699" i="2"/>
  <c r="B699" i="2"/>
  <c r="C699" i="2"/>
  <c r="D699" i="2"/>
  <c r="E699" i="2"/>
  <c r="F699" i="2"/>
  <c r="O699" i="2" s="1"/>
  <c r="A700" i="2"/>
  <c r="B700" i="2"/>
  <c r="C700" i="2"/>
  <c r="D700" i="2"/>
  <c r="E700" i="2"/>
  <c r="F700" i="2"/>
  <c r="O700" i="2" s="1"/>
  <c r="A701" i="2"/>
  <c r="B701" i="2"/>
  <c r="C701" i="2"/>
  <c r="D701" i="2"/>
  <c r="E701" i="2"/>
  <c r="F701" i="2"/>
  <c r="A702" i="2"/>
  <c r="B702" i="2"/>
  <c r="C702" i="2"/>
  <c r="D702" i="2"/>
  <c r="E702" i="2"/>
  <c r="F702" i="2"/>
  <c r="A703" i="2"/>
  <c r="B703" i="2"/>
  <c r="C703" i="2"/>
  <c r="D703" i="2"/>
  <c r="E703" i="2"/>
  <c r="F703" i="2"/>
  <c r="O703" i="2" s="1"/>
  <c r="A704" i="2"/>
  <c r="B704" i="2"/>
  <c r="C704" i="2"/>
  <c r="D704" i="2"/>
  <c r="E704" i="2"/>
  <c r="F704" i="2"/>
  <c r="O704" i="2" s="1"/>
  <c r="A705" i="2"/>
  <c r="B705" i="2"/>
  <c r="C705" i="2"/>
  <c r="D705" i="2"/>
  <c r="E705" i="2"/>
  <c r="F705" i="2"/>
  <c r="A706" i="2"/>
  <c r="B706" i="2"/>
  <c r="C706" i="2"/>
  <c r="D706" i="2"/>
  <c r="E706" i="2"/>
  <c r="F706" i="2"/>
  <c r="A707" i="2"/>
  <c r="B707" i="2"/>
  <c r="C707" i="2"/>
  <c r="D707" i="2"/>
  <c r="E707" i="2"/>
  <c r="F707" i="2"/>
  <c r="O707" i="2" s="1"/>
  <c r="A708" i="2"/>
  <c r="B708" i="2"/>
  <c r="C708" i="2"/>
  <c r="D708" i="2"/>
  <c r="E708" i="2"/>
  <c r="F708" i="2"/>
  <c r="O708" i="2" s="1"/>
  <c r="A709" i="2"/>
  <c r="B709" i="2"/>
  <c r="C709" i="2"/>
  <c r="D709" i="2"/>
  <c r="E709" i="2"/>
  <c r="F709" i="2"/>
  <c r="A710" i="2"/>
  <c r="B710" i="2"/>
  <c r="C710" i="2"/>
  <c r="D710" i="2"/>
  <c r="E710" i="2"/>
  <c r="F710" i="2"/>
  <c r="A711" i="2"/>
  <c r="B711" i="2"/>
  <c r="C711" i="2"/>
  <c r="D711" i="2"/>
  <c r="E711" i="2"/>
  <c r="F711" i="2"/>
  <c r="O711" i="2" s="1"/>
  <c r="A712" i="2"/>
  <c r="B712" i="2"/>
  <c r="C712" i="2"/>
  <c r="D712" i="2"/>
  <c r="E712" i="2"/>
  <c r="F712" i="2"/>
  <c r="O712" i="2" s="1"/>
  <c r="A713" i="2"/>
  <c r="B713" i="2"/>
  <c r="C713" i="2"/>
  <c r="D713" i="2"/>
  <c r="E713" i="2"/>
  <c r="F713" i="2"/>
  <c r="A714" i="2"/>
  <c r="B714" i="2"/>
  <c r="C714" i="2"/>
  <c r="D714" i="2"/>
  <c r="E714" i="2"/>
  <c r="F714" i="2"/>
  <c r="A715" i="2"/>
  <c r="B715" i="2"/>
  <c r="C715" i="2"/>
  <c r="D715" i="2"/>
  <c r="E715" i="2"/>
  <c r="F715" i="2"/>
  <c r="O715" i="2" s="1"/>
  <c r="A716" i="2"/>
  <c r="B716" i="2"/>
  <c r="C716" i="2"/>
  <c r="D716" i="2"/>
  <c r="E716" i="2"/>
  <c r="F716" i="2"/>
  <c r="O716" i="2" s="1"/>
  <c r="A717" i="2"/>
  <c r="B717" i="2"/>
  <c r="C717" i="2"/>
  <c r="D717" i="2"/>
  <c r="E717" i="2"/>
  <c r="F717" i="2"/>
  <c r="A718" i="2"/>
  <c r="B718" i="2"/>
  <c r="C718" i="2"/>
  <c r="D718" i="2"/>
  <c r="E718" i="2"/>
  <c r="F718" i="2"/>
  <c r="A719" i="2"/>
  <c r="B719" i="2"/>
  <c r="C719" i="2"/>
  <c r="D719" i="2"/>
  <c r="E719" i="2"/>
  <c r="F719" i="2"/>
  <c r="O719" i="2" s="1"/>
  <c r="A720" i="2"/>
  <c r="B720" i="2"/>
  <c r="C720" i="2"/>
  <c r="D720" i="2"/>
  <c r="E720" i="2"/>
  <c r="F720" i="2"/>
  <c r="O720" i="2" s="1"/>
  <c r="A721" i="2"/>
  <c r="B721" i="2"/>
  <c r="C721" i="2"/>
  <c r="D721" i="2"/>
  <c r="E721" i="2"/>
  <c r="F721" i="2"/>
  <c r="A722" i="2"/>
  <c r="B722" i="2"/>
  <c r="C722" i="2"/>
  <c r="D722" i="2"/>
  <c r="E722" i="2"/>
  <c r="F722" i="2"/>
  <c r="A723" i="2"/>
  <c r="B723" i="2"/>
  <c r="C723" i="2"/>
  <c r="D723" i="2"/>
  <c r="E723" i="2"/>
  <c r="F723" i="2"/>
  <c r="O723" i="2" s="1"/>
  <c r="A724" i="2"/>
  <c r="B724" i="2"/>
  <c r="C724" i="2"/>
  <c r="D724" i="2"/>
  <c r="E724" i="2"/>
  <c r="F724" i="2"/>
  <c r="O724" i="2" s="1"/>
  <c r="A725" i="2"/>
  <c r="B725" i="2"/>
  <c r="C725" i="2"/>
  <c r="D725" i="2"/>
  <c r="E725" i="2"/>
  <c r="F725" i="2"/>
  <c r="A726" i="2"/>
  <c r="B726" i="2"/>
  <c r="C726" i="2"/>
  <c r="D726" i="2"/>
  <c r="E726" i="2"/>
  <c r="F726" i="2"/>
  <c r="A727" i="2"/>
  <c r="B727" i="2"/>
  <c r="C727" i="2"/>
  <c r="D727" i="2"/>
  <c r="E727" i="2"/>
  <c r="F727" i="2"/>
  <c r="O727" i="2" s="1"/>
  <c r="A728" i="2"/>
  <c r="B728" i="2"/>
  <c r="C728" i="2"/>
  <c r="D728" i="2"/>
  <c r="E728" i="2"/>
  <c r="F728" i="2"/>
  <c r="O728" i="2" s="1"/>
  <c r="A729" i="2"/>
  <c r="B729" i="2"/>
  <c r="C729" i="2"/>
  <c r="D729" i="2"/>
  <c r="E729" i="2"/>
  <c r="F729" i="2"/>
  <c r="A730" i="2"/>
  <c r="B730" i="2"/>
  <c r="C730" i="2"/>
  <c r="D730" i="2"/>
  <c r="E730" i="2"/>
  <c r="F730" i="2"/>
  <c r="A731" i="2"/>
  <c r="B731" i="2"/>
  <c r="C731" i="2"/>
  <c r="D731" i="2"/>
  <c r="E731" i="2"/>
  <c r="F731" i="2"/>
  <c r="O731" i="2" s="1"/>
  <c r="A732" i="2"/>
  <c r="B732" i="2"/>
  <c r="C732" i="2"/>
  <c r="D732" i="2"/>
  <c r="E732" i="2"/>
  <c r="F732" i="2"/>
  <c r="O732" i="2" s="1"/>
  <c r="A733" i="2"/>
  <c r="B733" i="2"/>
  <c r="C733" i="2"/>
  <c r="D733" i="2"/>
  <c r="E733" i="2"/>
  <c r="F733" i="2"/>
  <c r="A734" i="2"/>
  <c r="B734" i="2"/>
  <c r="C734" i="2"/>
  <c r="D734" i="2"/>
  <c r="E734" i="2"/>
  <c r="F734" i="2"/>
  <c r="A735" i="2"/>
  <c r="B735" i="2"/>
  <c r="C735" i="2"/>
  <c r="D735" i="2"/>
  <c r="E735" i="2"/>
  <c r="F735" i="2"/>
  <c r="O735" i="2" s="1"/>
  <c r="A736" i="2"/>
  <c r="B736" i="2"/>
  <c r="C736" i="2"/>
  <c r="D736" i="2"/>
  <c r="E736" i="2"/>
  <c r="F736" i="2"/>
  <c r="O736" i="2" s="1"/>
  <c r="A737" i="2"/>
  <c r="B737" i="2"/>
  <c r="C737" i="2"/>
  <c r="D737" i="2"/>
  <c r="E737" i="2"/>
  <c r="F737" i="2"/>
  <c r="A738" i="2"/>
  <c r="B738" i="2"/>
  <c r="C738" i="2"/>
  <c r="D738" i="2"/>
  <c r="E738" i="2"/>
  <c r="F738" i="2"/>
  <c r="A739" i="2"/>
  <c r="B739" i="2"/>
  <c r="C739" i="2"/>
  <c r="D739" i="2"/>
  <c r="E739" i="2"/>
  <c r="F739" i="2"/>
  <c r="O739" i="2" s="1"/>
  <c r="A740" i="2"/>
  <c r="B740" i="2"/>
  <c r="C740" i="2"/>
  <c r="D740" i="2"/>
  <c r="E740" i="2"/>
  <c r="F740" i="2"/>
  <c r="O740" i="2" s="1"/>
  <c r="A741" i="2"/>
  <c r="B741" i="2"/>
  <c r="C741" i="2"/>
  <c r="D741" i="2"/>
  <c r="E741" i="2"/>
  <c r="F741" i="2"/>
  <c r="A742" i="2"/>
  <c r="B742" i="2"/>
  <c r="C742" i="2"/>
  <c r="D742" i="2"/>
  <c r="E742" i="2"/>
  <c r="F742" i="2"/>
  <c r="A743" i="2"/>
  <c r="B743" i="2"/>
  <c r="C743" i="2"/>
  <c r="D743" i="2"/>
  <c r="E743" i="2"/>
  <c r="F743" i="2"/>
  <c r="O743" i="2" s="1"/>
  <c r="A744" i="2"/>
  <c r="B744" i="2"/>
  <c r="C744" i="2"/>
  <c r="D744" i="2"/>
  <c r="E744" i="2"/>
  <c r="F744" i="2"/>
  <c r="O744" i="2" s="1"/>
  <c r="A745" i="2"/>
  <c r="B745" i="2"/>
  <c r="C745" i="2"/>
  <c r="D745" i="2"/>
  <c r="E745" i="2"/>
  <c r="F745" i="2"/>
  <c r="A746" i="2"/>
  <c r="B746" i="2"/>
  <c r="C746" i="2"/>
  <c r="D746" i="2"/>
  <c r="E746" i="2"/>
  <c r="F746" i="2"/>
  <c r="A747" i="2"/>
  <c r="B747" i="2"/>
  <c r="C747" i="2"/>
  <c r="D747" i="2"/>
  <c r="E747" i="2"/>
  <c r="F747" i="2"/>
  <c r="O747" i="2" s="1"/>
  <c r="A748" i="2"/>
  <c r="B748" i="2"/>
  <c r="C748" i="2"/>
  <c r="D748" i="2"/>
  <c r="E748" i="2"/>
  <c r="F748" i="2"/>
  <c r="O748" i="2" s="1"/>
  <c r="A749" i="2"/>
  <c r="B749" i="2"/>
  <c r="C749" i="2"/>
  <c r="D749" i="2"/>
  <c r="E749" i="2"/>
  <c r="F749" i="2"/>
  <c r="A750" i="2"/>
  <c r="B750" i="2"/>
  <c r="C750" i="2"/>
  <c r="D750" i="2"/>
  <c r="E750" i="2"/>
  <c r="F750" i="2"/>
  <c r="A751" i="2"/>
  <c r="B751" i="2"/>
  <c r="C751" i="2"/>
  <c r="D751" i="2"/>
  <c r="E751" i="2"/>
  <c r="F751" i="2"/>
  <c r="O751" i="2" s="1"/>
  <c r="A752" i="2"/>
  <c r="B752" i="2"/>
  <c r="C752" i="2"/>
  <c r="D752" i="2"/>
  <c r="E752" i="2"/>
  <c r="F752" i="2"/>
  <c r="O752" i="2" s="1"/>
  <c r="A753" i="2"/>
  <c r="B753" i="2"/>
  <c r="C753" i="2"/>
  <c r="D753" i="2"/>
  <c r="E753" i="2"/>
  <c r="F753" i="2"/>
  <c r="A754" i="2"/>
  <c r="B754" i="2"/>
  <c r="C754" i="2"/>
  <c r="D754" i="2"/>
  <c r="E754" i="2"/>
  <c r="F754" i="2"/>
  <c r="A755" i="2"/>
  <c r="B755" i="2"/>
  <c r="C755" i="2"/>
  <c r="D755" i="2"/>
  <c r="E755" i="2"/>
  <c r="F755" i="2"/>
  <c r="O755" i="2" s="1"/>
  <c r="A756" i="2"/>
  <c r="B756" i="2"/>
  <c r="C756" i="2"/>
  <c r="D756" i="2"/>
  <c r="E756" i="2"/>
  <c r="F756" i="2"/>
  <c r="O756" i="2" s="1"/>
  <c r="A757" i="2"/>
  <c r="B757" i="2"/>
  <c r="C757" i="2"/>
  <c r="D757" i="2"/>
  <c r="E757" i="2"/>
  <c r="F757" i="2"/>
  <c r="A758" i="2"/>
  <c r="B758" i="2"/>
  <c r="C758" i="2"/>
  <c r="D758" i="2"/>
  <c r="E758" i="2"/>
  <c r="F758" i="2"/>
  <c r="A759" i="2"/>
  <c r="B759" i="2"/>
  <c r="C759" i="2"/>
  <c r="D759" i="2"/>
  <c r="E759" i="2"/>
  <c r="F759" i="2"/>
  <c r="O759" i="2" s="1"/>
  <c r="A760" i="2"/>
  <c r="B760" i="2"/>
  <c r="C760" i="2"/>
  <c r="D760" i="2"/>
  <c r="E760" i="2"/>
  <c r="F760" i="2"/>
  <c r="O760" i="2" s="1"/>
  <c r="A761" i="2"/>
  <c r="B761" i="2"/>
  <c r="C761" i="2"/>
  <c r="D761" i="2"/>
  <c r="E761" i="2"/>
  <c r="F761" i="2"/>
  <c r="A762" i="2"/>
  <c r="B762" i="2"/>
  <c r="C762" i="2"/>
  <c r="D762" i="2"/>
  <c r="E762" i="2"/>
  <c r="F762" i="2"/>
  <c r="A763" i="2"/>
  <c r="B763" i="2"/>
  <c r="C763" i="2"/>
  <c r="D763" i="2"/>
  <c r="E763" i="2"/>
  <c r="F763" i="2"/>
  <c r="O763" i="2" s="1"/>
  <c r="A764" i="2"/>
  <c r="B764" i="2"/>
  <c r="C764" i="2"/>
  <c r="D764" i="2"/>
  <c r="E764" i="2"/>
  <c r="F764" i="2"/>
  <c r="O764" i="2" s="1"/>
  <c r="A765" i="2"/>
  <c r="B765" i="2"/>
  <c r="C765" i="2"/>
  <c r="D765" i="2"/>
  <c r="E765" i="2"/>
  <c r="F765" i="2"/>
  <c r="A766" i="2"/>
  <c r="B766" i="2"/>
  <c r="C766" i="2"/>
  <c r="D766" i="2"/>
  <c r="E766" i="2"/>
  <c r="F766" i="2"/>
  <c r="A767" i="2"/>
  <c r="B767" i="2"/>
  <c r="C767" i="2"/>
  <c r="D767" i="2"/>
  <c r="E767" i="2"/>
  <c r="F767" i="2"/>
  <c r="O767" i="2" s="1"/>
  <c r="A768" i="2"/>
  <c r="B768" i="2"/>
  <c r="C768" i="2"/>
  <c r="D768" i="2"/>
  <c r="E768" i="2"/>
  <c r="F768" i="2"/>
  <c r="O768" i="2" s="1"/>
  <c r="A769" i="2"/>
  <c r="B769" i="2"/>
  <c r="C769" i="2"/>
  <c r="D769" i="2"/>
  <c r="E769" i="2"/>
  <c r="F769" i="2"/>
  <c r="A770" i="2"/>
  <c r="B770" i="2"/>
  <c r="C770" i="2"/>
  <c r="D770" i="2"/>
  <c r="E770" i="2"/>
  <c r="F770" i="2"/>
  <c r="A771" i="2"/>
  <c r="B771" i="2"/>
  <c r="C771" i="2"/>
  <c r="D771" i="2"/>
  <c r="E771" i="2"/>
  <c r="F771" i="2"/>
  <c r="O771" i="2" s="1"/>
  <c r="A772" i="2"/>
  <c r="B772" i="2"/>
  <c r="C772" i="2"/>
  <c r="D772" i="2"/>
  <c r="E772" i="2"/>
  <c r="F772" i="2"/>
  <c r="O772" i="2" s="1"/>
  <c r="A773" i="2"/>
  <c r="B773" i="2"/>
  <c r="C773" i="2"/>
  <c r="D773" i="2"/>
  <c r="E773" i="2"/>
  <c r="F773" i="2"/>
  <c r="A774" i="2"/>
  <c r="B774" i="2"/>
  <c r="C774" i="2"/>
  <c r="D774" i="2"/>
  <c r="E774" i="2"/>
  <c r="F774" i="2"/>
  <c r="A775" i="2"/>
  <c r="B775" i="2"/>
  <c r="C775" i="2"/>
  <c r="D775" i="2"/>
  <c r="E775" i="2"/>
  <c r="F775" i="2"/>
  <c r="O775" i="2" s="1"/>
  <c r="A776" i="2"/>
  <c r="B776" i="2"/>
  <c r="C776" i="2"/>
  <c r="D776" i="2"/>
  <c r="E776" i="2"/>
  <c r="F776" i="2"/>
  <c r="O776" i="2" s="1"/>
  <c r="A777" i="2"/>
  <c r="B777" i="2"/>
  <c r="C777" i="2"/>
  <c r="D777" i="2"/>
  <c r="E777" i="2"/>
  <c r="F777" i="2"/>
  <c r="A778" i="2"/>
  <c r="B778" i="2"/>
  <c r="C778" i="2"/>
  <c r="D778" i="2"/>
  <c r="E778" i="2"/>
  <c r="F778" i="2"/>
  <c r="A779" i="2"/>
  <c r="B779" i="2"/>
  <c r="C779" i="2"/>
  <c r="D779" i="2"/>
  <c r="E779" i="2"/>
  <c r="F779" i="2"/>
  <c r="O779" i="2" s="1"/>
  <c r="A780" i="2"/>
  <c r="B780" i="2"/>
  <c r="C780" i="2"/>
  <c r="D780" i="2"/>
  <c r="E780" i="2"/>
  <c r="F780" i="2"/>
  <c r="O780" i="2" s="1"/>
  <c r="A781" i="2"/>
  <c r="B781" i="2"/>
  <c r="C781" i="2"/>
  <c r="D781" i="2"/>
  <c r="E781" i="2"/>
  <c r="F781" i="2"/>
  <c r="A782" i="2"/>
  <c r="B782" i="2"/>
  <c r="C782" i="2"/>
  <c r="D782" i="2"/>
  <c r="E782" i="2"/>
  <c r="F782" i="2"/>
  <c r="A783" i="2"/>
  <c r="B783" i="2"/>
  <c r="C783" i="2"/>
  <c r="D783" i="2"/>
  <c r="E783" i="2"/>
  <c r="F783" i="2"/>
  <c r="O783" i="2" s="1"/>
  <c r="A784" i="2"/>
  <c r="B784" i="2"/>
  <c r="C784" i="2"/>
  <c r="D784" i="2"/>
  <c r="E784" i="2"/>
  <c r="F784" i="2"/>
  <c r="O784" i="2" s="1"/>
  <c r="A785" i="2"/>
  <c r="B785" i="2"/>
  <c r="C785" i="2"/>
  <c r="D785" i="2"/>
  <c r="E785" i="2"/>
  <c r="F785" i="2"/>
  <c r="A786" i="2"/>
  <c r="B786" i="2"/>
  <c r="C786" i="2"/>
  <c r="D786" i="2"/>
  <c r="E786" i="2"/>
  <c r="F786" i="2"/>
  <c r="A787" i="2"/>
  <c r="B787" i="2"/>
  <c r="C787" i="2"/>
  <c r="D787" i="2"/>
  <c r="E787" i="2"/>
  <c r="F787" i="2"/>
  <c r="O787" i="2" s="1"/>
  <c r="A788" i="2"/>
  <c r="B788" i="2"/>
  <c r="C788" i="2"/>
  <c r="D788" i="2"/>
  <c r="E788" i="2"/>
  <c r="F788" i="2"/>
  <c r="O788" i="2" s="1"/>
  <c r="A789" i="2"/>
  <c r="B789" i="2"/>
  <c r="C789" i="2"/>
  <c r="D789" i="2"/>
  <c r="E789" i="2"/>
  <c r="F789" i="2"/>
  <c r="A790" i="2"/>
  <c r="B790" i="2"/>
  <c r="C790" i="2"/>
  <c r="D790" i="2"/>
  <c r="E790" i="2"/>
  <c r="F790" i="2"/>
  <c r="A791" i="2"/>
  <c r="B791" i="2"/>
  <c r="C791" i="2"/>
  <c r="D791" i="2"/>
  <c r="E791" i="2"/>
  <c r="F791" i="2"/>
  <c r="O791" i="2" s="1"/>
  <c r="A792" i="2"/>
  <c r="B792" i="2"/>
  <c r="C792" i="2"/>
  <c r="D792" i="2"/>
  <c r="E792" i="2"/>
  <c r="F792" i="2"/>
  <c r="O792" i="2" s="1"/>
  <c r="A793" i="2"/>
  <c r="B793" i="2"/>
  <c r="C793" i="2"/>
  <c r="D793" i="2"/>
  <c r="E793" i="2"/>
  <c r="F793" i="2"/>
  <c r="A794" i="2"/>
  <c r="B794" i="2"/>
  <c r="C794" i="2"/>
  <c r="D794" i="2"/>
  <c r="E794" i="2"/>
  <c r="F794" i="2"/>
  <c r="A795" i="2"/>
  <c r="B795" i="2"/>
  <c r="C795" i="2"/>
  <c r="D795" i="2"/>
  <c r="E795" i="2"/>
  <c r="F795" i="2"/>
  <c r="O795" i="2" s="1"/>
  <c r="A796" i="2"/>
  <c r="B796" i="2"/>
  <c r="C796" i="2"/>
  <c r="D796" i="2"/>
  <c r="E796" i="2"/>
  <c r="F796" i="2"/>
  <c r="O796" i="2" s="1"/>
  <c r="A797" i="2"/>
  <c r="B797" i="2"/>
  <c r="C797" i="2"/>
  <c r="D797" i="2"/>
  <c r="E797" i="2"/>
  <c r="F797" i="2"/>
  <c r="A798" i="2"/>
  <c r="B798" i="2"/>
  <c r="C798" i="2"/>
  <c r="D798" i="2"/>
  <c r="E798" i="2"/>
  <c r="F798" i="2"/>
  <c r="A799" i="2"/>
  <c r="B799" i="2"/>
  <c r="C799" i="2"/>
  <c r="D799" i="2"/>
  <c r="E799" i="2"/>
  <c r="F799" i="2"/>
  <c r="O799" i="2" s="1"/>
  <c r="A800" i="2"/>
  <c r="B800" i="2"/>
  <c r="C800" i="2"/>
  <c r="D800" i="2"/>
  <c r="E800" i="2"/>
  <c r="F800" i="2"/>
  <c r="O800" i="2" s="1"/>
  <c r="A801" i="2"/>
  <c r="B801" i="2"/>
  <c r="C801" i="2"/>
  <c r="D801" i="2"/>
  <c r="E801" i="2"/>
  <c r="F801" i="2"/>
  <c r="A802" i="2"/>
  <c r="B802" i="2"/>
  <c r="C802" i="2"/>
  <c r="D802" i="2"/>
  <c r="E802" i="2"/>
  <c r="F802" i="2"/>
  <c r="A803" i="2"/>
  <c r="B803" i="2"/>
  <c r="C803" i="2"/>
  <c r="D803" i="2"/>
  <c r="E803" i="2"/>
  <c r="F803" i="2"/>
  <c r="O803" i="2" s="1"/>
  <c r="A804" i="2"/>
  <c r="B804" i="2"/>
  <c r="C804" i="2"/>
  <c r="D804" i="2"/>
  <c r="E804" i="2"/>
  <c r="F804" i="2"/>
  <c r="O804" i="2" s="1"/>
  <c r="A805" i="2"/>
  <c r="B805" i="2"/>
  <c r="C805" i="2"/>
  <c r="D805" i="2"/>
  <c r="E805" i="2"/>
  <c r="F805" i="2"/>
  <c r="A806" i="2"/>
  <c r="B806" i="2"/>
  <c r="C806" i="2"/>
  <c r="D806" i="2"/>
  <c r="E806" i="2"/>
  <c r="F806" i="2"/>
  <c r="A807" i="2"/>
  <c r="B807" i="2"/>
  <c r="C807" i="2"/>
  <c r="D807" i="2"/>
  <c r="E807" i="2"/>
  <c r="F807" i="2"/>
  <c r="O807" i="2" s="1"/>
  <c r="A808" i="2"/>
  <c r="B808" i="2"/>
  <c r="C808" i="2"/>
  <c r="D808" i="2"/>
  <c r="E808" i="2"/>
  <c r="F808" i="2"/>
  <c r="O808" i="2" s="1"/>
  <c r="A809" i="2"/>
  <c r="B809" i="2"/>
  <c r="C809" i="2"/>
  <c r="D809" i="2"/>
  <c r="E809" i="2"/>
  <c r="F809" i="2"/>
  <c r="A810" i="2"/>
  <c r="B810" i="2"/>
  <c r="C810" i="2"/>
  <c r="D810" i="2"/>
  <c r="E810" i="2"/>
  <c r="F810" i="2"/>
  <c r="A811" i="2"/>
  <c r="B811" i="2"/>
  <c r="C811" i="2"/>
  <c r="D811" i="2"/>
  <c r="E811" i="2"/>
  <c r="F811" i="2"/>
  <c r="O811" i="2" s="1"/>
  <c r="A812" i="2"/>
  <c r="B812" i="2"/>
  <c r="C812" i="2"/>
  <c r="D812" i="2"/>
  <c r="E812" i="2"/>
  <c r="F812" i="2"/>
  <c r="O812" i="2" s="1"/>
  <c r="A813" i="2"/>
  <c r="B813" i="2"/>
  <c r="C813" i="2"/>
  <c r="D813" i="2"/>
  <c r="E813" i="2"/>
  <c r="F813" i="2"/>
  <c r="A814" i="2"/>
  <c r="B814" i="2"/>
  <c r="C814" i="2"/>
  <c r="D814" i="2"/>
  <c r="E814" i="2"/>
  <c r="F814" i="2"/>
  <c r="A815" i="2"/>
  <c r="B815" i="2"/>
  <c r="C815" i="2"/>
  <c r="D815" i="2"/>
  <c r="E815" i="2"/>
  <c r="F815" i="2"/>
  <c r="O815" i="2" s="1"/>
  <c r="A816" i="2"/>
  <c r="B816" i="2"/>
  <c r="C816" i="2"/>
  <c r="D816" i="2"/>
  <c r="E816" i="2"/>
  <c r="F816" i="2"/>
  <c r="O816" i="2" s="1"/>
  <c r="A817" i="2"/>
  <c r="B817" i="2"/>
  <c r="C817" i="2"/>
  <c r="D817" i="2"/>
  <c r="E817" i="2"/>
  <c r="F817" i="2"/>
  <c r="A818" i="2"/>
  <c r="B818" i="2"/>
  <c r="C818" i="2"/>
  <c r="D818" i="2"/>
  <c r="E818" i="2"/>
  <c r="F818" i="2"/>
  <c r="A819" i="2"/>
  <c r="B819" i="2"/>
  <c r="C819" i="2"/>
  <c r="D819" i="2"/>
  <c r="E819" i="2"/>
  <c r="F819" i="2"/>
  <c r="O819" i="2" s="1"/>
  <c r="A820" i="2"/>
  <c r="B820" i="2"/>
  <c r="C820" i="2"/>
  <c r="D820" i="2"/>
  <c r="E820" i="2"/>
  <c r="F820" i="2"/>
  <c r="O820" i="2" s="1"/>
  <c r="A821" i="2"/>
  <c r="B821" i="2"/>
  <c r="C821" i="2"/>
  <c r="D821" i="2"/>
  <c r="E821" i="2"/>
  <c r="F821" i="2"/>
  <c r="A822" i="2"/>
  <c r="B822" i="2"/>
  <c r="C822" i="2"/>
  <c r="D822" i="2"/>
  <c r="E822" i="2"/>
  <c r="F822" i="2"/>
  <c r="A823" i="2"/>
  <c r="B823" i="2"/>
  <c r="C823" i="2"/>
  <c r="D823" i="2"/>
  <c r="E823" i="2"/>
  <c r="F823" i="2"/>
  <c r="O823" i="2" s="1"/>
  <c r="A824" i="2"/>
  <c r="B824" i="2"/>
  <c r="C824" i="2"/>
  <c r="D824" i="2"/>
  <c r="E824" i="2"/>
  <c r="F824" i="2"/>
  <c r="O824" i="2" s="1"/>
  <c r="A825" i="2"/>
  <c r="B825" i="2"/>
  <c r="C825" i="2"/>
  <c r="D825" i="2"/>
  <c r="E825" i="2"/>
  <c r="F825" i="2"/>
  <c r="A826" i="2"/>
  <c r="B826" i="2"/>
  <c r="C826" i="2"/>
  <c r="D826" i="2"/>
  <c r="E826" i="2"/>
  <c r="F826" i="2"/>
  <c r="A827" i="2"/>
  <c r="B827" i="2"/>
  <c r="C827" i="2"/>
  <c r="D827" i="2"/>
  <c r="E827" i="2"/>
  <c r="F827" i="2"/>
  <c r="O827" i="2" s="1"/>
  <c r="A828" i="2"/>
  <c r="B828" i="2"/>
  <c r="C828" i="2"/>
  <c r="D828" i="2"/>
  <c r="E828" i="2"/>
  <c r="F828" i="2"/>
  <c r="O828" i="2" s="1"/>
  <c r="A829" i="2"/>
  <c r="B829" i="2"/>
  <c r="C829" i="2"/>
  <c r="D829" i="2"/>
  <c r="E829" i="2"/>
  <c r="F829" i="2"/>
  <c r="A830" i="2"/>
  <c r="B830" i="2"/>
  <c r="C830" i="2"/>
  <c r="D830" i="2"/>
  <c r="E830" i="2"/>
  <c r="F830" i="2"/>
  <c r="A831" i="2"/>
  <c r="B831" i="2"/>
  <c r="C831" i="2"/>
  <c r="D831" i="2"/>
  <c r="E831" i="2"/>
  <c r="F831" i="2"/>
  <c r="O831" i="2" s="1"/>
  <c r="A832" i="2"/>
  <c r="B832" i="2"/>
  <c r="C832" i="2"/>
  <c r="D832" i="2"/>
  <c r="E832" i="2"/>
  <c r="F832" i="2"/>
  <c r="O832" i="2" s="1"/>
  <c r="A833" i="2"/>
  <c r="B833" i="2"/>
  <c r="C833" i="2"/>
  <c r="D833" i="2"/>
  <c r="E833" i="2"/>
  <c r="F833" i="2"/>
  <c r="A834" i="2"/>
  <c r="B834" i="2"/>
  <c r="C834" i="2"/>
  <c r="D834" i="2"/>
  <c r="E834" i="2"/>
  <c r="F834" i="2"/>
  <c r="A835" i="2"/>
  <c r="B835" i="2"/>
  <c r="C835" i="2"/>
  <c r="D835" i="2"/>
  <c r="E835" i="2"/>
  <c r="F835" i="2"/>
  <c r="O835" i="2" s="1"/>
  <c r="A836" i="2"/>
  <c r="B836" i="2"/>
  <c r="C836" i="2"/>
  <c r="D836" i="2"/>
  <c r="E836" i="2"/>
  <c r="F836" i="2"/>
  <c r="O836" i="2" s="1"/>
  <c r="A837" i="2"/>
  <c r="B837" i="2"/>
  <c r="C837" i="2"/>
  <c r="D837" i="2"/>
  <c r="E837" i="2"/>
  <c r="F837" i="2"/>
  <c r="A838" i="2"/>
  <c r="B838" i="2"/>
  <c r="C838" i="2"/>
  <c r="D838" i="2"/>
  <c r="E838" i="2"/>
  <c r="F838" i="2"/>
  <c r="A839" i="2"/>
  <c r="B839" i="2"/>
  <c r="C839" i="2"/>
  <c r="D839" i="2"/>
  <c r="E839" i="2"/>
  <c r="F839" i="2"/>
  <c r="O839" i="2" s="1"/>
  <c r="A840" i="2"/>
  <c r="B840" i="2"/>
  <c r="C840" i="2"/>
  <c r="D840" i="2"/>
  <c r="E840" i="2"/>
  <c r="F840" i="2"/>
  <c r="O840" i="2" s="1"/>
  <c r="A841" i="2"/>
  <c r="B841" i="2"/>
  <c r="C841" i="2"/>
  <c r="D841" i="2"/>
  <c r="E841" i="2"/>
  <c r="F841" i="2"/>
  <c r="A842" i="2"/>
  <c r="B842" i="2"/>
  <c r="C842" i="2"/>
  <c r="D842" i="2"/>
  <c r="E842" i="2"/>
  <c r="F842" i="2"/>
  <c r="A843" i="2"/>
  <c r="B843" i="2"/>
  <c r="C843" i="2"/>
  <c r="D843" i="2"/>
  <c r="E843" i="2"/>
  <c r="F843" i="2"/>
  <c r="O843" i="2" s="1"/>
  <c r="A844" i="2"/>
  <c r="B844" i="2"/>
  <c r="C844" i="2"/>
  <c r="D844" i="2"/>
  <c r="E844" i="2"/>
  <c r="F844" i="2"/>
  <c r="O844" i="2" s="1"/>
  <c r="A845" i="2"/>
  <c r="B845" i="2"/>
  <c r="C845" i="2"/>
  <c r="D845" i="2"/>
  <c r="E845" i="2"/>
  <c r="F845" i="2"/>
  <c r="A846" i="2"/>
  <c r="B846" i="2"/>
  <c r="C846" i="2"/>
  <c r="D846" i="2"/>
  <c r="E846" i="2"/>
  <c r="F846" i="2"/>
  <c r="A847" i="2"/>
  <c r="B847" i="2"/>
  <c r="C847" i="2"/>
  <c r="D847" i="2"/>
  <c r="E847" i="2"/>
  <c r="F847" i="2"/>
  <c r="O847" i="2" s="1"/>
  <c r="A848" i="2"/>
  <c r="B848" i="2"/>
  <c r="C848" i="2"/>
  <c r="D848" i="2"/>
  <c r="E848" i="2"/>
  <c r="F848" i="2"/>
  <c r="O848" i="2" s="1"/>
  <c r="A849" i="2"/>
  <c r="B849" i="2"/>
  <c r="C849" i="2"/>
  <c r="D849" i="2"/>
  <c r="E849" i="2"/>
  <c r="F849" i="2"/>
  <c r="A850" i="2"/>
  <c r="B850" i="2"/>
  <c r="C850" i="2"/>
  <c r="D850" i="2"/>
  <c r="E850" i="2"/>
  <c r="F850" i="2"/>
  <c r="A851" i="2"/>
  <c r="B851" i="2"/>
  <c r="C851" i="2"/>
  <c r="D851" i="2"/>
  <c r="E851" i="2"/>
  <c r="F851" i="2"/>
  <c r="O851" i="2" s="1"/>
  <c r="A852" i="2"/>
  <c r="B852" i="2"/>
  <c r="C852" i="2"/>
  <c r="D852" i="2"/>
  <c r="E852" i="2"/>
  <c r="F852" i="2"/>
  <c r="O852" i="2" s="1"/>
  <c r="A853" i="2"/>
  <c r="B853" i="2"/>
  <c r="C853" i="2"/>
  <c r="D853" i="2"/>
  <c r="E853" i="2"/>
  <c r="F853" i="2"/>
  <c r="A854" i="2"/>
  <c r="B854" i="2"/>
  <c r="C854" i="2"/>
  <c r="D854" i="2"/>
  <c r="E854" i="2"/>
  <c r="F854" i="2"/>
  <c r="A855" i="2"/>
  <c r="B855" i="2"/>
  <c r="C855" i="2"/>
  <c r="D855" i="2"/>
  <c r="E855" i="2"/>
  <c r="F855" i="2"/>
  <c r="O855" i="2" s="1"/>
  <c r="A856" i="2"/>
  <c r="B856" i="2"/>
  <c r="C856" i="2"/>
  <c r="D856" i="2"/>
  <c r="E856" i="2"/>
  <c r="F856" i="2"/>
  <c r="O856" i="2" s="1"/>
  <c r="A857" i="2"/>
  <c r="B857" i="2"/>
  <c r="C857" i="2"/>
  <c r="D857" i="2"/>
  <c r="E857" i="2"/>
  <c r="F857" i="2"/>
  <c r="A858" i="2"/>
  <c r="B858" i="2"/>
  <c r="C858" i="2"/>
  <c r="D858" i="2"/>
  <c r="E858" i="2"/>
  <c r="F858" i="2"/>
  <c r="A859" i="2"/>
  <c r="B859" i="2"/>
  <c r="C859" i="2"/>
  <c r="D859" i="2"/>
  <c r="E859" i="2"/>
  <c r="F859" i="2"/>
  <c r="O859" i="2" s="1"/>
  <c r="A860" i="2"/>
  <c r="B860" i="2"/>
  <c r="C860" i="2"/>
  <c r="D860" i="2"/>
  <c r="E860" i="2"/>
  <c r="F860" i="2"/>
  <c r="O860" i="2" s="1"/>
  <c r="A861" i="2"/>
  <c r="B861" i="2"/>
  <c r="C861" i="2"/>
  <c r="D861" i="2"/>
  <c r="E861" i="2"/>
  <c r="F861" i="2"/>
  <c r="A862" i="2"/>
  <c r="B862" i="2"/>
  <c r="C862" i="2"/>
  <c r="D862" i="2"/>
  <c r="E862" i="2"/>
  <c r="F862" i="2"/>
  <c r="A863" i="2"/>
  <c r="B863" i="2"/>
  <c r="C863" i="2"/>
  <c r="D863" i="2"/>
  <c r="E863" i="2"/>
  <c r="F863" i="2"/>
  <c r="O863" i="2" s="1"/>
  <c r="A864" i="2"/>
  <c r="B864" i="2"/>
  <c r="C864" i="2"/>
  <c r="D864" i="2"/>
  <c r="E864" i="2"/>
  <c r="F864" i="2"/>
  <c r="O864" i="2" s="1"/>
  <c r="A865" i="2"/>
  <c r="B865" i="2"/>
  <c r="C865" i="2"/>
  <c r="D865" i="2"/>
  <c r="E865" i="2"/>
  <c r="F865" i="2"/>
  <c r="A866" i="2"/>
  <c r="B866" i="2"/>
  <c r="C866" i="2"/>
  <c r="D866" i="2"/>
  <c r="E866" i="2"/>
  <c r="F866" i="2"/>
  <c r="A867" i="2"/>
  <c r="B867" i="2"/>
  <c r="C867" i="2"/>
  <c r="D867" i="2"/>
  <c r="E867" i="2"/>
  <c r="F867" i="2"/>
  <c r="O867" i="2" s="1"/>
  <c r="A868" i="2"/>
  <c r="B868" i="2"/>
  <c r="C868" i="2"/>
  <c r="D868" i="2"/>
  <c r="E868" i="2"/>
  <c r="F868" i="2"/>
  <c r="O868" i="2" s="1"/>
  <c r="A869" i="2"/>
  <c r="B869" i="2"/>
  <c r="C869" i="2"/>
  <c r="D869" i="2"/>
  <c r="E869" i="2"/>
  <c r="F869" i="2"/>
  <c r="A870" i="2"/>
  <c r="B870" i="2"/>
  <c r="C870" i="2"/>
  <c r="D870" i="2"/>
  <c r="E870" i="2"/>
  <c r="F870" i="2"/>
  <c r="A871" i="2"/>
  <c r="B871" i="2"/>
  <c r="C871" i="2"/>
  <c r="D871" i="2"/>
  <c r="E871" i="2"/>
  <c r="F871" i="2"/>
  <c r="O871" i="2" s="1"/>
  <c r="A872" i="2"/>
  <c r="B872" i="2"/>
  <c r="C872" i="2"/>
  <c r="D872" i="2"/>
  <c r="E872" i="2"/>
  <c r="F872" i="2"/>
  <c r="O872" i="2" s="1"/>
  <c r="A873" i="2"/>
  <c r="B873" i="2"/>
  <c r="C873" i="2"/>
  <c r="D873" i="2"/>
  <c r="E873" i="2"/>
  <c r="F873" i="2"/>
  <c r="A874" i="2"/>
  <c r="B874" i="2"/>
  <c r="C874" i="2"/>
  <c r="D874" i="2"/>
  <c r="E874" i="2"/>
  <c r="F874" i="2"/>
  <c r="A875" i="2"/>
  <c r="B875" i="2"/>
  <c r="C875" i="2"/>
  <c r="D875" i="2"/>
  <c r="E875" i="2"/>
  <c r="F875" i="2"/>
  <c r="O875" i="2" s="1"/>
  <c r="A876" i="2"/>
  <c r="B876" i="2"/>
  <c r="C876" i="2"/>
  <c r="D876" i="2"/>
  <c r="E876" i="2"/>
  <c r="F876" i="2"/>
  <c r="O876" i="2" s="1"/>
  <c r="A877" i="2"/>
  <c r="B877" i="2"/>
  <c r="C877" i="2"/>
  <c r="D877" i="2"/>
  <c r="E877" i="2"/>
  <c r="F877" i="2"/>
  <c r="A878" i="2"/>
  <c r="B878" i="2"/>
  <c r="C878" i="2"/>
  <c r="D878" i="2"/>
  <c r="E878" i="2"/>
  <c r="F878" i="2"/>
  <c r="A879" i="2"/>
  <c r="B879" i="2"/>
  <c r="C879" i="2"/>
  <c r="D879" i="2"/>
  <c r="E879" i="2"/>
  <c r="F879" i="2"/>
  <c r="O879" i="2" s="1"/>
  <c r="A880" i="2"/>
  <c r="B880" i="2"/>
  <c r="C880" i="2"/>
  <c r="D880" i="2"/>
  <c r="E880" i="2"/>
  <c r="F880" i="2"/>
  <c r="O880" i="2" s="1"/>
  <c r="A881" i="2"/>
  <c r="B881" i="2"/>
  <c r="C881" i="2"/>
  <c r="D881" i="2"/>
  <c r="E881" i="2"/>
  <c r="F881" i="2"/>
  <c r="A882" i="2"/>
  <c r="B882" i="2"/>
  <c r="C882" i="2"/>
  <c r="D882" i="2"/>
  <c r="E882" i="2"/>
  <c r="F882" i="2"/>
  <c r="A883" i="2"/>
  <c r="B883" i="2"/>
  <c r="C883" i="2"/>
  <c r="D883" i="2"/>
  <c r="E883" i="2"/>
  <c r="F883" i="2"/>
  <c r="O883" i="2" s="1"/>
  <c r="A884" i="2"/>
  <c r="B884" i="2"/>
  <c r="C884" i="2"/>
  <c r="D884" i="2"/>
  <c r="E884" i="2"/>
  <c r="F884" i="2"/>
  <c r="O884" i="2" s="1"/>
  <c r="A885" i="2"/>
  <c r="B885" i="2"/>
  <c r="C885" i="2"/>
  <c r="D885" i="2"/>
  <c r="E885" i="2"/>
  <c r="F885" i="2"/>
  <c r="A886" i="2"/>
  <c r="B886" i="2"/>
  <c r="C886" i="2"/>
  <c r="D886" i="2"/>
  <c r="E886" i="2"/>
  <c r="F886" i="2"/>
  <c r="A887" i="2"/>
  <c r="B887" i="2"/>
  <c r="C887" i="2"/>
  <c r="D887" i="2"/>
  <c r="E887" i="2"/>
  <c r="F887" i="2"/>
  <c r="O887" i="2" s="1"/>
  <c r="A888" i="2"/>
  <c r="B888" i="2"/>
  <c r="C888" i="2"/>
  <c r="D888" i="2"/>
  <c r="E888" i="2"/>
  <c r="F888" i="2"/>
  <c r="O888" i="2" s="1"/>
  <c r="A889" i="2"/>
  <c r="B889" i="2"/>
  <c r="C889" i="2"/>
  <c r="D889" i="2"/>
  <c r="E889" i="2"/>
  <c r="F889" i="2"/>
  <c r="A890" i="2"/>
  <c r="B890" i="2"/>
  <c r="C890" i="2"/>
  <c r="D890" i="2"/>
  <c r="E890" i="2"/>
  <c r="F890" i="2"/>
  <c r="A891" i="2"/>
  <c r="B891" i="2"/>
  <c r="C891" i="2"/>
  <c r="D891" i="2"/>
  <c r="E891" i="2"/>
  <c r="F891" i="2"/>
  <c r="O891" i="2" s="1"/>
  <c r="A892" i="2"/>
  <c r="B892" i="2"/>
  <c r="C892" i="2"/>
  <c r="D892" i="2"/>
  <c r="E892" i="2"/>
  <c r="F892" i="2"/>
  <c r="O892" i="2" s="1"/>
  <c r="A893" i="2"/>
  <c r="B893" i="2"/>
  <c r="C893" i="2"/>
  <c r="D893" i="2"/>
  <c r="E893" i="2"/>
  <c r="F893" i="2"/>
  <c r="A894" i="2"/>
  <c r="B894" i="2"/>
  <c r="C894" i="2"/>
  <c r="D894" i="2"/>
  <c r="E894" i="2"/>
  <c r="F894" i="2"/>
  <c r="A895" i="2"/>
  <c r="B895" i="2"/>
  <c r="C895" i="2"/>
  <c r="D895" i="2"/>
  <c r="E895" i="2"/>
  <c r="F895" i="2"/>
  <c r="O895" i="2" s="1"/>
  <c r="A896" i="2"/>
  <c r="B896" i="2"/>
  <c r="C896" i="2"/>
  <c r="D896" i="2"/>
  <c r="E896" i="2"/>
  <c r="F896" i="2"/>
  <c r="O896" i="2" s="1"/>
  <c r="A897" i="2"/>
  <c r="B897" i="2"/>
  <c r="C897" i="2"/>
  <c r="D897" i="2"/>
  <c r="E897" i="2"/>
  <c r="F897" i="2"/>
  <c r="A898" i="2"/>
  <c r="B898" i="2"/>
  <c r="C898" i="2"/>
  <c r="D898" i="2"/>
  <c r="E898" i="2"/>
  <c r="F898" i="2"/>
  <c r="A899" i="2"/>
  <c r="B899" i="2"/>
  <c r="C899" i="2"/>
  <c r="D899" i="2"/>
  <c r="E899" i="2"/>
  <c r="F899" i="2"/>
  <c r="O899" i="2" s="1"/>
  <c r="A900" i="2"/>
  <c r="B900" i="2"/>
  <c r="C900" i="2"/>
  <c r="D900" i="2"/>
  <c r="E900" i="2"/>
  <c r="F900" i="2"/>
  <c r="O900" i="2" s="1"/>
  <c r="A901" i="2"/>
  <c r="B901" i="2"/>
  <c r="C901" i="2"/>
  <c r="D901" i="2"/>
  <c r="E901" i="2"/>
  <c r="F901" i="2"/>
  <c r="A902" i="2"/>
  <c r="B902" i="2"/>
  <c r="C902" i="2"/>
  <c r="D902" i="2"/>
  <c r="E902" i="2"/>
  <c r="F902" i="2"/>
  <c r="A903" i="2"/>
  <c r="B903" i="2"/>
  <c r="C903" i="2"/>
  <c r="D903" i="2"/>
  <c r="E903" i="2"/>
  <c r="F903" i="2"/>
  <c r="O903" i="2" s="1"/>
  <c r="A904" i="2"/>
  <c r="B904" i="2"/>
  <c r="C904" i="2"/>
  <c r="D904" i="2"/>
  <c r="E904" i="2"/>
  <c r="F904" i="2"/>
  <c r="O904" i="2" s="1"/>
  <c r="A905" i="2"/>
  <c r="B905" i="2"/>
  <c r="C905" i="2"/>
  <c r="D905" i="2"/>
  <c r="E905" i="2"/>
  <c r="F905" i="2"/>
  <c r="A906" i="2"/>
  <c r="B906" i="2"/>
  <c r="C906" i="2"/>
  <c r="D906" i="2"/>
  <c r="E906" i="2"/>
  <c r="F906" i="2"/>
  <c r="A907" i="2"/>
  <c r="B907" i="2"/>
  <c r="C907" i="2"/>
  <c r="D907" i="2"/>
  <c r="E907" i="2"/>
  <c r="F907" i="2"/>
  <c r="O907" i="2" s="1"/>
  <c r="A908" i="2"/>
  <c r="B908" i="2"/>
  <c r="C908" i="2"/>
  <c r="D908" i="2"/>
  <c r="E908" i="2"/>
  <c r="F908" i="2"/>
  <c r="O908" i="2" s="1"/>
  <c r="A909" i="2"/>
  <c r="B909" i="2"/>
  <c r="C909" i="2"/>
  <c r="D909" i="2"/>
  <c r="E909" i="2"/>
  <c r="F909" i="2"/>
  <c r="A910" i="2"/>
  <c r="B910" i="2"/>
  <c r="C910" i="2"/>
  <c r="D910" i="2"/>
  <c r="E910" i="2"/>
  <c r="F910" i="2"/>
  <c r="A911" i="2"/>
  <c r="B911" i="2"/>
  <c r="C911" i="2"/>
  <c r="D911" i="2"/>
  <c r="E911" i="2"/>
  <c r="F911" i="2"/>
  <c r="O911" i="2" s="1"/>
  <c r="A912" i="2"/>
  <c r="B912" i="2"/>
  <c r="C912" i="2"/>
  <c r="D912" i="2"/>
  <c r="E912" i="2"/>
  <c r="F912" i="2"/>
  <c r="O912" i="2" s="1"/>
  <c r="A913" i="2"/>
  <c r="B913" i="2"/>
  <c r="C913" i="2"/>
  <c r="D913" i="2"/>
  <c r="E913" i="2"/>
  <c r="F913" i="2"/>
  <c r="A914" i="2"/>
  <c r="B914" i="2"/>
  <c r="C914" i="2"/>
  <c r="D914" i="2"/>
  <c r="E914" i="2"/>
  <c r="F914" i="2"/>
  <c r="A915" i="2"/>
  <c r="B915" i="2"/>
  <c r="C915" i="2"/>
  <c r="D915" i="2"/>
  <c r="E915" i="2"/>
  <c r="F915" i="2"/>
  <c r="O915" i="2" s="1"/>
  <c r="A916" i="2"/>
  <c r="B916" i="2"/>
  <c r="C916" i="2"/>
  <c r="D916" i="2"/>
  <c r="E916" i="2"/>
  <c r="F916" i="2"/>
  <c r="O916" i="2" s="1"/>
  <c r="A917" i="2"/>
  <c r="B917" i="2"/>
  <c r="C917" i="2"/>
  <c r="D917" i="2"/>
  <c r="E917" i="2"/>
  <c r="F917" i="2"/>
  <c r="A918" i="2"/>
  <c r="B918" i="2"/>
  <c r="C918" i="2"/>
  <c r="D918" i="2"/>
  <c r="E918" i="2"/>
  <c r="F918" i="2"/>
  <c r="A919" i="2"/>
  <c r="B919" i="2"/>
  <c r="C919" i="2"/>
  <c r="D919" i="2"/>
  <c r="E919" i="2"/>
  <c r="F919" i="2"/>
  <c r="O919" i="2" s="1"/>
  <c r="A920" i="2"/>
  <c r="B920" i="2"/>
  <c r="C920" i="2"/>
  <c r="D920" i="2"/>
  <c r="E920" i="2"/>
  <c r="F920" i="2"/>
  <c r="O920" i="2" s="1"/>
  <c r="A921" i="2"/>
  <c r="B921" i="2"/>
  <c r="C921" i="2"/>
  <c r="D921" i="2"/>
  <c r="E921" i="2"/>
  <c r="F921" i="2"/>
  <c r="A922" i="2"/>
  <c r="B922" i="2"/>
  <c r="C922" i="2"/>
  <c r="D922" i="2"/>
  <c r="E922" i="2"/>
  <c r="F922" i="2"/>
  <c r="A923" i="2"/>
  <c r="B923" i="2"/>
  <c r="C923" i="2"/>
  <c r="D923" i="2"/>
  <c r="E923" i="2"/>
  <c r="F923" i="2"/>
  <c r="O923" i="2" s="1"/>
  <c r="A924" i="2"/>
  <c r="B924" i="2"/>
  <c r="C924" i="2"/>
  <c r="D924" i="2"/>
  <c r="E924" i="2"/>
  <c r="F924" i="2"/>
  <c r="O924" i="2" s="1"/>
  <c r="A925" i="2"/>
  <c r="B925" i="2"/>
  <c r="C925" i="2"/>
  <c r="D925" i="2"/>
  <c r="E925" i="2"/>
  <c r="F925" i="2"/>
  <c r="A926" i="2"/>
  <c r="B926" i="2"/>
  <c r="C926" i="2"/>
  <c r="D926" i="2"/>
  <c r="E926" i="2"/>
  <c r="F926" i="2"/>
  <c r="A927" i="2"/>
  <c r="B927" i="2"/>
  <c r="C927" i="2"/>
  <c r="D927" i="2"/>
  <c r="E927" i="2"/>
  <c r="F927" i="2"/>
  <c r="O927" i="2" s="1"/>
  <c r="A928" i="2"/>
  <c r="B928" i="2"/>
  <c r="C928" i="2"/>
  <c r="D928" i="2"/>
  <c r="E928" i="2"/>
  <c r="F928" i="2"/>
  <c r="O928" i="2" s="1"/>
  <c r="A929" i="2"/>
  <c r="B929" i="2"/>
  <c r="C929" i="2"/>
  <c r="D929" i="2"/>
  <c r="E929" i="2"/>
  <c r="F929" i="2"/>
  <c r="A930" i="2"/>
  <c r="B930" i="2"/>
  <c r="C930" i="2"/>
  <c r="D930" i="2"/>
  <c r="E930" i="2"/>
  <c r="F930" i="2"/>
  <c r="A931" i="2"/>
  <c r="B931" i="2"/>
  <c r="C931" i="2"/>
  <c r="D931" i="2"/>
  <c r="E931" i="2"/>
  <c r="F931" i="2"/>
  <c r="O931" i="2" s="1"/>
  <c r="A932" i="2"/>
  <c r="B932" i="2"/>
  <c r="C932" i="2"/>
  <c r="D932" i="2"/>
  <c r="E932" i="2"/>
  <c r="F932" i="2"/>
  <c r="O932" i="2" s="1"/>
  <c r="A933" i="2"/>
  <c r="B933" i="2"/>
  <c r="C933" i="2"/>
  <c r="D933" i="2"/>
  <c r="E933" i="2"/>
  <c r="F933" i="2"/>
  <c r="A934" i="2"/>
  <c r="B934" i="2"/>
  <c r="C934" i="2"/>
  <c r="D934" i="2"/>
  <c r="E934" i="2"/>
  <c r="F934" i="2"/>
  <c r="A935" i="2"/>
  <c r="B935" i="2"/>
  <c r="C935" i="2"/>
  <c r="D935" i="2"/>
  <c r="E935" i="2"/>
  <c r="F935" i="2"/>
  <c r="O935" i="2" s="1"/>
  <c r="A936" i="2"/>
  <c r="B936" i="2"/>
  <c r="C936" i="2"/>
  <c r="D936" i="2"/>
  <c r="E936" i="2"/>
  <c r="F936" i="2"/>
  <c r="O936" i="2" s="1"/>
  <c r="A937" i="2"/>
  <c r="B937" i="2"/>
  <c r="C937" i="2"/>
  <c r="D937" i="2"/>
  <c r="E937" i="2"/>
  <c r="F937" i="2"/>
  <c r="A938" i="2"/>
  <c r="B938" i="2"/>
  <c r="C938" i="2"/>
  <c r="D938" i="2"/>
  <c r="E938" i="2"/>
  <c r="F938" i="2"/>
  <c r="A939" i="2"/>
  <c r="B939" i="2"/>
  <c r="C939" i="2"/>
  <c r="D939" i="2"/>
  <c r="E939" i="2"/>
  <c r="F939" i="2"/>
  <c r="O939" i="2" s="1"/>
  <c r="A940" i="2"/>
  <c r="B940" i="2"/>
  <c r="C940" i="2"/>
  <c r="D940" i="2"/>
  <c r="E940" i="2"/>
  <c r="F940" i="2"/>
  <c r="O940" i="2" s="1"/>
  <c r="A941" i="2"/>
  <c r="B941" i="2"/>
  <c r="C941" i="2"/>
  <c r="D941" i="2"/>
  <c r="E941" i="2"/>
  <c r="F941" i="2"/>
  <c r="A942" i="2"/>
  <c r="B942" i="2"/>
  <c r="C942" i="2"/>
  <c r="D942" i="2"/>
  <c r="E942" i="2"/>
  <c r="F942" i="2"/>
  <c r="A943" i="2"/>
  <c r="B943" i="2"/>
  <c r="C943" i="2"/>
  <c r="D943" i="2"/>
  <c r="E943" i="2"/>
  <c r="F943" i="2"/>
  <c r="O943" i="2" s="1"/>
  <c r="A944" i="2"/>
  <c r="B944" i="2"/>
  <c r="C944" i="2"/>
  <c r="D944" i="2"/>
  <c r="E944" i="2"/>
  <c r="F944" i="2"/>
  <c r="O944" i="2" s="1"/>
  <c r="A945" i="2"/>
  <c r="B945" i="2"/>
  <c r="C945" i="2"/>
  <c r="D945" i="2"/>
  <c r="E945" i="2"/>
  <c r="F945" i="2"/>
  <c r="A946" i="2"/>
  <c r="B946" i="2"/>
  <c r="C946" i="2"/>
  <c r="D946" i="2"/>
  <c r="E946" i="2"/>
  <c r="F946" i="2"/>
  <c r="A947" i="2"/>
  <c r="B947" i="2"/>
  <c r="C947" i="2"/>
  <c r="D947" i="2"/>
  <c r="E947" i="2"/>
  <c r="F947" i="2"/>
  <c r="O947" i="2" s="1"/>
  <c r="A948" i="2"/>
  <c r="B948" i="2"/>
  <c r="C948" i="2"/>
  <c r="D948" i="2"/>
  <c r="E948" i="2"/>
  <c r="F948" i="2"/>
  <c r="O948" i="2" s="1"/>
  <c r="A949" i="2"/>
  <c r="B949" i="2"/>
  <c r="C949" i="2"/>
  <c r="D949" i="2"/>
  <c r="E949" i="2"/>
  <c r="F949" i="2"/>
  <c r="A950" i="2"/>
  <c r="B950" i="2"/>
  <c r="C950" i="2"/>
  <c r="D950" i="2"/>
  <c r="E950" i="2"/>
  <c r="F950" i="2"/>
  <c r="A951" i="2"/>
  <c r="B951" i="2"/>
  <c r="C951" i="2"/>
  <c r="D951" i="2"/>
  <c r="E951" i="2"/>
  <c r="F951" i="2"/>
  <c r="O951" i="2" s="1"/>
  <c r="A952" i="2"/>
  <c r="B952" i="2"/>
  <c r="C952" i="2"/>
  <c r="D952" i="2"/>
  <c r="E952" i="2"/>
  <c r="F952" i="2"/>
  <c r="O952" i="2" s="1"/>
  <c r="A953" i="2"/>
  <c r="B953" i="2"/>
  <c r="C953" i="2"/>
  <c r="D953" i="2"/>
  <c r="E953" i="2"/>
  <c r="F953" i="2"/>
  <c r="A954" i="2"/>
  <c r="B954" i="2"/>
  <c r="C954" i="2"/>
  <c r="D954" i="2"/>
  <c r="E954" i="2"/>
  <c r="F954" i="2"/>
  <c r="A955" i="2"/>
  <c r="B955" i="2"/>
  <c r="C955" i="2"/>
  <c r="D955" i="2"/>
  <c r="E955" i="2"/>
  <c r="F955" i="2"/>
  <c r="O955" i="2" s="1"/>
  <c r="A956" i="2"/>
  <c r="B956" i="2"/>
  <c r="C956" i="2"/>
  <c r="D956" i="2"/>
  <c r="E956" i="2"/>
  <c r="F956" i="2"/>
  <c r="O956" i="2" s="1"/>
  <c r="A957" i="2"/>
  <c r="B957" i="2"/>
  <c r="C957" i="2"/>
  <c r="D957" i="2"/>
  <c r="E957" i="2"/>
  <c r="F957" i="2"/>
  <c r="A958" i="2"/>
  <c r="B958" i="2"/>
  <c r="C958" i="2"/>
  <c r="D958" i="2"/>
  <c r="E958" i="2"/>
  <c r="F958" i="2"/>
  <c r="A959" i="2"/>
  <c r="B959" i="2"/>
  <c r="C959" i="2"/>
  <c r="D959" i="2"/>
  <c r="E959" i="2"/>
  <c r="F959" i="2"/>
  <c r="O959" i="2" s="1"/>
  <c r="A960" i="2"/>
  <c r="B960" i="2"/>
  <c r="C960" i="2"/>
  <c r="D960" i="2"/>
  <c r="E960" i="2"/>
  <c r="F960" i="2"/>
  <c r="O960" i="2" s="1"/>
  <c r="A961" i="2"/>
  <c r="B961" i="2"/>
  <c r="C961" i="2"/>
  <c r="D961" i="2"/>
  <c r="E961" i="2"/>
  <c r="F961" i="2"/>
  <c r="A962" i="2"/>
  <c r="B962" i="2"/>
  <c r="C962" i="2"/>
  <c r="D962" i="2"/>
  <c r="E962" i="2"/>
  <c r="F962" i="2"/>
  <c r="A963" i="2"/>
  <c r="B963" i="2"/>
  <c r="C963" i="2"/>
  <c r="D963" i="2"/>
  <c r="E963" i="2"/>
  <c r="F963" i="2"/>
  <c r="O963" i="2" s="1"/>
  <c r="A964" i="2"/>
  <c r="B964" i="2"/>
  <c r="C964" i="2"/>
  <c r="D964" i="2"/>
  <c r="E964" i="2"/>
  <c r="F964" i="2"/>
  <c r="O964" i="2" s="1"/>
  <c r="A965" i="2"/>
  <c r="B965" i="2"/>
  <c r="C965" i="2"/>
  <c r="D965" i="2"/>
  <c r="E965" i="2"/>
  <c r="F965" i="2"/>
  <c r="A966" i="2"/>
  <c r="B966" i="2"/>
  <c r="C966" i="2"/>
  <c r="D966" i="2"/>
  <c r="E966" i="2"/>
  <c r="F966" i="2"/>
  <c r="A967" i="2"/>
  <c r="B967" i="2"/>
  <c r="C967" i="2"/>
  <c r="D967" i="2"/>
  <c r="E967" i="2"/>
  <c r="F967" i="2"/>
  <c r="O967" i="2" s="1"/>
  <c r="A968" i="2"/>
  <c r="B968" i="2"/>
  <c r="C968" i="2"/>
  <c r="D968" i="2"/>
  <c r="E968" i="2"/>
  <c r="F968" i="2"/>
  <c r="O968" i="2" s="1"/>
  <c r="A969" i="2"/>
  <c r="B969" i="2"/>
  <c r="C969" i="2"/>
  <c r="D969" i="2"/>
  <c r="E969" i="2"/>
  <c r="F969" i="2"/>
  <c r="A970" i="2"/>
  <c r="B970" i="2"/>
  <c r="C970" i="2"/>
  <c r="D970" i="2"/>
  <c r="E970" i="2"/>
  <c r="F970" i="2"/>
  <c r="A971" i="2"/>
  <c r="B971" i="2"/>
  <c r="C971" i="2"/>
  <c r="D971" i="2"/>
  <c r="E971" i="2"/>
  <c r="F971" i="2"/>
  <c r="O971" i="2" s="1"/>
  <c r="A972" i="2"/>
  <c r="B972" i="2"/>
  <c r="C972" i="2"/>
  <c r="D972" i="2"/>
  <c r="E972" i="2"/>
  <c r="F972" i="2"/>
  <c r="O972" i="2" s="1"/>
  <c r="A973" i="2"/>
  <c r="B973" i="2"/>
  <c r="C973" i="2"/>
  <c r="D973" i="2"/>
  <c r="E973" i="2"/>
  <c r="F973" i="2"/>
  <c r="A974" i="2"/>
  <c r="B974" i="2"/>
  <c r="C974" i="2"/>
  <c r="D974" i="2"/>
  <c r="E974" i="2"/>
  <c r="F974" i="2"/>
  <c r="A975" i="2"/>
  <c r="B975" i="2"/>
  <c r="C975" i="2"/>
  <c r="D975" i="2"/>
  <c r="E975" i="2"/>
  <c r="F975" i="2"/>
  <c r="O975" i="2" s="1"/>
  <c r="A976" i="2"/>
  <c r="B976" i="2"/>
  <c r="C976" i="2"/>
  <c r="D976" i="2"/>
  <c r="E976" i="2"/>
  <c r="F976" i="2"/>
  <c r="O976" i="2" s="1"/>
  <c r="A977" i="2"/>
  <c r="B977" i="2"/>
  <c r="C977" i="2"/>
  <c r="D977" i="2"/>
  <c r="E977" i="2"/>
  <c r="F977" i="2"/>
  <c r="A978" i="2"/>
  <c r="B978" i="2"/>
  <c r="C978" i="2"/>
  <c r="D978" i="2"/>
  <c r="E978" i="2"/>
  <c r="F978" i="2"/>
  <c r="A979" i="2"/>
  <c r="B979" i="2"/>
  <c r="C979" i="2"/>
  <c r="D979" i="2"/>
  <c r="E979" i="2"/>
  <c r="F979" i="2"/>
  <c r="O979" i="2" s="1"/>
  <c r="A980" i="2"/>
  <c r="B980" i="2"/>
  <c r="C980" i="2"/>
  <c r="D980" i="2"/>
  <c r="E980" i="2"/>
  <c r="F980" i="2"/>
  <c r="O980" i="2" s="1"/>
  <c r="A981" i="2"/>
  <c r="B981" i="2"/>
  <c r="C981" i="2"/>
  <c r="D981" i="2"/>
  <c r="E981" i="2"/>
  <c r="F981" i="2"/>
  <c r="A982" i="2"/>
  <c r="B982" i="2"/>
  <c r="C982" i="2"/>
  <c r="D982" i="2"/>
  <c r="E982" i="2"/>
  <c r="F982" i="2"/>
  <c r="A983" i="2"/>
  <c r="B983" i="2"/>
  <c r="C983" i="2"/>
  <c r="D983" i="2"/>
  <c r="E983" i="2"/>
  <c r="F983" i="2"/>
  <c r="O983" i="2" s="1"/>
  <c r="A984" i="2"/>
  <c r="B984" i="2"/>
  <c r="C984" i="2"/>
  <c r="D984" i="2"/>
  <c r="E984" i="2"/>
  <c r="F984" i="2"/>
  <c r="O984" i="2" s="1"/>
  <c r="A985" i="2"/>
  <c r="B985" i="2"/>
  <c r="C985" i="2"/>
  <c r="D985" i="2"/>
  <c r="E985" i="2"/>
  <c r="F985" i="2"/>
  <c r="A986" i="2"/>
  <c r="B986" i="2"/>
  <c r="C986" i="2"/>
  <c r="D986" i="2"/>
  <c r="E986" i="2"/>
  <c r="F986" i="2"/>
  <c r="A987" i="2"/>
  <c r="B987" i="2"/>
  <c r="C987" i="2"/>
  <c r="D987" i="2"/>
  <c r="E987" i="2"/>
  <c r="F987" i="2"/>
  <c r="O987" i="2" s="1"/>
  <c r="A988" i="2"/>
  <c r="B988" i="2"/>
  <c r="C988" i="2"/>
  <c r="D988" i="2"/>
  <c r="E988" i="2"/>
  <c r="F988" i="2"/>
  <c r="O988" i="2" s="1"/>
  <c r="A989" i="2"/>
  <c r="B989" i="2"/>
  <c r="C989" i="2"/>
  <c r="D989" i="2"/>
  <c r="E989" i="2"/>
  <c r="F989" i="2"/>
  <c r="A990" i="2"/>
  <c r="B990" i="2"/>
  <c r="C990" i="2"/>
  <c r="D990" i="2"/>
  <c r="E990" i="2"/>
  <c r="F990" i="2"/>
  <c r="A991" i="2"/>
  <c r="B991" i="2"/>
  <c r="C991" i="2"/>
  <c r="D991" i="2"/>
  <c r="E991" i="2"/>
  <c r="F991" i="2"/>
  <c r="O991" i="2" s="1"/>
  <c r="A992" i="2"/>
  <c r="B992" i="2"/>
  <c r="C992" i="2"/>
  <c r="D992" i="2"/>
  <c r="E992" i="2"/>
  <c r="F992" i="2"/>
  <c r="O992" i="2" s="1"/>
  <c r="A993" i="2"/>
  <c r="B993" i="2"/>
  <c r="C993" i="2"/>
  <c r="D993" i="2"/>
  <c r="E993" i="2"/>
  <c r="F993" i="2"/>
  <c r="A994" i="2"/>
  <c r="B994" i="2"/>
  <c r="C994" i="2"/>
  <c r="D994" i="2"/>
  <c r="E994" i="2"/>
  <c r="F994" i="2"/>
  <c r="A995" i="2"/>
  <c r="B995" i="2"/>
  <c r="C995" i="2"/>
  <c r="D995" i="2"/>
  <c r="E995" i="2"/>
  <c r="F995" i="2"/>
  <c r="O995" i="2" s="1"/>
  <c r="A996" i="2"/>
  <c r="B996" i="2"/>
  <c r="C996" i="2"/>
  <c r="D996" i="2"/>
  <c r="E996" i="2"/>
  <c r="F996" i="2"/>
  <c r="O996" i="2" s="1"/>
  <c r="A997" i="2"/>
  <c r="B997" i="2"/>
  <c r="C997" i="2"/>
  <c r="D997" i="2"/>
  <c r="E997" i="2"/>
  <c r="F997" i="2"/>
  <c r="A998" i="2"/>
  <c r="B998" i="2"/>
  <c r="C998" i="2"/>
  <c r="D998" i="2"/>
  <c r="E998" i="2"/>
  <c r="F998" i="2"/>
  <c r="A999" i="2"/>
  <c r="B999" i="2"/>
  <c r="C999" i="2"/>
  <c r="D999" i="2"/>
  <c r="E999" i="2"/>
  <c r="F999" i="2"/>
  <c r="O999" i="2" s="1"/>
  <c r="A1000" i="2"/>
  <c r="B1000" i="2"/>
  <c r="C1000" i="2"/>
  <c r="D1000" i="2"/>
  <c r="E1000" i="2"/>
  <c r="F1000" i="2"/>
  <c r="O1000" i="2" s="1"/>
  <c r="A1001" i="2"/>
  <c r="B1001" i="2"/>
  <c r="C1001" i="2"/>
  <c r="D1001" i="2"/>
  <c r="E1001" i="2"/>
  <c r="F1001" i="2"/>
  <c r="A1002" i="2"/>
  <c r="B1002" i="2"/>
  <c r="C1002" i="2"/>
  <c r="D1002" i="2"/>
  <c r="E1002" i="2"/>
  <c r="F1002" i="2"/>
  <c r="A1003" i="2"/>
  <c r="B1003" i="2"/>
  <c r="C1003" i="2"/>
  <c r="D1003" i="2"/>
  <c r="E1003" i="2"/>
  <c r="F1003" i="2"/>
  <c r="O1003" i="2" s="1"/>
  <c r="A1004" i="2"/>
  <c r="B1004" i="2"/>
  <c r="C1004" i="2"/>
  <c r="D1004" i="2"/>
  <c r="E1004" i="2"/>
  <c r="F1004" i="2"/>
  <c r="O1004" i="2" s="1"/>
  <c r="A1005" i="2"/>
  <c r="B1005" i="2"/>
  <c r="C1005" i="2"/>
  <c r="D1005" i="2"/>
  <c r="E1005" i="2"/>
  <c r="F1005" i="2"/>
  <c r="A1006" i="2"/>
  <c r="B1006" i="2"/>
  <c r="C1006" i="2"/>
  <c r="D1006" i="2"/>
  <c r="E1006" i="2"/>
  <c r="F1006" i="2"/>
  <c r="A1007" i="2"/>
  <c r="B1007" i="2"/>
  <c r="C1007" i="2"/>
  <c r="D1007" i="2"/>
  <c r="E1007" i="2"/>
  <c r="F1007" i="2"/>
  <c r="O1007" i="2" s="1"/>
  <c r="A1008" i="2"/>
  <c r="B1008" i="2"/>
  <c r="C1008" i="2"/>
  <c r="D1008" i="2"/>
  <c r="E1008" i="2"/>
  <c r="F1008" i="2"/>
  <c r="O1008" i="2" s="1"/>
  <c r="A1009" i="2"/>
  <c r="B1009" i="2"/>
  <c r="C1009" i="2"/>
  <c r="D1009" i="2"/>
  <c r="E1009" i="2"/>
  <c r="F1009" i="2"/>
  <c r="A1010" i="2"/>
  <c r="B1010" i="2"/>
  <c r="C1010" i="2"/>
  <c r="D1010" i="2"/>
  <c r="E1010" i="2"/>
  <c r="F1010" i="2"/>
  <c r="A1011" i="2"/>
  <c r="B1011" i="2"/>
  <c r="C1011" i="2"/>
  <c r="D1011" i="2"/>
  <c r="E1011" i="2"/>
  <c r="F1011" i="2"/>
  <c r="O1011" i="2" s="1"/>
  <c r="A1012" i="2"/>
  <c r="B1012" i="2"/>
  <c r="C1012" i="2"/>
  <c r="D1012" i="2"/>
  <c r="E1012" i="2"/>
  <c r="F1012" i="2"/>
  <c r="O1012" i="2" s="1"/>
  <c r="A1013" i="2"/>
  <c r="B1013" i="2"/>
  <c r="C1013" i="2"/>
  <c r="D1013" i="2"/>
  <c r="E1013" i="2"/>
  <c r="F1013" i="2"/>
  <c r="A1014" i="2"/>
  <c r="B1014" i="2"/>
  <c r="C1014" i="2"/>
  <c r="D1014" i="2"/>
  <c r="E1014" i="2"/>
  <c r="F1014" i="2"/>
  <c r="A1015" i="2"/>
  <c r="B1015" i="2"/>
  <c r="C1015" i="2"/>
  <c r="D1015" i="2"/>
  <c r="E1015" i="2"/>
  <c r="F1015" i="2"/>
  <c r="O1015" i="2" s="1"/>
  <c r="A1016" i="2"/>
  <c r="B1016" i="2"/>
  <c r="C1016" i="2"/>
  <c r="D1016" i="2"/>
  <c r="E1016" i="2"/>
  <c r="F1016" i="2"/>
  <c r="O1016" i="2" s="1"/>
  <c r="A1017" i="2"/>
  <c r="B1017" i="2"/>
  <c r="C1017" i="2"/>
  <c r="D1017" i="2"/>
  <c r="E1017" i="2"/>
  <c r="F1017" i="2"/>
  <c r="A1018" i="2"/>
  <c r="B1018" i="2"/>
  <c r="C1018" i="2"/>
  <c r="D1018" i="2"/>
  <c r="E1018" i="2"/>
  <c r="F1018" i="2"/>
  <c r="A1019" i="2"/>
  <c r="B1019" i="2"/>
  <c r="C1019" i="2"/>
  <c r="D1019" i="2"/>
  <c r="E1019" i="2"/>
  <c r="F1019" i="2"/>
  <c r="O1019" i="2" s="1"/>
  <c r="A1020" i="2"/>
  <c r="B1020" i="2"/>
  <c r="C1020" i="2"/>
  <c r="D1020" i="2"/>
  <c r="E1020" i="2"/>
  <c r="F1020" i="2"/>
  <c r="O1020" i="2" s="1"/>
  <c r="A1021" i="2"/>
  <c r="B1021" i="2"/>
  <c r="C1021" i="2"/>
  <c r="D1021" i="2"/>
  <c r="E1021" i="2"/>
  <c r="F1021" i="2"/>
  <c r="A1022" i="2"/>
  <c r="B1022" i="2"/>
  <c r="C1022" i="2"/>
  <c r="D1022" i="2"/>
  <c r="E1022" i="2"/>
  <c r="F1022" i="2"/>
  <c r="A1023" i="2"/>
  <c r="B1023" i="2"/>
  <c r="C1023" i="2"/>
  <c r="D1023" i="2"/>
  <c r="E1023" i="2"/>
  <c r="F1023" i="2"/>
  <c r="O1023" i="2" s="1"/>
  <c r="A1024" i="2"/>
  <c r="B1024" i="2"/>
  <c r="C1024" i="2"/>
  <c r="D1024" i="2"/>
  <c r="E1024" i="2"/>
  <c r="F1024" i="2"/>
  <c r="O1024" i="2" s="1"/>
  <c r="A1025" i="2"/>
  <c r="B1025" i="2"/>
  <c r="C1025" i="2"/>
  <c r="D1025" i="2"/>
  <c r="E1025" i="2"/>
  <c r="F1025" i="2"/>
  <c r="A1026" i="2"/>
  <c r="B1026" i="2"/>
  <c r="C1026" i="2"/>
  <c r="D1026" i="2"/>
  <c r="E1026" i="2"/>
  <c r="F1026" i="2"/>
  <c r="A1027" i="2"/>
  <c r="B1027" i="2"/>
  <c r="C1027" i="2"/>
  <c r="D1027" i="2"/>
  <c r="E1027" i="2"/>
  <c r="F1027" i="2"/>
  <c r="O1027" i="2" s="1"/>
  <c r="A1028" i="2"/>
  <c r="B1028" i="2"/>
  <c r="C1028" i="2"/>
  <c r="D1028" i="2"/>
  <c r="E1028" i="2"/>
  <c r="F1028" i="2"/>
  <c r="O1028" i="2" s="1"/>
  <c r="A1029" i="2"/>
  <c r="B1029" i="2"/>
  <c r="C1029" i="2"/>
  <c r="D1029" i="2"/>
  <c r="E1029" i="2"/>
  <c r="F1029" i="2"/>
  <c r="A1030" i="2"/>
  <c r="B1030" i="2"/>
  <c r="C1030" i="2"/>
  <c r="D1030" i="2"/>
  <c r="E1030" i="2"/>
  <c r="F1030" i="2"/>
  <c r="A1031" i="2"/>
  <c r="B1031" i="2"/>
  <c r="C1031" i="2"/>
  <c r="D1031" i="2"/>
  <c r="E1031" i="2"/>
  <c r="F1031" i="2"/>
  <c r="O1031" i="2" s="1"/>
  <c r="A1032" i="2"/>
  <c r="B1032" i="2"/>
  <c r="C1032" i="2"/>
  <c r="D1032" i="2"/>
  <c r="E1032" i="2"/>
  <c r="F1032" i="2"/>
  <c r="O1032" i="2" s="1"/>
  <c r="A1033" i="2"/>
  <c r="B1033" i="2"/>
  <c r="C1033" i="2"/>
  <c r="D1033" i="2"/>
  <c r="E1033" i="2"/>
  <c r="F1033" i="2"/>
  <c r="A1034" i="2"/>
  <c r="B1034" i="2"/>
  <c r="C1034" i="2"/>
  <c r="D1034" i="2"/>
  <c r="E1034" i="2"/>
  <c r="F1034" i="2"/>
  <c r="A1035" i="2"/>
  <c r="B1035" i="2"/>
  <c r="C1035" i="2"/>
  <c r="D1035" i="2"/>
  <c r="E1035" i="2"/>
  <c r="F1035" i="2"/>
  <c r="O1035" i="2" s="1"/>
  <c r="A1036" i="2"/>
  <c r="B1036" i="2"/>
  <c r="C1036" i="2"/>
  <c r="D1036" i="2"/>
  <c r="E1036" i="2"/>
  <c r="F1036" i="2"/>
  <c r="O1036" i="2" s="1"/>
  <c r="A1037" i="2"/>
  <c r="B1037" i="2"/>
  <c r="C1037" i="2"/>
  <c r="D1037" i="2"/>
  <c r="E1037" i="2"/>
  <c r="F1037" i="2"/>
  <c r="A1038" i="2"/>
  <c r="B1038" i="2"/>
  <c r="C1038" i="2"/>
  <c r="D1038" i="2"/>
  <c r="E1038" i="2"/>
  <c r="F1038" i="2"/>
  <c r="A1039" i="2"/>
  <c r="B1039" i="2"/>
  <c r="C1039" i="2"/>
  <c r="D1039" i="2"/>
  <c r="E1039" i="2"/>
  <c r="F1039" i="2"/>
  <c r="O1039" i="2" s="1"/>
  <c r="A1040" i="2"/>
  <c r="B1040" i="2"/>
  <c r="C1040" i="2"/>
  <c r="D1040" i="2"/>
  <c r="E1040" i="2"/>
  <c r="F1040" i="2"/>
  <c r="O1040" i="2" s="1"/>
  <c r="A1041" i="2"/>
  <c r="B1041" i="2"/>
  <c r="C1041" i="2"/>
  <c r="D1041" i="2"/>
  <c r="E1041" i="2"/>
  <c r="F1041" i="2"/>
  <c r="A1042" i="2"/>
  <c r="B1042" i="2"/>
  <c r="C1042" i="2"/>
  <c r="D1042" i="2"/>
  <c r="E1042" i="2"/>
  <c r="F1042" i="2"/>
  <c r="A1043" i="2"/>
  <c r="B1043" i="2"/>
  <c r="C1043" i="2"/>
  <c r="D1043" i="2"/>
  <c r="E1043" i="2"/>
  <c r="F1043" i="2"/>
  <c r="O1043" i="2" s="1"/>
  <c r="A1044" i="2"/>
  <c r="B1044" i="2"/>
  <c r="C1044" i="2"/>
  <c r="D1044" i="2"/>
  <c r="E1044" i="2"/>
  <c r="F1044" i="2"/>
  <c r="O1044" i="2" s="1"/>
  <c r="A1045" i="2"/>
  <c r="B1045" i="2"/>
  <c r="C1045" i="2"/>
  <c r="D1045" i="2"/>
  <c r="E1045" i="2"/>
  <c r="F1045" i="2"/>
  <c r="A1046" i="2"/>
  <c r="B1046" i="2"/>
  <c r="C1046" i="2"/>
  <c r="D1046" i="2"/>
  <c r="E1046" i="2"/>
  <c r="F1046" i="2"/>
  <c r="A1047" i="2"/>
  <c r="B1047" i="2"/>
  <c r="C1047" i="2"/>
  <c r="D1047" i="2"/>
  <c r="E1047" i="2"/>
  <c r="F1047" i="2"/>
  <c r="O1047" i="2" s="1"/>
  <c r="A1048" i="2"/>
  <c r="B1048" i="2"/>
  <c r="C1048" i="2"/>
  <c r="D1048" i="2"/>
  <c r="E1048" i="2"/>
  <c r="F1048" i="2"/>
  <c r="O1048" i="2" s="1"/>
  <c r="A1049" i="2"/>
  <c r="B1049" i="2"/>
  <c r="C1049" i="2"/>
  <c r="D1049" i="2"/>
  <c r="E1049" i="2"/>
  <c r="F1049" i="2"/>
  <c r="A1050" i="2"/>
  <c r="B1050" i="2"/>
  <c r="C1050" i="2"/>
  <c r="D1050" i="2"/>
  <c r="E1050" i="2"/>
  <c r="F1050" i="2"/>
  <c r="A1051" i="2"/>
  <c r="B1051" i="2"/>
  <c r="C1051" i="2"/>
  <c r="D1051" i="2"/>
  <c r="E1051" i="2"/>
  <c r="F1051" i="2"/>
  <c r="O1051" i="2" s="1"/>
  <c r="A1052" i="2"/>
  <c r="B1052" i="2"/>
  <c r="C1052" i="2"/>
  <c r="D1052" i="2"/>
  <c r="E1052" i="2"/>
  <c r="F1052" i="2"/>
  <c r="O1052" i="2" s="1"/>
  <c r="A1053" i="2"/>
  <c r="B1053" i="2"/>
  <c r="C1053" i="2"/>
  <c r="D1053" i="2"/>
  <c r="E1053" i="2"/>
  <c r="F1053" i="2"/>
  <c r="A1054" i="2"/>
  <c r="B1054" i="2"/>
  <c r="C1054" i="2"/>
  <c r="D1054" i="2"/>
  <c r="E1054" i="2"/>
  <c r="F1054" i="2"/>
  <c r="A1055" i="2"/>
  <c r="B1055" i="2"/>
  <c r="C1055" i="2"/>
  <c r="D1055" i="2"/>
  <c r="E1055" i="2"/>
  <c r="F1055" i="2"/>
  <c r="O1055" i="2" s="1"/>
  <c r="A1056" i="2"/>
  <c r="B1056" i="2"/>
  <c r="C1056" i="2"/>
  <c r="D1056" i="2"/>
  <c r="E1056" i="2"/>
  <c r="F1056" i="2"/>
  <c r="O1056" i="2" s="1"/>
  <c r="A1057" i="2"/>
  <c r="B1057" i="2"/>
  <c r="C1057" i="2"/>
  <c r="D1057" i="2"/>
  <c r="E1057" i="2"/>
  <c r="F1057" i="2"/>
  <c r="A1058" i="2"/>
  <c r="B1058" i="2"/>
  <c r="C1058" i="2"/>
  <c r="D1058" i="2"/>
  <c r="E1058" i="2"/>
  <c r="F1058" i="2"/>
  <c r="A1059" i="2"/>
  <c r="B1059" i="2"/>
  <c r="C1059" i="2"/>
  <c r="D1059" i="2"/>
  <c r="E1059" i="2"/>
  <c r="F1059" i="2"/>
  <c r="O1059" i="2" s="1"/>
  <c r="A1060" i="2"/>
  <c r="B1060" i="2"/>
  <c r="C1060" i="2"/>
  <c r="D1060" i="2"/>
  <c r="E1060" i="2"/>
  <c r="F1060" i="2"/>
  <c r="O1060" i="2" s="1"/>
  <c r="A1061" i="2"/>
  <c r="B1061" i="2"/>
  <c r="C1061" i="2"/>
  <c r="D1061" i="2"/>
  <c r="E1061" i="2"/>
  <c r="F1061" i="2"/>
  <c r="A1062" i="2"/>
  <c r="B1062" i="2"/>
  <c r="C1062" i="2"/>
  <c r="D1062" i="2"/>
  <c r="E1062" i="2"/>
  <c r="F1062" i="2"/>
  <c r="A1063" i="2"/>
  <c r="B1063" i="2"/>
  <c r="C1063" i="2"/>
  <c r="D1063" i="2"/>
  <c r="E1063" i="2"/>
  <c r="F1063" i="2"/>
  <c r="O1063" i="2" s="1"/>
  <c r="A1064" i="2"/>
  <c r="B1064" i="2"/>
  <c r="C1064" i="2"/>
  <c r="D1064" i="2"/>
  <c r="E1064" i="2"/>
  <c r="F1064" i="2"/>
  <c r="O1064" i="2" s="1"/>
  <c r="A1065" i="2"/>
  <c r="B1065" i="2"/>
  <c r="C1065" i="2"/>
  <c r="D1065" i="2"/>
  <c r="E1065" i="2"/>
  <c r="F1065" i="2"/>
  <c r="A1066" i="2"/>
  <c r="B1066" i="2"/>
  <c r="C1066" i="2"/>
  <c r="D1066" i="2"/>
  <c r="E1066" i="2"/>
  <c r="F1066" i="2"/>
  <c r="A1067" i="2"/>
  <c r="B1067" i="2"/>
  <c r="C1067" i="2"/>
  <c r="D1067" i="2"/>
  <c r="E1067" i="2"/>
  <c r="F1067" i="2"/>
  <c r="O1067" i="2" s="1"/>
  <c r="A1068" i="2"/>
  <c r="B1068" i="2"/>
  <c r="C1068" i="2"/>
  <c r="D1068" i="2"/>
  <c r="E1068" i="2"/>
  <c r="F1068" i="2"/>
  <c r="O1068" i="2" s="1"/>
  <c r="A1069" i="2"/>
  <c r="B1069" i="2"/>
  <c r="C1069" i="2"/>
  <c r="D1069" i="2"/>
  <c r="E1069" i="2"/>
  <c r="F1069" i="2"/>
  <c r="A1070" i="2"/>
  <c r="B1070" i="2"/>
  <c r="C1070" i="2"/>
  <c r="D1070" i="2"/>
  <c r="E1070" i="2"/>
  <c r="F1070" i="2"/>
  <c r="A1071" i="2"/>
  <c r="B1071" i="2"/>
  <c r="C1071" i="2"/>
  <c r="D1071" i="2"/>
  <c r="E1071" i="2"/>
  <c r="F1071" i="2"/>
  <c r="O1071" i="2" s="1"/>
  <c r="A1072" i="2"/>
  <c r="B1072" i="2"/>
  <c r="C1072" i="2"/>
  <c r="D1072" i="2"/>
  <c r="E1072" i="2"/>
  <c r="F1072" i="2"/>
  <c r="O1072" i="2" s="1"/>
  <c r="A1073" i="2"/>
  <c r="B1073" i="2"/>
  <c r="C1073" i="2"/>
  <c r="D1073" i="2"/>
  <c r="E1073" i="2"/>
  <c r="F1073" i="2"/>
  <c r="A1074" i="2"/>
  <c r="B1074" i="2"/>
  <c r="C1074" i="2"/>
  <c r="D1074" i="2"/>
  <c r="E1074" i="2"/>
  <c r="F1074" i="2"/>
  <c r="A1075" i="2"/>
  <c r="B1075" i="2"/>
  <c r="C1075" i="2"/>
  <c r="D1075" i="2"/>
  <c r="E1075" i="2"/>
  <c r="F1075" i="2"/>
  <c r="O1075" i="2" s="1"/>
  <c r="A1076" i="2"/>
  <c r="B1076" i="2"/>
  <c r="C1076" i="2"/>
  <c r="D1076" i="2"/>
  <c r="E1076" i="2"/>
  <c r="F1076" i="2"/>
  <c r="O1076" i="2" s="1"/>
  <c r="A1077" i="2"/>
  <c r="B1077" i="2"/>
  <c r="C1077" i="2"/>
  <c r="D1077" i="2"/>
  <c r="E1077" i="2"/>
  <c r="F1077" i="2"/>
  <c r="A1078" i="2"/>
  <c r="B1078" i="2"/>
  <c r="C1078" i="2"/>
  <c r="D1078" i="2"/>
  <c r="E1078" i="2"/>
  <c r="F1078" i="2"/>
  <c r="A1079" i="2"/>
  <c r="B1079" i="2"/>
  <c r="C1079" i="2"/>
  <c r="D1079" i="2"/>
  <c r="E1079" i="2"/>
  <c r="F1079" i="2"/>
  <c r="O1079" i="2" s="1"/>
  <c r="A1080" i="2"/>
  <c r="B1080" i="2"/>
  <c r="C1080" i="2"/>
  <c r="D1080" i="2"/>
  <c r="E1080" i="2"/>
  <c r="F1080" i="2"/>
  <c r="O1080" i="2" s="1"/>
  <c r="A1081" i="2"/>
  <c r="B1081" i="2"/>
  <c r="C1081" i="2"/>
  <c r="D1081" i="2"/>
  <c r="E1081" i="2"/>
  <c r="F1081" i="2"/>
  <c r="A1082" i="2"/>
  <c r="B1082" i="2"/>
  <c r="C1082" i="2"/>
  <c r="D1082" i="2"/>
  <c r="E1082" i="2"/>
  <c r="F1082" i="2"/>
  <c r="A1083" i="2"/>
  <c r="B1083" i="2"/>
  <c r="C1083" i="2"/>
  <c r="D1083" i="2"/>
  <c r="E1083" i="2"/>
  <c r="F1083" i="2"/>
  <c r="O1083" i="2" s="1"/>
  <c r="A1084" i="2"/>
  <c r="B1084" i="2"/>
  <c r="C1084" i="2"/>
  <c r="D1084" i="2"/>
  <c r="E1084" i="2"/>
  <c r="F1084" i="2"/>
  <c r="O1084" i="2" s="1"/>
  <c r="A1085" i="2"/>
  <c r="B1085" i="2"/>
  <c r="C1085" i="2"/>
  <c r="D1085" i="2"/>
  <c r="E1085" i="2"/>
  <c r="F1085" i="2"/>
  <c r="A1086" i="2"/>
  <c r="B1086" i="2"/>
  <c r="C1086" i="2"/>
  <c r="D1086" i="2"/>
  <c r="E1086" i="2"/>
  <c r="F1086" i="2"/>
  <c r="A1087" i="2"/>
  <c r="B1087" i="2"/>
  <c r="C1087" i="2"/>
  <c r="D1087" i="2"/>
  <c r="E1087" i="2"/>
  <c r="F1087" i="2"/>
  <c r="O1087" i="2" s="1"/>
  <c r="A1088" i="2"/>
  <c r="B1088" i="2"/>
  <c r="C1088" i="2"/>
  <c r="D1088" i="2"/>
  <c r="E1088" i="2"/>
  <c r="F1088" i="2"/>
  <c r="O1088" i="2" s="1"/>
  <c r="A1089" i="2"/>
  <c r="B1089" i="2"/>
  <c r="C1089" i="2"/>
  <c r="D1089" i="2"/>
  <c r="E1089" i="2"/>
  <c r="F1089" i="2"/>
  <c r="A1090" i="2"/>
  <c r="B1090" i="2"/>
  <c r="C1090" i="2"/>
  <c r="D1090" i="2"/>
  <c r="E1090" i="2"/>
  <c r="F1090" i="2"/>
  <c r="A1091" i="2"/>
  <c r="B1091" i="2"/>
  <c r="C1091" i="2"/>
  <c r="D1091" i="2"/>
  <c r="E1091" i="2"/>
  <c r="F1091" i="2"/>
  <c r="O1091" i="2" s="1"/>
  <c r="A1092" i="2"/>
  <c r="B1092" i="2"/>
  <c r="C1092" i="2"/>
  <c r="D1092" i="2"/>
  <c r="E1092" i="2"/>
  <c r="F1092" i="2"/>
  <c r="O1092" i="2" s="1"/>
  <c r="A1093" i="2"/>
  <c r="B1093" i="2"/>
  <c r="C1093" i="2"/>
  <c r="D1093" i="2"/>
  <c r="E1093" i="2"/>
  <c r="F1093" i="2"/>
  <c r="A1094" i="2"/>
  <c r="B1094" i="2"/>
  <c r="C1094" i="2"/>
  <c r="D1094" i="2"/>
  <c r="E1094" i="2"/>
  <c r="F1094" i="2"/>
  <c r="A1095" i="2"/>
  <c r="B1095" i="2"/>
  <c r="C1095" i="2"/>
  <c r="D1095" i="2"/>
  <c r="E1095" i="2"/>
  <c r="F1095" i="2"/>
  <c r="O1095" i="2" s="1"/>
  <c r="A1096" i="2"/>
  <c r="B1096" i="2"/>
  <c r="C1096" i="2"/>
  <c r="D1096" i="2"/>
  <c r="E1096" i="2"/>
  <c r="F1096" i="2"/>
  <c r="O1096" i="2" s="1"/>
  <c r="A1097" i="2"/>
  <c r="B1097" i="2"/>
  <c r="C1097" i="2"/>
  <c r="D1097" i="2"/>
  <c r="E1097" i="2"/>
  <c r="F1097" i="2"/>
  <c r="A1098" i="2"/>
  <c r="B1098" i="2"/>
  <c r="C1098" i="2"/>
  <c r="D1098" i="2"/>
  <c r="E1098" i="2"/>
  <c r="F1098" i="2"/>
  <c r="A1099" i="2"/>
  <c r="B1099" i="2"/>
  <c r="C1099" i="2"/>
  <c r="D1099" i="2"/>
  <c r="E1099" i="2"/>
  <c r="F1099" i="2"/>
  <c r="O1099" i="2" s="1"/>
  <c r="A1100" i="2"/>
  <c r="B1100" i="2"/>
  <c r="C1100" i="2"/>
  <c r="D1100" i="2"/>
  <c r="E1100" i="2"/>
  <c r="F1100" i="2"/>
  <c r="O1100" i="2" s="1"/>
  <c r="A1101" i="2"/>
  <c r="B1101" i="2"/>
  <c r="C1101" i="2"/>
  <c r="D1101" i="2"/>
  <c r="E1101" i="2"/>
  <c r="F1101" i="2"/>
  <c r="A1102" i="2"/>
  <c r="B1102" i="2"/>
  <c r="C1102" i="2"/>
  <c r="D1102" i="2"/>
  <c r="E1102" i="2"/>
  <c r="F1102" i="2"/>
  <c r="A1103" i="2"/>
  <c r="B1103" i="2"/>
  <c r="C1103" i="2"/>
  <c r="D1103" i="2"/>
  <c r="E1103" i="2"/>
  <c r="F1103" i="2"/>
  <c r="O1103" i="2" s="1"/>
  <c r="A1104" i="2"/>
  <c r="B1104" i="2"/>
  <c r="C1104" i="2"/>
  <c r="D1104" i="2"/>
  <c r="E1104" i="2"/>
  <c r="F1104" i="2"/>
  <c r="O1104" i="2" s="1"/>
  <c r="A1105" i="2"/>
  <c r="B1105" i="2"/>
  <c r="C1105" i="2"/>
  <c r="D1105" i="2"/>
  <c r="E1105" i="2"/>
  <c r="F1105" i="2"/>
  <c r="A1106" i="2"/>
  <c r="B1106" i="2"/>
  <c r="C1106" i="2"/>
  <c r="D1106" i="2"/>
  <c r="E1106" i="2"/>
  <c r="F1106" i="2"/>
  <c r="A1107" i="2"/>
  <c r="B1107" i="2"/>
  <c r="C1107" i="2"/>
  <c r="D1107" i="2"/>
  <c r="E1107" i="2"/>
  <c r="F1107" i="2"/>
  <c r="O1107" i="2" s="1"/>
  <c r="A1108" i="2"/>
  <c r="B1108" i="2"/>
  <c r="C1108" i="2"/>
  <c r="D1108" i="2"/>
  <c r="E1108" i="2"/>
  <c r="F1108" i="2"/>
  <c r="O1108" i="2" s="1"/>
  <c r="A1109" i="2"/>
  <c r="B1109" i="2"/>
  <c r="C1109" i="2"/>
  <c r="D1109" i="2"/>
  <c r="E1109" i="2"/>
  <c r="F1109" i="2"/>
  <c r="A1110" i="2"/>
  <c r="B1110" i="2"/>
  <c r="C1110" i="2"/>
  <c r="D1110" i="2"/>
  <c r="E1110" i="2"/>
  <c r="F1110" i="2"/>
  <c r="A1111" i="2"/>
  <c r="B1111" i="2"/>
  <c r="C1111" i="2"/>
  <c r="D1111" i="2"/>
  <c r="E1111" i="2"/>
  <c r="F1111" i="2"/>
  <c r="O1111" i="2" s="1"/>
  <c r="A1112" i="2"/>
  <c r="B1112" i="2"/>
  <c r="C1112" i="2"/>
  <c r="D1112" i="2"/>
  <c r="E1112" i="2"/>
  <c r="F1112" i="2"/>
  <c r="O1112" i="2" s="1"/>
  <c r="A1113" i="2"/>
  <c r="B1113" i="2"/>
  <c r="C1113" i="2"/>
  <c r="D1113" i="2"/>
  <c r="E1113" i="2"/>
  <c r="F1113" i="2"/>
  <c r="A1114" i="2"/>
  <c r="B1114" i="2"/>
  <c r="C1114" i="2"/>
  <c r="D1114" i="2"/>
  <c r="E1114" i="2"/>
  <c r="F1114" i="2"/>
  <c r="A1115" i="2"/>
  <c r="B1115" i="2"/>
  <c r="C1115" i="2"/>
  <c r="D1115" i="2"/>
  <c r="E1115" i="2"/>
  <c r="F1115" i="2"/>
  <c r="O1115" i="2" s="1"/>
  <c r="A1116" i="2"/>
  <c r="B1116" i="2"/>
  <c r="C1116" i="2"/>
  <c r="D1116" i="2"/>
  <c r="E1116" i="2"/>
  <c r="F1116" i="2"/>
  <c r="O1116" i="2" s="1"/>
  <c r="A1117" i="2"/>
  <c r="B1117" i="2"/>
  <c r="C1117" i="2"/>
  <c r="D1117" i="2"/>
  <c r="E1117" i="2"/>
  <c r="F1117" i="2"/>
  <c r="A1118" i="2"/>
  <c r="B1118" i="2"/>
  <c r="C1118" i="2"/>
  <c r="D1118" i="2"/>
  <c r="E1118" i="2"/>
  <c r="F1118" i="2"/>
  <c r="A1119" i="2"/>
  <c r="B1119" i="2"/>
  <c r="C1119" i="2"/>
  <c r="D1119" i="2"/>
  <c r="E1119" i="2"/>
  <c r="F1119" i="2"/>
  <c r="O1119" i="2" s="1"/>
  <c r="A1120" i="2"/>
  <c r="B1120" i="2"/>
  <c r="C1120" i="2"/>
  <c r="D1120" i="2"/>
  <c r="E1120" i="2"/>
  <c r="F1120" i="2"/>
  <c r="O1120" i="2" s="1"/>
  <c r="A1121" i="2"/>
  <c r="B1121" i="2"/>
  <c r="C1121" i="2"/>
  <c r="D1121" i="2"/>
  <c r="E1121" i="2"/>
  <c r="F1121" i="2"/>
  <c r="A1122" i="2"/>
  <c r="B1122" i="2"/>
  <c r="C1122" i="2"/>
  <c r="D1122" i="2"/>
  <c r="E1122" i="2"/>
  <c r="F1122" i="2"/>
  <c r="A1123" i="2"/>
  <c r="B1123" i="2"/>
  <c r="C1123" i="2"/>
  <c r="D1123" i="2"/>
  <c r="E1123" i="2"/>
  <c r="F1123" i="2"/>
  <c r="O1123" i="2" s="1"/>
  <c r="A1124" i="2"/>
  <c r="B1124" i="2"/>
  <c r="C1124" i="2"/>
  <c r="D1124" i="2"/>
  <c r="E1124" i="2"/>
  <c r="F1124" i="2"/>
  <c r="O1124" i="2" s="1"/>
  <c r="A1125" i="2"/>
  <c r="B1125" i="2"/>
  <c r="C1125" i="2"/>
  <c r="D1125" i="2"/>
  <c r="E1125" i="2"/>
  <c r="F1125" i="2"/>
  <c r="A1126" i="2"/>
  <c r="B1126" i="2"/>
  <c r="C1126" i="2"/>
  <c r="D1126" i="2"/>
  <c r="E1126" i="2"/>
  <c r="F1126" i="2"/>
  <c r="A1127" i="2"/>
  <c r="B1127" i="2"/>
  <c r="C1127" i="2"/>
  <c r="D1127" i="2"/>
  <c r="E1127" i="2"/>
  <c r="F1127" i="2"/>
  <c r="O1127" i="2" s="1"/>
  <c r="A1128" i="2"/>
  <c r="B1128" i="2"/>
  <c r="C1128" i="2"/>
  <c r="D1128" i="2"/>
  <c r="E1128" i="2"/>
  <c r="F1128" i="2"/>
  <c r="O1128" i="2" s="1"/>
  <c r="A1129" i="2"/>
  <c r="B1129" i="2"/>
  <c r="C1129" i="2"/>
  <c r="D1129" i="2"/>
  <c r="E1129" i="2"/>
  <c r="F1129" i="2"/>
  <c r="A1130" i="2"/>
  <c r="B1130" i="2"/>
  <c r="C1130" i="2"/>
  <c r="D1130" i="2"/>
  <c r="E1130" i="2"/>
  <c r="F1130" i="2"/>
  <c r="A1131" i="2"/>
  <c r="B1131" i="2"/>
  <c r="C1131" i="2"/>
  <c r="D1131" i="2"/>
  <c r="E1131" i="2"/>
  <c r="F1131" i="2"/>
  <c r="O1131" i="2" s="1"/>
  <c r="A1132" i="2"/>
  <c r="B1132" i="2"/>
  <c r="C1132" i="2"/>
  <c r="D1132" i="2"/>
  <c r="E1132" i="2"/>
  <c r="F1132" i="2"/>
  <c r="O1132" i="2" s="1"/>
  <c r="A1133" i="2"/>
  <c r="B1133" i="2"/>
  <c r="C1133" i="2"/>
  <c r="D1133" i="2"/>
  <c r="E1133" i="2"/>
  <c r="F1133" i="2"/>
  <c r="A1134" i="2"/>
  <c r="B1134" i="2"/>
  <c r="C1134" i="2"/>
  <c r="D1134" i="2"/>
  <c r="E1134" i="2"/>
  <c r="F1134" i="2"/>
  <c r="A1135" i="2"/>
  <c r="B1135" i="2"/>
  <c r="C1135" i="2"/>
  <c r="D1135" i="2"/>
  <c r="E1135" i="2"/>
  <c r="F1135" i="2"/>
  <c r="O1135" i="2" s="1"/>
  <c r="A1136" i="2"/>
  <c r="B1136" i="2"/>
  <c r="C1136" i="2"/>
  <c r="D1136" i="2"/>
  <c r="E1136" i="2"/>
  <c r="F1136" i="2"/>
  <c r="O1136" i="2" s="1"/>
  <c r="A1137" i="2"/>
  <c r="B1137" i="2"/>
  <c r="C1137" i="2"/>
  <c r="D1137" i="2"/>
  <c r="E1137" i="2"/>
  <c r="F1137" i="2"/>
  <c r="A1138" i="2"/>
  <c r="B1138" i="2"/>
  <c r="C1138" i="2"/>
  <c r="D1138" i="2"/>
  <c r="E1138" i="2"/>
  <c r="F1138" i="2"/>
  <c r="A1139" i="2"/>
  <c r="B1139" i="2"/>
  <c r="C1139" i="2"/>
  <c r="D1139" i="2"/>
  <c r="E1139" i="2"/>
  <c r="F1139" i="2"/>
  <c r="O1139" i="2" s="1"/>
  <c r="A1140" i="2"/>
  <c r="B1140" i="2"/>
  <c r="C1140" i="2"/>
  <c r="D1140" i="2"/>
  <c r="E1140" i="2"/>
  <c r="F1140" i="2"/>
  <c r="O1140" i="2" s="1"/>
  <c r="A1141" i="2"/>
  <c r="B1141" i="2"/>
  <c r="C1141" i="2"/>
  <c r="D1141" i="2"/>
  <c r="E1141" i="2"/>
  <c r="F1141" i="2"/>
  <c r="A1142" i="2"/>
  <c r="B1142" i="2"/>
  <c r="C1142" i="2"/>
  <c r="D1142" i="2"/>
  <c r="E1142" i="2"/>
  <c r="F1142" i="2"/>
  <c r="A1143" i="2"/>
  <c r="B1143" i="2"/>
  <c r="C1143" i="2"/>
  <c r="D1143" i="2"/>
  <c r="E1143" i="2"/>
  <c r="F1143" i="2"/>
  <c r="O1143" i="2" s="1"/>
  <c r="A1144" i="2"/>
  <c r="B1144" i="2"/>
  <c r="C1144" i="2"/>
  <c r="D1144" i="2"/>
  <c r="E1144" i="2"/>
  <c r="F1144" i="2"/>
  <c r="O1144" i="2" s="1"/>
  <c r="A1145" i="2"/>
  <c r="B1145" i="2"/>
  <c r="C1145" i="2"/>
  <c r="D1145" i="2"/>
  <c r="E1145" i="2"/>
  <c r="F1145" i="2"/>
  <c r="A1146" i="2"/>
  <c r="B1146" i="2"/>
  <c r="C1146" i="2"/>
  <c r="D1146" i="2"/>
  <c r="E1146" i="2"/>
  <c r="F1146" i="2"/>
  <c r="A1147" i="2"/>
  <c r="B1147" i="2"/>
  <c r="C1147" i="2"/>
  <c r="D1147" i="2"/>
  <c r="E1147" i="2"/>
  <c r="F1147" i="2"/>
  <c r="O1147" i="2" s="1"/>
  <c r="A1148" i="2"/>
  <c r="B1148" i="2"/>
  <c r="C1148" i="2"/>
  <c r="D1148" i="2"/>
  <c r="E1148" i="2"/>
  <c r="F1148" i="2"/>
  <c r="O1148" i="2" s="1"/>
  <c r="A1149" i="2"/>
  <c r="B1149" i="2"/>
  <c r="C1149" i="2"/>
  <c r="D1149" i="2"/>
  <c r="E1149" i="2"/>
  <c r="F1149" i="2"/>
  <c r="A1150" i="2"/>
  <c r="B1150" i="2"/>
  <c r="C1150" i="2"/>
  <c r="D1150" i="2"/>
  <c r="E1150" i="2"/>
  <c r="F1150" i="2"/>
  <c r="A1151" i="2"/>
  <c r="B1151" i="2"/>
  <c r="C1151" i="2"/>
  <c r="D1151" i="2"/>
  <c r="E1151" i="2"/>
  <c r="F1151" i="2"/>
  <c r="O1151" i="2" s="1"/>
  <c r="A1152" i="2"/>
  <c r="B1152" i="2"/>
  <c r="C1152" i="2"/>
  <c r="D1152" i="2"/>
  <c r="E1152" i="2"/>
  <c r="F1152" i="2"/>
  <c r="O1152" i="2" s="1"/>
  <c r="A1153" i="2"/>
  <c r="B1153" i="2"/>
  <c r="C1153" i="2"/>
  <c r="D1153" i="2"/>
  <c r="E1153" i="2"/>
  <c r="F1153" i="2"/>
  <c r="A1154" i="2"/>
  <c r="B1154" i="2"/>
  <c r="C1154" i="2"/>
  <c r="D1154" i="2"/>
  <c r="E1154" i="2"/>
  <c r="F1154" i="2"/>
  <c r="A1155" i="2"/>
  <c r="B1155" i="2"/>
  <c r="C1155" i="2"/>
  <c r="D1155" i="2"/>
  <c r="E1155" i="2"/>
  <c r="F1155" i="2"/>
  <c r="O1155" i="2" s="1"/>
  <c r="A1156" i="2"/>
  <c r="B1156" i="2"/>
  <c r="C1156" i="2"/>
  <c r="D1156" i="2"/>
  <c r="E1156" i="2"/>
  <c r="F1156" i="2"/>
  <c r="O1156" i="2" s="1"/>
  <c r="A1157" i="2"/>
  <c r="B1157" i="2"/>
  <c r="C1157" i="2"/>
  <c r="D1157" i="2"/>
  <c r="E1157" i="2"/>
  <c r="F1157" i="2"/>
  <c r="A1158" i="2"/>
  <c r="B1158" i="2"/>
  <c r="C1158" i="2"/>
  <c r="D1158" i="2"/>
  <c r="E1158" i="2"/>
  <c r="F1158" i="2"/>
  <c r="A1159" i="2"/>
  <c r="B1159" i="2"/>
  <c r="C1159" i="2"/>
  <c r="D1159" i="2"/>
  <c r="E1159" i="2"/>
  <c r="F1159" i="2"/>
  <c r="O1159" i="2" s="1"/>
  <c r="A1160" i="2"/>
  <c r="B1160" i="2"/>
  <c r="C1160" i="2"/>
  <c r="D1160" i="2"/>
  <c r="E1160" i="2"/>
  <c r="F1160" i="2"/>
  <c r="O1160" i="2" s="1"/>
  <c r="A1161" i="2"/>
  <c r="B1161" i="2"/>
  <c r="C1161" i="2"/>
  <c r="D1161" i="2"/>
  <c r="E1161" i="2"/>
  <c r="F1161" i="2"/>
  <c r="A1162" i="2"/>
  <c r="B1162" i="2"/>
  <c r="C1162" i="2"/>
  <c r="D1162" i="2"/>
  <c r="E1162" i="2"/>
  <c r="F1162" i="2"/>
  <c r="A1163" i="2"/>
  <c r="B1163" i="2"/>
  <c r="C1163" i="2"/>
  <c r="D1163" i="2"/>
  <c r="E1163" i="2"/>
  <c r="F1163" i="2"/>
  <c r="O1163" i="2" s="1"/>
  <c r="A1164" i="2"/>
  <c r="B1164" i="2"/>
  <c r="C1164" i="2"/>
  <c r="D1164" i="2"/>
  <c r="E1164" i="2"/>
  <c r="F1164" i="2"/>
  <c r="O1164" i="2" s="1"/>
  <c r="A1165" i="2"/>
  <c r="B1165" i="2"/>
  <c r="C1165" i="2"/>
  <c r="D1165" i="2"/>
  <c r="E1165" i="2"/>
  <c r="F1165" i="2"/>
  <c r="A1166" i="2"/>
  <c r="B1166" i="2"/>
  <c r="C1166" i="2"/>
  <c r="D1166" i="2"/>
  <c r="E1166" i="2"/>
  <c r="F1166" i="2"/>
  <c r="A1167" i="2"/>
  <c r="B1167" i="2"/>
  <c r="C1167" i="2"/>
  <c r="D1167" i="2"/>
  <c r="E1167" i="2"/>
  <c r="F1167" i="2"/>
  <c r="O1167" i="2" s="1"/>
  <c r="A1168" i="2"/>
  <c r="B1168" i="2"/>
  <c r="C1168" i="2"/>
  <c r="D1168" i="2"/>
  <c r="E1168" i="2"/>
  <c r="F1168" i="2"/>
  <c r="O1168" i="2" s="1"/>
  <c r="A1169" i="2"/>
  <c r="B1169" i="2"/>
  <c r="C1169" i="2"/>
  <c r="D1169" i="2"/>
  <c r="E1169" i="2"/>
  <c r="F1169" i="2"/>
  <c r="A1170" i="2"/>
  <c r="B1170" i="2"/>
  <c r="C1170" i="2"/>
  <c r="D1170" i="2"/>
  <c r="E1170" i="2"/>
  <c r="F1170" i="2"/>
  <c r="A1171" i="2"/>
  <c r="B1171" i="2"/>
  <c r="C1171" i="2"/>
  <c r="D1171" i="2"/>
  <c r="E1171" i="2"/>
  <c r="F1171" i="2"/>
  <c r="O1171" i="2" s="1"/>
  <c r="A1172" i="2"/>
  <c r="B1172" i="2"/>
  <c r="C1172" i="2"/>
  <c r="D1172" i="2"/>
  <c r="E1172" i="2"/>
  <c r="F1172" i="2"/>
  <c r="O1172" i="2" s="1"/>
  <c r="A1173" i="2"/>
  <c r="B1173" i="2"/>
  <c r="C1173" i="2"/>
  <c r="D1173" i="2"/>
  <c r="E1173" i="2"/>
  <c r="F1173" i="2"/>
  <c r="A1174" i="2"/>
  <c r="B1174" i="2"/>
  <c r="C1174" i="2"/>
  <c r="D1174" i="2"/>
  <c r="E1174" i="2"/>
  <c r="F1174" i="2"/>
  <c r="A1175" i="2"/>
  <c r="B1175" i="2"/>
  <c r="C1175" i="2"/>
  <c r="D1175" i="2"/>
  <c r="E1175" i="2"/>
  <c r="F1175" i="2"/>
  <c r="O1175" i="2" s="1"/>
  <c r="A1176" i="2"/>
  <c r="B1176" i="2"/>
  <c r="C1176" i="2"/>
  <c r="D1176" i="2"/>
  <c r="E1176" i="2"/>
  <c r="F1176" i="2"/>
  <c r="O1176" i="2" s="1"/>
  <c r="A1177" i="2"/>
  <c r="B1177" i="2"/>
  <c r="C1177" i="2"/>
  <c r="D1177" i="2"/>
  <c r="E1177" i="2"/>
  <c r="F1177" i="2"/>
  <c r="A1178" i="2"/>
  <c r="B1178" i="2"/>
  <c r="C1178" i="2"/>
  <c r="D1178" i="2"/>
  <c r="E1178" i="2"/>
  <c r="F1178" i="2"/>
  <c r="A1179" i="2"/>
  <c r="B1179" i="2"/>
  <c r="C1179" i="2"/>
  <c r="D1179" i="2"/>
  <c r="E1179" i="2"/>
  <c r="F1179" i="2"/>
  <c r="O1179" i="2" s="1"/>
  <c r="A1180" i="2"/>
  <c r="B1180" i="2"/>
  <c r="C1180" i="2"/>
  <c r="D1180" i="2"/>
  <c r="E1180" i="2"/>
  <c r="F1180" i="2"/>
  <c r="O1180" i="2" s="1"/>
  <c r="A1181" i="2"/>
  <c r="B1181" i="2"/>
  <c r="C1181" i="2"/>
  <c r="D1181" i="2"/>
  <c r="E1181" i="2"/>
  <c r="F1181" i="2"/>
  <c r="A1182" i="2"/>
  <c r="B1182" i="2"/>
  <c r="C1182" i="2"/>
  <c r="D1182" i="2"/>
  <c r="E1182" i="2"/>
  <c r="F1182" i="2"/>
  <c r="A1183" i="2"/>
  <c r="B1183" i="2"/>
  <c r="C1183" i="2"/>
  <c r="D1183" i="2"/>
  <c r="E1183" i="2"/>
  <c r="F1183" i="2"/>
  <c r="O1183" i="2" s="1"/>
  <c r="A1184" i="2"/>
  <c r="B1184" i="2"/>
  <c r="C1184" i="2"/>
  <c r="D1184" i="2"/>
  <c r="E1184" i="2"/>
  <c r="F1184" i="2"/>
  <c r="O1184" i="2" s="1"/>
  <c r="A1185" i="2"/>
  <c r="B1185" i="2"/>
  <c r="C1185" i="2"/>
  <c r="D1185" i="2"/>
  <c r="E1185" i="2"/>
  <c r="F1185" i="2"/>
  <c r="A1186" i="2"/>
  <c r="B1186" i="2"/>
  <c r="C1186" i="2"/>
  <c r="D1186" i="2"/>
  <c r="E1186" i="2"/>
  <c r="F1186" i="2"/>
  <c r="A1187" i="2"/>
  <c r="B1187" i="2"/>
  <c r="C1187" i="2"/>
  <c r="D1187" i="2"/>
  <c r="E1187" i="2"/>
  <c r="F1187" i="2"/>
  <c r="O1187" i="2" s="1"/>
  <c r="A1188" i="2"/>
  <c r="B1188" i="2"/>
  <c r="C1188" i="2"/>
  <c r="D1188" i="2"/>
  <c r="E1188" i="2"/>
  <c r="F1188" i="2"/>
  <c r="O1188" i="2" s="1"/>
  <c r="A1189" i="2"/>
  <c r="B1189" i="2"/>
  <c r="C1189" i="2"/>
  <c r="D1189" i="2"/>
  <c r="E1189" i="2"/>
  <c r="F1189" i="2"/>
  <c r="A1190" i="2"/>
  <c r="B1190" i="2"/>
  <c r="C1190" i="2"/>
  <c r="D1190" i="2"/>
  <c r="E1190" i="2"/>
  <c r="F1190" i="2"/>
  <c r="A1191" i="2"/>
  <c r="B1191" i="2"/>
  <c r="C1191" i="2"/>
  <c r="D1191" i="2"/>
  <c r="E1191" i="2"/>
  <c r="F1191" i="2"/>
  <c r="O1191" i="2" s="1"/>
  <c r="A1192" i="2"/>
  <c r="B1192" i="2"/>
  <c r="C1192" i="2"/>
  <c r="D1192" i="2"/>
  <c r="E1192" i="2"/>
  <c r="F1192" i="2"/>
  <c r="O1192" i="2" s="1"/>
  <c r="A1193" i="2"/>
  <c r="B1193" i="2"/>
  <c r="C1193" i="2"/>
  <c r="D1193" i="2"/>
  <c r="E1193" i="2"/>
  <c r="F1193" i="2"/>
  <c r="A1194" i="2"/>
  <c r="B1194" i="2"/>
  <c r="C1194" i="2"/>
  <c r="D1194" i="2"/>
  <c r="E1194" i="2"/>
  <c r="F1194" i="2"/>
  <c r="A1195" i="2"/>
  <c r="B1195" i="2"/>
  <c r="C1195" i="2"/>
  <c r="D1195" i="2"/>
  <c r="E1195" i="2"/>
  <c r="F1195" i="2"/>
  <c r="O1195" i="2" s="1"/>
  <c r="A1196" i="2"/>
  <c r="B1196" i="2"/>
  <c r="C1196" i="2"/>
  <c r="D1196" i="2"/>
  <c r="E1196" i="2"/>
  <c r="F1196" i="2"/>
  <c r="O1196" i="2" s="1"/>
  <c r="A1197" i="2"/>
  <c r="B1197" i="2"/>
  <c r="C1197" i="2"/>
  <c r="D1197" i="2"/>
  <c r="E1197" i="2"/>
  <c r="F1197" i="2"/>
  <c r="A1198" i="2"/>
  <c r="B1198" i="2"/>
  <c r="C1198" i="2"/>
  <c r="D1198" i="2"/>
  <c r="E1198" i="2"/>
  <c r="F1198" i="2"/>
  <c r="A1199" i="2"/>
  <c r="B1199" i="2"/>
  <c r="C1199" i="2"/>
  <c r="D1199" i="2"/>
  <c r="E1199" i="2"/>
  <c r="F1199" i="2"/>
  <c r="O1199" i="2" s="1"/>
  <c r="A1200" i="2"/>
  <c r="B1200" i="2"/>
  <c r="C1200" i="2"/>
  <c r="D1200" i="2"/>
  <c r="E1200" i="2"/>
  <c r="F1200" i="2"/>
  <c r="O1200" i="2" s="1"/>
  <c r="A1201" i="2"/>
  <c r="B1201" i="2"/>
  <c r="C1201" i="2"/>
  <c r="D1201" i="2"/>
  <c r="E1201" i="2"/>
  <c r="F1201" i="2"/>
  <c r="A1202" i="2"/>
  <c r="B1202" i="2"/>
  <c r="C1202" i="2"/>
  <c r="D1202" i="2"/>
  <c r="E1202" i="2"/>
  <c r="F1202" i="2"/>
  <c r="A1203" i="2"/>
  <c r="B1203" i="2"/>
  <c r="C1203" i="2"/>
  <c r="D1203" i="2"/>
  <c r="E1203" i="2"/>
  <c r="F1203" i="2"/>
  <c r="O1203" i="2" s="1"/>
  <c r="A1204" i="2"/>
  <c r="B1204" i="2"/>
  <c r="C1204" i="2"/>
  <c r="D1204" i="2"/>
  <c r="E1204" i="2"/>
  <c r="F1204" i="2"/>
  <c r="O1204" i="2" s="1"/>
  <c r="A1205" i="2"/>
  <c r="B1205" i="2"/>
  <c r="C1205" i="2"/>
  <c r="D1205" i="2"/>
  <c r="E1205" i="2"/>
  <c r="F1205" i="2"/>
  <c r="A1206" i="2"/>
  <c r="B1206" i="2"/>
  <c r="C1206" i="2"/>
  <c r="D1206" i="2"/>
  <c r="E1206" i="2"/>
  <c r="F1206" i="2"/>
  <c r="A1207" i="2"/>
  <c r="B1207" i="2"/>
  <c r="C1207" i="2"/>
  <c r="D1207" i="2"/>
  <c r="E1207" i="2"/>
  <c r="F1207" i="2"/>
  <c r="O1207" i="2" s="1"/>
  <c r="A1208" i="2"/>
  <c r="B1208" i="2"/>
  <c r="C1208" i="2"/>
  <c r="D1208" i="2"/>
  <c r="E1208" i="2"/>
  <c r="F1208" i="2"/>
  <c r="O1208" i="2" s="1"/>
  <c r="A1209" i="2"/>
  <c r="B1209" i="2"/>
  <c r="C1209" i="2"/>
  <c r="D1209" i="2"/>
  <c r="E1209" i="2"/>
  <c r="F1209" i="2"/>
  <c r="A1210" i="2"/>
  <c r="B1210" i="2"/>
  <c r="C1210" i="2"/>
  <c r="D1210" i="2"/>
  <c r="E1210" i="2"/>
  <c r="F1210" i="2"/>
  <c r="A1211" i="2"/>
  <c r="B1211" i="2"/>
  <c r="C1211" i="2"/>
  <c r="D1211" i="2"/>
  <c r="E1211" i="2"/>
  <c r="F1211" i="2"/>
  <c r="O1211" i="2" s="1"/>
  <c r="A1212" i="2"/>
  <c r="B1212" i="2"/>
  <c r="C1212" i="2"/>
  <c r="D1212" i="2"/>
  <c r="E1212" i="2"/>
  <c r="F1212" i="2"/>
  <c r="O1212" i="2" s="1"/>
  <c r="A1213" i="2"/>
  <c r="B1213" i="2"/>
  <c r="C1213" i="2"/>
  <c r="D1213" i="2"/>
  <c r="E1213" i="2"/>
  <c r="F1213" i="2"/>
  <c r="A1214" i="2"/>
  <c r="B1214" i="2"/>
  <c r="C1214" i="2"/>
  <c r="D1214" i="2"/>
  <c r="E1214" i="2"/>
  <c r="F1214" i="2"/>
  <c r="A1215" i="2"/>
  <c r="B1215" i="2"/>
  <c r="C1215" i="2"/>
  <c r="D1215" i="2"/>
  <c r="E1215" i="2"/>
  <c r="F1215" i="2"/>
  <c r="O1215" i="2" s="1"/>
  <c r="A1216" i="2"/>
  <c r="B1216" i="2"/>
  <c r="C1216" i="2"/>
  <c r="D1216" i="2"/>
  <c r="E1216" i="2"/>
  <c r="F1216" i="2"/>
  <c r="O1216" i="2" s="1"/>
  <c r="A1217" i="2"/>
  <c r="B1217" i="2"/>
  <c r="C1217" i="2"/>
  <c r="D1217" i="2"/>
  <c r="E1217" i="2"/>
  <c r="F1217" i="2"/>
  <c r="A1218" i="2"/>
  <c r="B1218" i="2"/>
  <c r="C1218" i="2"/>
  <c r="D1218" i="2"/>
  <c r="E1218" i="2"/>
  <c r="F1218" i="2"/>
  <c r="A1219" i="2"/>
  <c r="B1219" i="2"/>
  <c r="C1219" i="2"/>
  <c r="D1219" i="2"/>
  <c r="E1219" i="2"/>
  <c r="F1219" i="2"/>
  <c r="O1219" i="2" s="1"/>
  <c r="A1220" i="2"/>
  <c r="B1220" i="2"/>
  <c r="C1220" i="2"/>
  <c r="D1220" i="2"/>
  <c r="E1220" i="2"/>
  <c r="F1220" i="2"/>
  <c r="O1220" i="2" s="1"/>
  <c r="A1221" i="2"/>
  <c r="B1221" i="2"/>
  <c r="C1221" i="2"/>
  <c r="D1221" i="2"/>
  <c r="E1221" i="2"/>
  <c r="F1221" i="2"/>
  <c r="A1222" i="2"/>
  <c r="B1222" i="2"/>
  <c r="C1222" i="2"/>
  <c r="D1222" i="2"/>
  <c r="E1222" i="2"/>
  <c r="F1222" i="2"/>
  <c r="A1223" i="2"/>
  <c r="B1223" i="2"/>
  <c r="C1223" i="2"/>
  <c r="D1223" i="2"/>
  <c r="E1223" i="2"/>
  <c r="F1223" i="2"/>
  <c r="O1223" i="2" s="1"/>
  <c r="A1224" i="2"/>
  <c r="B1224" i="2"/>
  <c r="C1224" i="2"/>
  <c r="D1224" i="2"/>
  <c r="E1224" i="2"/>
  <c r="F1224" i="2"/>
  <c r="O1224" i="2" s="1"/>
  <c r="A1225" i="2"/>
  <c r="B1225" i="2"/>
  <c r="C1225" i="2"/>
  <c r="D1225" i="2"/>
  <c r="E1225" i="2"/>
  <c r="F1225" i="2"/>
  <c r="A1226" i="2"/>
  <c r="B1226" i="2"/>
  <c r="C1226" i="2"/>
  <c r="D1226" i="2"/>
  <c r="E1226" i="2"/>
  <c r="F1226" i="2"/>
  <c r="A1227" i="2"/>
  <c r="B1227" i="2"/>
  <c r="C1227" i="2"/>
  <c r="D1227" i="2"/>
  <c r="E1227" i="2"/>
  <c r="F1227" i="2"/>
  <c r="O1227" i="2" s="1"/>
  <c r="A1228" i="2"/>
  <c r="B1228" i="2"/>
  <c r="C1228" i="2"/>
  <c r="D1228" i="2"/>
  <c r="E1228" i="2"/>
  <c r="F1228" i="2"/>
  <c r="O1228" i="2" s="1"/>
  <c r="A1229" i="2"/>
  <c r="B1229" i="2"/>
  <c r="C1229" i="2"/>
  <c r="D1229" i="2"/>
  <c r="E1229" i="2"/>
  <c r="F1229" i="2"/>
  <c r="A1230" i="2"/>
  <c r="B1230" i="2"/>
  <c r="C1230" i="2"/>
  <c r="D1230" i="2"/>
  <c r="E1230" i="2"/>
  <c r="F1230" i="2"/>
  <c r="A1231" i="2"/>
  <c r="B1231" i="2"/>
  <c r="C1231" i="2"/>
  <c r="D1231" i="2"/>
  <c r="E1231" i="2"/>
  <c r="F1231" i="2"/>
  <c r="O1231" i="2" s="1"/>
  <c r="A1232" i="2"/>
  <c r="B1232" i="2"/>
  <c r="C1232" i="2"/>
  <c r="D1232" i="2"/>
  <c r="E1232" i="2"/>
  <c r="F1232" i="2"/>
  <c r="O1232" i="2" s="1"/>
  <c r="A1233" i="2"/>
  <c r="B1233" i="2"/>
  <c r="C1233" i="2"/>
  <c r="D1233" i="2"/>
  <c r="E1233" i="2"/>
  <c r="F1233" i="2"/>
  <c r="A1234" i="2"/>
  <c r="B1234" i="2"/>
  <c r="C1234" i="2"/>
  <c r="D1234" i="2"/>
  <c r="E1234" i="2"/>
  <c r="F1234" i="2"/>
  <c r="A1235" i="2"/>
  <c r="B1235" i="2"/>
  <c r="C1235" i="2"/>
  <c r="D1235" i="2"/>
  <c r="E1235" i="2"/>
  <c r="F1235" i="2"/>
  <c r="O1235" i="2" s="1"/>
  <c r="A1236" i="2"/>
  <c r="B1236" i="2"/>
  <c r="C1236" i="2"/>
  <c r="D1236" i="2"/>
  <c r="E1236" i="2"/>
  <c r="F1236" i="2"/>
  <c r="O1236" i="2" s="1"/>
  <c r="A1237" i="2"/>
  <c r="B1237" i="2"/>
  <c r="C1237" i="2"/>
  <c r="D1237" i="2"/>
  <c r="E1237" i="2"/>
  <c r="F1237" i="2"/>
  <c r="A1238" i="2"/>
  <c r="B1238" i="2"/>
  <c r="C1238" i="2"/>
  <c r="D1238" i="2"/>
  <c r="E1238" i="2"/>
  <c r="F1238" i="2"/>
  <c r="A1239" i="2"/>
  <c r="B1239" i="2"/>
  <c r="C1239" i="2"/>
  <c r="D1239" i="2"/>
  <c r="E1239" i="2"/>
  <c r="F1239" i="2"/>
  <c r="O1239" i="2" s="1"/>
  <c r="A1240" i="2"/>
  <c r="B1240" i="2"/>
  <c r="C1240" i="2"/>
  <c r="D1240" i="2"/>
  <c r="E1240" i="2"/>
  <c r="F1240" i="2"/>
  <c r="O1240" i="2" s="1"/>
  <c r="A1241" i="2"/>
  <c r="B1241" i="2"/>
  <c r="C1241" i="2"/>
  <c r="D1241" i="2"/>
  <c r="E1241" i="2"/>
  <c r="F1241" i="2"/>
  <c r="A1242" i="2"/>
  <c r="B1242" i="2"/>
  <c r="C1242" i="2"/>
  <c r="D1242" i="2"/>
  <c r="E1242" i="2"/>
  <c r="F1242" i="2"/>
  <c r="A1243" i="2"/>
  <c r="B1243" i="2"/>
  <c r="C1243" i="2"/>
  <c r="D1243" i="2"/>
  <c r="E1243" i="2"/>
  <c r="F1243" i="2"/>
  <c r="O1243" i="2" s="1"/>
  <c r="A1244" i="2"/>
  <c r="B1244" i="2"/>
  <c r="C1244" i="2"/>
  <c r="D1244" i="2"/>
  <c r="E1244" i="2"/>
  <c r="F1244" i="2"/>
  <c r="O1244" i="2" s="1"/>
  <c r="A1245" i="2"/>
  <c r="B1245" i="2"/>
  <c r="C1245" i="2"/>
  <c r="D1245" i="2"/>
  <c r="E1245" i="2"/>
  <c r="F1245" i="2"/>
  <c r="A1246" i="2"/>
  <c r="B1246" i="2"/>
  <c r="C1246" i="2"/>
  <c r="D1246" i="2"/>
  <c r="E1246" i="2"/>
  <c r="F1246" i="2"/>
  <c r="A1247" i="2"/>
  <c r="B1247" i="2"/>
  <c r="C1247" i="2"/>
  <c r="D1247" i="2"/>
  <c r="E1247" i="2"/>
  <c r="F1247" i="2"/>
  <c r="O1247" i="2" s="1"/>
  <c r="A1248" i="2"/>
  <c r="B1248" i="2"/>
  <c r="C1248" i="2"/>
  <c r="D1248" i="2"/>
  <c r="E1248" i="2"/>
  <c r="F1248" i="2"/>
  <c r="O1248" i="2" s="1"/>
  <c r="A1249" i="2"/>
  <c r="B1249" i="2"/>
  <c r="C1249" i="2"/>
  <c r="D1249" i="2"/>
  <c r="E1249" i="2"/>
  <c r="F1249" i="2"/>
  <c r="A1250" i="2"/>
  <c r="B1250" i="2"/>
  <c r="C1250" i="2"/>
  <c r="D1250" i="2"/>
  <c r="E1250" i="2"/>
  <c r="F1250" i="2"/>
  <c r="A1251" i="2"/>
  <c r="B1251" i="2"/>
  <c r="C1251" i="2"/>
  <c r="D1251" i="2"/>
  <c r="E1251" i="2"/>
  <c r="F1251" i="2"/>
  <c r="O1251" i="2" s="1"/>
  <c r="A1252" i="2"/>
  <c r="B1252" i="2"/>
  <c r="C1252" i="2"/>
  <c r="D1252" i="2"/>
  <c r="E1252" i="2"/>
  <c r="F1252" i="2"/>
  <c r="O1252" i="2" s="1"/>
  <c r="A1253" i="2"/>
  <c r="B1253" i="2"/>
  <c r="C1253" i="2"/>
  <c r="D1253" i="2"/>
  <c r="E1253" i="2"/>
  <c r="F1253" i="2"/>
  <c r="A1254" i="2"/>
  <c r="B1254" i="2"/>
  <c r="C1254" i="2"/>
  <c r="D1254" i="2"/>
  <c r="E1254" i="2"/>
  <c r="F1254" i="2"/>
  <c r="A1255" i="2"/>
  <c r="B1255" i="2"/>
  <c r="C1255" i="2"/>
  <c r="D1255" i="2"/>
  <c r="E1255" i="2"/>
  <c r="F1255" i="2"/>
  <c r="O1255" i="2" s="1"/>
  <c r="A1256" i="2"/>
  <c r="B1256" i="2"/>
  <c r="C1256" i="2"/>
  <c r="D1256" i="2"/>
  <c r="E1256" i="2"/>
  <c r="F1256" i="2"/>
  <c r="O1256" i="2" s="1"/>
  <c r="A1257" i="2"/>
  <c r="B1257" i="2"/>
  <c r="C1257" i="2"/>
  <c r="D1257" i="2"/>
  <c r="E1257" i="2"/>
  <c r="F1257" i="2"/>
  <c r="A1258" i="2"/>
  <c r="B1258" i="2"/>
  <c r="C1258" i="2"/>
  <c r="D1258" i="2"/>
  <c r="E1258" i="2"/>
  <c r="F1258" i="2"/>
  <c r="A1259" i="2"/>
  <c r="B1259" i="2"/>
  <c r="C1259" i="2"/>
  <c r="D1259" i="2"/>
  <c r="E1259" i="2"/>
  <c r="F1259" i="2"/>
  <c r="O1259" i="2" s="1"/>
  <c r="A1260" i="2"/>
  <c r="B1260" i="2"/>
  <c r="C1260" i="2"/>
  <c r="D1260" i="2"/>
  <c r="E1260" i="2"/>
  <c r="F1260" i="2"/>
  <c r="O1260" i="2" s="1"/>
  <c r="A1261" i="2"/>
  <c r="B1261" i="2"/>
  <c r="C1261" i="2"/>
  <c r="D1261" i="2"/>
  <c r="E1261" i="2"/>
  <c r="F1261" i="2"/>
  <c r="A1262" i="2"/>
  <c r="B1262" i="2"/>
  <c r="C1262" i="2"/>
  <c r="D1262" i="2"/>
  <c r="E1262" i="2"/>
  <c r="F1262" i="2"/>
  <c r="A1263" i="2"/>
  <c r="B1263" i="2"/>
  <c r="C1263" i="2"/>
  <c r="D1263" i="2"/>
  <c r="E1263" i="2"/>
  <c r="F1263" i="2"/>
  <c r="O1263" i="2" s="1"/>
  <c r="A1264" i="2"/>
  <c r="B1264" i="2"/>
  <c r="C1264" i="2"/>
  <c r="D1264" i="2"/>
  <c r="E1264" i="2"/>
  <c r="F1264" i="2"/>
  <c r="O1264" i="2" s="1"/>
  <c r="A1265" i="2"/>
  <c r="B1265" i="2"/>
  <c r="C1265" i="2"/>
  <c r="D1265" i="2"/>
  <c r="E1265" i="2"/>
  <c r="F1265" i="2"/>
  <c r="A1266" i="2"/>
  <c r="B1266" i="2"/>
  <c r="C1266" i="2"/>
  <c r="D1266" i="2"/>
  <c r="E1266" i="2"/>
  <c r="F1266" i="2"/>
  <c r="A1267" i="2"/>
  <c r="B1267" i="2"/>
  <c r="C1267" i="2"/>
  <c r="D1267" i="2"/>
  <c r="E1267" i="2"/>
  <c r="F1267" i="2"/>
  <c r="O1267" i="2" s="1"/>
  <c r="A1268" i="2"/>
  <c r="B1268" i="2"/>
  <c r="C1268" i="2"/>
  <c r="D1268" i="2"/>
  <c r="E1268" i="2"/>
  <c r="F1268" i="2"/>
  <c r="O1268" i="2" s="1"/>
  <c r="A1269" i="2"/>
  <c r="B1269" i="2"/>
  <c r="C1269" i="2"/>
  <c r="D1269" i="2"/>
  <c r="E1269" i="2"/>
  <c r="F1269" i="2"/>
  <c r="A1270" i="2"/>
  <c r="B1270" i="2"/>
  <c r="C1270" i="2"/>
  <c r="D1270" i="2"/>
  <c r="E1270" i="2"/>
  <c r="F1270" i="2"/>
  <c r="A1271" i="2"/>
  <c r="B1271" i="2"/>
  <c r="C1271" i="2"/>
  <c r="D1271" i="2"/>
  <c r="E1271" i="2"/>
  <c r="F1271" i="2"/>
  <c r="O1271" i="2" s="1"/>
  <c r="A1272" i="2"/>
  <c r="B1272" i="2"/>
  <c r="C1272" i="2"/>
  <c r="D1272" i="2"/>
  <c r="E1272" i="2"/>
  <c r="F1272" i="2"/>
  <c r="O1272" i="2" s="1"/>
  <c r="A1273" i="2"/>
  <c r="B1273" i="2"/>
  <c r="C1273" i="2"/>
  <c r="D1273" i="2"/>
  <c r="E1273" i="2"/>
  <c r="F1273" i="2"/>
  <c r="A1274" i="2"/>
  <c r="B1274" i="2"/>
  <c r="C1274" i="2"/>
  <c r="D1274" i="2"/>
  <c r="E1274" i="2"/>
  <c r="F1274" i="2"/>
  <c r="A1275" i="2"/>
  <c r="B1275" i="2"/>
  <c r="C1275" i="2"/>
  <c r="D1275" i="2"/>
  <c r="E1275" i="2"/>
  <c r="F1275" i="2"/>
  <c r="O1275" i="2" s="1"/>
  <c r="A1276" i="2"/>
  <c r="B1276" i="2"/>
  <c r="C1276" i="2"/>
  <c r="D1276" i="2"/>
  <c r="E1276" i="2"/>
  <c r="F1276" i="2"/>
  <c r="O1276" i="2" s="1"/>
  <c r="A1277" i="2"/>
  <c r="B1277" i="2"/>
  <c r="C1277" i="2"/>
  <c r="D1277" i="2"/>
  <c r="E1277" i="2"/>
  <c r="F1277" i="2"/>
  <c r="A1278" i="2"/>
  <c r="B1278" i="2"/>
  <c r="C1278" i="2"/>
  <c r="D1278" i="2"/>
  <c r="E1278" i="2"/>
  <c r="F1278" i="2"/>
  <c r="A1279" i="2"/>
  <c r="B1279" i="2"/>
  <c r="C1279" i="2"/>
  <c r="D1279" i="2"/>
  <c r="E1279" i="2"/>
  <c r="F1279" i="2"/>
  <c r="O1279" i="2" s="1"/>
  <c r="A1280" i="2"/>
  <c r="B1280" i="2"/>
  <c r="C1280" i="2"/>
  <c r="D1280" i="2"/>
  <c r="E1280" i="2"/>
  <c r="F1280" i="2"/>
  <c r="O1280" i="2" s="1"/>
  <c r="A1281" i="2"/>
  <c r="B1281" i="2"/>
  <c r="C1281" i="2"/>
  <c r="D1281" i="2"/>
  <c r="E1281" i="2"/>
  <c r="F1281" i="2"/>
  <c r="A1282" i="2"/>
  <c r="B1282" i="2"/>
  <c r="C1282" i="2"/>
  <c r="D1282" i="2"/>
  <c r="E1282" i="2"/>
  <c r="F1282" i="2"/>
  <c r="A1283" i="2"/>
  <c r="B1283" i="2"/>
  <c r="C1283" i="2"/>
  <c r="D1283" i="2"/>
  <c r="E1283" i="2"/>
  <c r="F1283" i="2"/>
  <c r="O1283" i="2" s="1"/>
  <c r="A1284" i="2"/>
  <c r="B1284" i="2"/>
  <c r="C1284" i="2"/>
  <c r="D1284" i="2"/>
  <c r="E1284" i="2"/>
  <c r="F1284" i="2"/>
  <c r="O1284" i="2" s="1"/>
  <c r="A1285" i="2"/>
  <c r="B1285" i="2"/>
  <c r="C1285" i="2"/>
  <c r="D1285" i="2"/>
  <c r="E1285" i="2"/>
  <c r="F1285" i="2"/>
  <c r="A1286" i="2"/>
  <c r="B1286" i="2"/>
  <c r="C1286" i="2"/>
  <c r="D1286" i="2"/>
  <c r="E1286" i="2"/>
  <c r="F1286" i="2"/>
  <c r="A1287" i="2"/>
  <c r="B1287" i="2"/>
  <c r="C1287" i="2"/>
  <c r="D1287" i="2"/>
  <c r="E1287" i="2"/>
  <c r="F1287" i="2"/>
  <c r="O1287" i="2" s="1"/>
  <c r="A1288" i="2"/>
  <c r="B1288" i="2"/>
  <c r="C1288" i="2"/>
  <c r="D1288" i="2"/>
  <c r="E1288" i="2"/>
  <c r="F1288" i="2"/>
  <c r="O1288" i="2" s="1"/>
  <c r="A1289" i="2"/>
  <c r="B1289" i="2"/>
  <c r="C1289" i="2"/>
  <c r="D1289" i="2"/>
  <c r="E1289" i="2"/>
  <c r="F1289" i="2"/>
  <c r="A1290" i="2"/>
  <c r="B1290" i="2"/>
  <c r="C1290" i="2"/>
  <c r="D1290" i="2"/>
  <c r="E1290" i="2"/>
  <c r="F1290" i="2"/>
  <c r="A1291" i="2"/>
  <c r="B1291" i="2"/>
  <c r="C1291" i="2"/>
  <c r="D1291" i="2"/>
  <c r="E1291" i="2"/>
  <c r="F1291" i="2"/>
  <c r="O1291" i="2" s="1"/>
  <c r="A1292" i="2"/>
  <c r="B1292" i="2"/>
  <c r="C1292" i="2"/>
  <c r="D1292" i="2"/>
  <c r="E1292" i="2"/>
  <c r="F1292" i="2"/>
  <c r="O1292" i="2" s="1"/>
  <c r="A1293" i="2"/>
  <c r="B1293" i="2"/>
  <c r="C1293" i="2"/>
  <c r="D1293" i="2"/>
  <c r="E1293" i="2"/>
  <c r="F1293" i="2"/>
  <c r="A1294" i="2"/>
  <c r="B1294" i="2"/>
  <c r="C1294" i="2"/>
  <c r="D1294" i="2"/>
  <c r="E1294" i="2"/>
  <c r="F1294" i="2"/>
  <c r="A1295" i="2"/>
  <c r="B1295" i="2"/>
  <c r="C1295" i="2"/>
  <c r="D1295" i="2"/>
  <c r="E1295" i="2"/>
  <c r="F1295" i="2"/>
  <c r="O1295" i="2" s="1"/>
  <c r="A1296" i="2"/>
  <c r="B1296" i="2"/>
  <c r="C1296" i="2"/>
  <c r="D1296" i="2"/>
  <c r="E1296" i="2"/>
  <c r="F1296" i="2"/>
  <c r="O1296" i="2" s="1"/>
  <c r="A1297" i="2"/>
  <c r="B1297" i="2"/>
  <c r="C1297" i="2"/>
  <c r="D1297" i="2"/>
  <c r="E1297" i="2"/>
  <c r="F1297" i="2"/>
  <c r="A1298" i="2"/>
  <c r="B1298" i="2"/>
  <c r="C1298" i="2"/>
  <c r="D1298" i="2"/>
  <c r="E1298" i="2"/>
  <c r="F1298" i="2"/>
  <c r="A1299" i="2"/>
  <c r="B1299" i="2"/>
  <c r="C1299" i="2"/>
  <c r="D1299" i="2"/>
  <c r="E1299" i="2"/>
  <c r="F1299" i="2"/>
  <c r="O1299" i="2" s="1"/>
  <c r="A1300" i="2"/>
  <c r="B1300" i="2"/>
  <c r="C1300" i="2"/>
  <c r="D1300" i="2"/>
  <c r="E1300" i="2"/>
  <c r="F1300" i="2"/>
  <c r="O1300" i="2" s="1"/>
  <c r="A1301" i="2"/>
  <c r="B1301" i="2"/>
  <c r="C1301" i="2"/>
  <c r="D1301" i="2"/>
  <c r="E1301" i="2"/>
  <c r="F1301" i="2"/>
  <c r="A1302" i="2"/>
  <c r="B1302" i="2"/>
  <c r="C1302" i="2"/>
  <c r="D1302" i="2"/>
  <c r="E1302" i="2"/>
  <c r="F1302" i="2"/>
  <c r="A1303" i="2"/>
  <c r="B1303" i="2"/>
  <c r="C1303" i="2"/>
  <c r="D1303" i="2"/>
  <c r="E1303" i="2"/>
  <c r="F1303" i="2"/>
  <c r="O1303" i="2" s="1"/>
  <c r="A1304" i="2"/>
  <c r="B1304" i="2"/>
  <c r="C1304" i="2"/>
  <c r="D1304" i="2"/>
  <c r="E1304" i="2"/>
  <c r="F1304" i="2"/>
  <c r="O1304" i="2" s="1"/>
  <c r="A1305" i="2"/>
  <c r="B1305" i="2"/>
  <c r="C1305" i="2"/>
  <c r="D1305" i="2"/>
  <c r="E1305" i="2"/>
  <c r="F1305" i="2"/>
  <c r="A1306" i="2"/>
  <c r="B1306" i="2"/>
  <c r="C1306" i="2"/>
  <c r="D1306" i="2"/>
  <c r="E1306" i="2"/>
  <c r="F1306" i="2"/>
  <c r="A1307" i="2"/>
  <c r="B1307" i="2"/>
  <c r="C1307" i="2"/>
  <c r="D1307" i="2"/>
  <c r="E1307" i="2"/>
  <c r="F1307" i="2"/>
  <c r="O1307" i="2" s="1"/>
  <c r="A1308" i="2"/>
  <c r="B1308" i="2"/>
  <c r="C1308" i="2"/>
  <c r="D1308" i="2"/>
  <c r="E1308" i="2"/>
  <c r="F1308" i="2"/>
  <c r="O1308" i="2" s="1"/>
  <c r="A1309" i="2"/>
  <c r="B1309" i="2"/>
  <c r="C1309" i="2"/>
  <c r="D1309" i="2"/>
  <c r="E1309" i="2"/>
  <c r="F1309" i="2"/>
  <c r="A1310" i="2"/>
  <c r="B1310" i="2"/>
  <c r="C1310" i="2"/>
  <c r="D1310" i="2"/>
  <c r="E1310" i="2"/>
  <c r="F1310" i="2"/>
  <c r="A1311" i="2"/>
  <c r="B1311" i="2"/>
  <c r="C1311" i="2"/>
  <c r="D1311" i="2"/>
  <c r="E1311" i="2"/>
  <c r="F1311" i="2"/>
  <c r="O1311" i="2" s="1"/>
  <c r="A1312" i="2"/>
  <c r="B1312" i="2"/>
  <c r="C1312" i="2"/>
  <c r="D1312" i="2"/>
  <c r="E1312" i="2"/>
  <c r="F1312" i="2"/>
  <c r="O1312" i="2" s="1"/>
  <c r="A1313" i="2"/>
  <c r="B1313" i="2"/>
  <c r="C1313" i="2"/>
  <c r="D1313" i="2"/>
  <c r="E1313" i="2"/>
  <c r="F1313" i="2"/>
  <c r="A1314" i="2"/>
  <c r="B1314" i="2"/>
  <c r="C1314" i="2"/>
  <c r="D1314" i="2"/>
  <c r="E1314" i="2"/>
  <c r="F1314" i="2"/>
  <c r="A1315" i="2"/>
  <c r="B1315" i="2"/>
  <c r="C1315" i="2"/>
  <c r="D1315" i="2"/>
  <c r="E1315" i="2"/>
  <c r="F1315" i="2"/>
  <c r="O1315" i="2" s="1"/>
  <c r="A1316" i="2"/>
  <c r="B1316" i="2"/>
  <c r="C1316" i="2"/>
  <c r="D1316" i="2"/>
  <c r="E1316" i="2"/>
  <c r="F1316" i="2"/>
  <c r="O1316" i="2" s="1"/>
  <c r="A1317" i="2"/>
  <c r="B1317" i="2"/>
  <c r="C1317" i="2"/>
  <c r="D1317" i="2"/>
  <c r="E1317" i="2"/>
  <c r="F1317" i="2"/>
  <c r="A1318" i="2"/>
  <c r="B1318" i="2"/>
  <c r="C1318" i="2"/>
  <c r="D1318" i="2"/>
  <c r="E1318" i="2"/>
  <c r="F1318" i="2"/>
  <c r="A1319" i="2"/>
  <c r="B1319" i="2"/>
  <c r="C1319" i="2"/>
  <c r="D1319" i="2"/>
  <c r="E1319" i="2"/>
  <c r="F1319" i="2"/>
  <c r="O1319" i="2" s="1"/>
  <c r="A1320" i="2"/>
  <c r="B1320" i="2"/>
  <c r="C1320" i="2"/>
  <c r="D1320" i="2"/>
  <c r="E1320" i="2"/>
  <c r="F1320" i="2"/>
  <c r="O1320" i="2" s="1"/>
  <c r="A1321" i="2"/>
  <c r="B1321" i="2"/>
  <c r="C1321" i="2"/>
  <c r="D1321" i="2"/>
  <c r="E1321" i="2"/>
  <c r="F1321" i="2"/>
  <c r="A1322" i="2"/>
  <c r="B1322" i="2"/>
  <c r="C1322" i="2"/>
  <c r="D1322" i="2"/>
  <c r="E1322" i="2"/>
  <c r="F1322" i="2"/>
  <c r="A1323" i="2"/>
  <c r="B1323" i="2"/>
  <c r="C1323" i="2"/>
  <c r="D1323" i="2"/>
  <c r="E1323" i="2"/>
  <c r="F1323" i="2"/>
  <c r="O1323" i="2" s="1"/>
  <c r="A1324" i="2"/>
  <c r="B1324" i="2"/>
  <c r="C1324" i="2"/>
  <c r="D1324" i="2"/>
  <c r="E1324" i="2"/>
  <c r="F1324" i="2"/>
  <c r="O1324" i="2" s="1"/>
  <c r="A1325" i="2"/>
  <c r="B1325" i="2"/>
  <c r="C1325" i="2"/>
  <c r="D1325" i="2"/>
  <c r="E1325" i="2"/>
  <c r="F1325" i="2"/>
  <c r="A1326" i="2"/>
  <c r="B1326" i="2"/>
  <c r="C1326" i="2"/>
  <c r="D1326" i="2"/>
  <c r="E1326" i="2"/>
  <c r="F1326" i="2"/>
  <c r="A1327" i="2"/>
  <c r="B1327" i="2"/>
  <c r="C1327" i="2"/>
  <c r="D1327" i="2"/>
  <c r="E1327" i="2"/>
  <c r="F1327" i="2"/>
  <c r="O1327" i="2" s="1"/>
  <c r="A1328" i="2"/>
  <c r="B1328" i="2"/>
  <c r="C1328" i="2"/>
  <c r="D1328" i="2"/>
  <c r="E1328" i="2"/>
  <c r="F1328" i="2"/>
  <c r="O1328" i="2" s="1"/>
  <c r="A1329" i="2"/>
  <c r="B1329" i="2"/>
  <c r="C1329" i="2"/>
  <c r="D1329" i="2"/>
  <c r="E1329" i="2"/>
  <c r="F1329" i="2"/>
  <c r="A1330" i="2"/>
  <c r="B1330" i="2"/>
  <c r="C1330" i="2"/>
  <c r="D1330" i="2"/>
  <c r="E1330" i="2"/>
  <c r="F1330" i="2"/>
  <c r="A1331" i="2"/>
  <c r="B1331" i="2"/>
  <c r="C1331" i="2"/>
  <c r="D1331" i="2"/>
  <c r="E1331" i="2"/>
  <c r="F1331" i="2"/>
  <c r="O1331" i="2" s="1"/>
  <c r="A1332" i="2"/>
  <c r="B1332" i="2"/>
  <c r="C1332" i="2"/>
  <c r="D1332" i="2"/>
  <c r="E1332" i="2"/>
  <c r="F1332" i="2"/>
  <c r="O1332" i="2" s="1"/>
  <c r="A1333" i="2"/>
  <c r="B1333" i="2"/>
  <c r="C1333" i="2"/>
  <c r="D1333" i="2"/>
  <c r="E1333" i="2"/>
  <c r="F1333" i="2"/>
  <c r="A1334" i="2"/>
  <c r="B1334" i="2"/>
  <c r="C1334" i="2"/>
  <c r="D1334" i="2"/>
  <c r="E1334" i="2"/>
  <c r="F1334" i="2"/>
  <c r="A1335" i="2"/>
  <c r="B1335" i="2"/>
  <c r="C1335" i="2"/>
  <c r="D1335" i="2"/>
  <c r="E1335" i="2"/>
  <c r="F1335" i="2"/>
  <c r="O1335" i="2" s="1"/>
  <c r="A1336" i="2"/>
  <c r="B1336" i="2"/>
  <c r="C1336" i="2"/>
  <c r="D1336" i="2"/>
  <c r="E1336" i="2"/>
  <c r="F1336" i="2"/>
  <c r="O1336" i="2" s="1"/>
  <c r="A1337" i="2"/>
  <c r="B1337" i="2"/>
  <c r="C1337" i="2"/>
  <c r="D1337" i="2"/>
  <c r="E1337" i="2"/>
  <c r="F1337" i="2"/>
  <c r="A1338" i="2"/>
  <c r="B1338" i="2"/>
  <c r="C1338" i="2"/>
  <c r="D1338" i="2"/>
  <c r="E1338" i="2"/>
  <c r="F1338" i="2"/>
  <c r="A1339" i="2"/>
  <c r="B1339" i="2"/>
  <c r="C1339" i="2"/>
  <c r="D1339" i="2"/>
  <c r="E1339" i="2"/>
  <c r="F1339" i="2"/>
  <c r="O1339" i="2" s="1"/>
  <c r="A1340" i="2"/>
  <c r="B1340" i="2"/>
  <c r="C1340" i="2"/>
  <c r="D1340" i="2"/>
  <c r="E1340" i="2"/>
  <c r="F1340" i="2"/>
  <c r="O1340" i="2" s="1"/>
  <c r="A1341" i="2"/>
  <c r="B1341" i="2"/>
  <c r="C1341" i="2"/>
  <c r="D1341" i="2"/>
  <c r="E1341" i="2"/>
  <c r="F1341" i="2"/>
  <c r="A1342" i="2"/>
  <c r="B1342" i="2"/>
  <c r="C1342" i="2"/>
  <c r="D1342" i="2"/>
  <c r="E1342" i="2"/>
  <c r="F1342" i="2"/>
  <c r="A1343" i="2"/>
  <c r="B1343" i="2"/>
  <c r="C1343" i="2"/>
  <c r="D1343" i="2"/>
  <c r="E1343" i="2"/>
  <c r="F1343" i="2"/>
  <c r="O1343" i="2" s="1"/>
  <c r="A1344" i="2"/>
  <c r="B1344" i="2"/>
  <c r="C1344" i="2"/>
  <c r="D1344" i="2"/>
  <c r="E1344" i="2"/>
  <c r="F1344" i="2"/>
  <c r="O1344" i="2" s="1"/>
  <c r="A1345" i="2"/>
  <c r="B1345" i="2"/>
  <c r="C1345" i="2"/>
  <c r="D1345" i="2"/>
  <c r="E1345" i="2"/>
  <c r="F1345" i="2"/>
  <c r="A1346" i="2"/>
  <c r="B1346" i="2"/>
  <c r="C1346" i="2"/>
  <c r="D1346" i="2"/>
  <c r="E1346" i="2"/>
  <c r="F1346" i="2"/>
  <c r="A1347" i="2"/>
  <c r="B1347" i="2"/>
  <c r="C1347" i="2"/>
  <c r="D1347" i="2"/>
  <c r="E1347" i="2"/>
  <c r="F1347" i="2"/>
  <c r="O1347" i="2" s="1"/>
  <c r="A1348" i="2"/>
  <c r="B1348" i="2"/>
  <c r="C1348" i="2"/>
  <c r="D1348" i="2"/>
  <c r="E1348" i="2"/>
  <c r="F1348" i="2"/>
  <c r="O1348" i="2" s="1"/>
  <c r="A1349" i="2"/>
  <c r="B1349" i="2"/>
  <c r="C1349" i="2"/>
  <c r="D1349" i="2"/>
  <c r="E1349" i="2"/>
  <c r="F1349" i="2"/>
  <c r="A1350" i="2"/>
  <c r="B1350" i="2"/>
  <c r="C1350" i="2"/>
  <c r="D1350" i="2"/>
  <c r="E1350" i="2"/>
  <c r="F1350" i="2"/>
  <c r="A1351" i="2"/>
  <c r="B1351" i="2"/>
  <c r="C1351" i="2"/>
  <c r="D1351" i="2"/>
  <c r="E1351" i="2"/>
  <c r="F1351" i="2"/>
  <c r="O1351" i="2" s="1"/>
  <c r="A1352" i="2"/>
  <c r="B1352" i="2"/>
  <c r="C1352" i="2"/>
  <c r="D1352" i="2"/>
  <c r="E1352" i="2"/>
  <c r="F1352" i="2"/>
  <c r="O1352" i="2" s="1"/>
  <c r="A1353" i="2"/>
  <c r="B1353" i="2"/>
  <c r="C1353" i="2"/>
  <c r="D1353" i="2"/>
  <c r="E1353" i="2"/>
  <c r="F1353" i="2"/>
  <c r="A1354" i="2"/>
  <c r="B1354" i="2"/>
  <c r="C1354" i="2"/>
  <c r="D1354" i="2"/>
  <c r="E1354" i="2"/>
  <c r="F1354" i="2"/>
  <c r="A1355" i="2"/>
  <c r="B1355" i="2"/>
  <c r="C1355" i="2"/>
  <c r="D1355" i="2"/>
  <c r="E1355" i="2"/>
  <c r="F1355" i="2"/>
  <c r="O1355" i="2" s="1"/>
  <c r="A1356" i="2"/>
  <c r="B1356" i="2"/>
  <c r="C1356" i="2"/>
  <c r="D1356" i="2"/>
  <c r="E1356" i="2"/>
  <c r="F1356" i="2"/>
  <c r="O1356" i="2" s="1"/>
  <c r="A1357" i="2"/>
  <c r="B1357" i="2"/>
  <c r="C1357" i="2"/>
  <c r="D1357" i="2"/>
  <c r="E1357" i="2"/>
  <c r="F1357" i="2"/>
  <c r="A1358" i="2"/>
  <c r="B1358" i="2"/>
  <c r="C1358" i="2"/>
  <c r="D1358" i="2"/>
  <c r="E1358" i="2"/>
  <c r="F1358" i="2"/>
  <c r="A1359" i="2"/>
  <c r="B1359" i="2"/>
  <c r="C1359" i="2"/>
  <c r="D1359" i="2"/>
  <c r="E1359" i="2"/>
  <c r="F1359" i="2"/>
  <c r="O1359" i="2" s="1"/>
  <c r="A1360" i="2"/>
  <c r="B1360" i="2"/>
  <c r="C1360" i="2"/>
  <c r="D1360" i="2"/>
  <c r="E1360" i="2"/>
  <c r="F1360" i="2"/>
  <c r="O1360" i="2" s="1"/>
  <c r="A1361" i="2"/>
  <c r="B1361" i="2"/>
  <c r="C1361" i="2"/>
  <c r="D1361" i="2"/>
  <c r="E1361" i="2"/>
  <c r="F1361" i="2"/>
  <c r="A1362" i="2"/>
  <c r="B1362" i="2"/>
  <c r="C1362" i="2"/>
  <c r="D1362" i="2"/>
  <c r="E1362" i="2"/>
  <c r="F1362" i="2"/>
  <c r="A1363" i="2"/>
  <c r="B1363" i="2"/>
  <c r="C1363" i="2"/>
  <c r="D1363" i="2"/>
  <c r="E1363" i="2"/>
  <c r="F1363" i="2"/>
  <c r="O1363" i="2" s="1"/>
  <c r="A1364" i="2"/>
  <c r="B1364" i="2"/>
  <c r="C1364" i="2"/>
  <c r="D1364" i="2"/>
  <c r="E1364" i="2"/>
  <c r="F1364" i="2"/>
  <c r="O1364" i="2" s="1"/>
  <c r="A1365" i="2"/>
  <c r="B1365" i="2"/>
  <c r="C1365" i="2"/>
  <c r="D1365" i="2"/>
  <c r="E1365" i="2"/>
  <c r="F1365" i="2"/>
  <c r="A1366" i="2"/>
  <c r="B1366" i="2"/>
  <c r="C1366" i="2"/>
  <c r="D1366" i="2"/>
  <c r="E1366" i="2"/>
  <c r="F1366" i="2"/>
  <c r="A1367" i="2"/>
  <c r="B1367" i="2"/>
  <c r="C1367" i="2"/>
  <c r="D1367" i="2"/>
  <c r="E1367" i="2"/>
  <c r="F1367" i="2"/>
  <c r="O1367" i="2" s="1"/>
  <c r="A1368" i="2"/>
  <c r="B1368" i="2"/>
  <c r="C1368" i="2"/>
  <c r="D1368" i="2"/>
  <c r="E1368" i="2"/>
  <c r="F1368" i="2"/>
  <c r="O1368" i="2" s="1"/>
  <c r="A1369" i="2"/>
  <c r="B1369" i="2"/>
  <c r="C1369" i="2"/>
  <c r="D1369" i="2"/>
  <c r="E1369" i="2"/>
  <c r="F1369" i="2"/>
  <c r="A1370" i="2"/>
  <c r="B1370" i="2"/>
  <c r="C1370" i="2"/>
  <c r="D1370" i="2"/>
  <c r="E1370" i="2"/>
  <c r="F1370" i="2"/>
  <c r="A1371" i="2"/>
  <c r="B1371" i="2"/>
  <c r="C1371" i="2"/>
  <c r="D1371" i="2"/>
  <c r="E1371" i="2"/>
  <c r="F1371" i="2"/>
  <c r="O1371" i="2" s="1"/>
  <c r="A1372" i="2"/>
  <c r="B1372" i="2"/>
  <c r="C1372" i="2"/>
  <c r="D1372" i="2"/>
  <c r="E1372" i="2"/>
  <c r="F1372" i="2"/>
  <c r="O1372" i="2" s="1"/>
  <c r="A1373" i="2"/>
  <c r="B1373" i="2"/>
  <c r="C1373" i="2"/>
  <c r="D1373" i="2"/>
  <c r="E1373" i="2"/>
  <c r="F1373" i="2"/>
  <c r="A1374" i="2"/>
  <c r="B1374" i="2"/>
  <c r="C1374" i="2"/>
  <c r="D1374" i="2"/>
  <c r="E1374" i="2"/>
  <c r="F1374" i="2"/>
  <c r="A1375" i="2"/>
  <c r="B1375" i="2"/>
  <c r="C1375" i="2"/>
  <c r="D1375" i="2"/>
  <c r="E1375" i="2"/>
  <c r="F1375" i="2"/>
  <c r="O1375" i="2" s="1"/>
  <c r="A1376" i="2"/>
  <c r="B1376" i="2"/>
  <c r="C1376" i="2"/>
  <c r="D1376" i="2"/>
  <c r="E1376" i="2"/>
  <c r="F1376" i="2"/>
  <c r="O1376" i="2" s="1"/>
  <c r="A1377" i="2"/>
  <c r="B1377" i="2"/>
  <c r="C1377" i="2"/>
  <c r="D1377" i="2"/>
  <c r="E1377" i="2"/>
  <c r="F1377" i="2"/>
  <c r="A1378" i="2"/>
  <c r="B1378" i="2"/>
  <c r="C1378" i="2"/>
  <c r="D1378" i="2"/>
  <c r="E1378" i="2"/>
  <c r="F1378" i="2"/>
  <c r="A1379" i="2"/>
  <c r="B1379" i="2"/>
  <c r="C1379" i="2"/>
  <c r="D1379" i="2"/>
  <c r="E1379" i="2"/>
  <c r="F1379" i="2"/>
  <c r="O1379" i="2" s="1"/>
  <c r="A1380" i="2"/>
  <c r="B1380" i="2"/>
  <c r="C1380" i="2"/>
  <c r="D1380" i="2"/>
  <c r="E1380" i="2"/>
  <c r="F1380" i="2"/>
  <c r="O1380" i="2" s="1"/>
  <c r="A1381" i="2"/>
  <c r="B1381" i="2"/>
  <c r="C1381" i="2"/>
  <c r="D1381" i="2"/>
  <c r="E1381" i="2"/>
  <c r="F1381" i="2"/>
  <c r="A1382" i="2"/>
  <c r="B1382" i="2"/>
  <c r="C1382" i="2"/>
  <c r="D1382" i="2"/>
  <c r="E1382" i="2"/>
  <c r="F1382" i="2"/>
  <c r="A1383" i="2"/>
  <c r="B1383" i="2"/>
  <c r="C1383" i="2"/>
  <c r="D1383" i="2"/>
  <c r="E1383" i="2"/>
  <c r="F1383" i="2"/>
  <c r="O1383" i="2" s="1"/>
  <c r="A1384" i="2"/>
  <c r="B1384" i="2"/>
  <c r="C1384" i="2"/>
  <c r="D1384" i="2"/>
  <c r="E1384" i="2"/>
  <c r="F1384" i="2"/>
  <c r="O1384" i="2" s="1"/>
  <c r="A1385" i="2"/>
  <c r="B1385" i="2"/>
  <c r="C1385" i="2"/>
  <c r="D1385" i="2"/>
  <c r="E1385" i="2"/>
  <c r="F1385" i="2"/>
  <c r="A1386" i="2"/>
  <c r="B1386" i="2"/>
  <c r="C1386" i="2"/>
  <c r="D1386" i="2"/>
  <c r="E1386" i="2"/>
  <c r="F1386" i="2"/>
  <c r="A1387" i="2"/>
  <c r="B1387" i="2"/>
  <c r="C1387" i="2"/>
  <c r="D1387" i="2"/>
  <c r="E1387" i="2"/>
  <c r="F1387" i="2"/>
  <c r="O1387" i="2" s="1"/>
  <c r="A1388" i="2"/>
  <c r="B1388" i="2"/>
  <c r="C1388" i="2"/>
  <c r="D1388" i="2"/>
  <c r="E1388" i="2"/>
  <c r="F1388" i="2"/>
  <c r="O1388" i="2" s="1"/>
  <c r="A1389" i="2"/>
  <c r="B1389" i="2"/>
  <c r="C1389" i="2"/>
  <c r="D1389" i="2"/>
  <c r="E1389" i="2"/>
  <c r="F1389" i="2"/>
  <c r="A1390" i="2"/>
  <c r="B1390" i="2"/>
  <c r="C1390" i="2"/>
  <c r="D1390" i="2"/>
  <c r="E1390" i="2"/>
  <c r="F1390" i="2"/>
  <c r="A1391" i="2"/>
  <c r="B1391" i="2"/>
  <c r="C1391" i="2"/>
  <c r="D1391" i="2"/>
  <c r="E1391" i="2"/>
  <c r="F1391" i="2"/>
  <c r="O1391" i="2" s="1"/>
  <c r="A1392" i="2"/>
  <c r="B1392" i="2"/>
  <c r="C1392" i="2"/>
  <c r="D1392" i="2"/>
  <c r="E1392" i="2"/>
  <c r="F1392" i="2"/>
  <c r="O1392" i="2" s="1"/>
  <c r="A1393" i="2"/>
  <c r="B1393" i="2"/>
  <c r="C1393" i="2"/>
  <c r="D1393" i="2"/>
  <c r="E1393" i="2"/>
  <c r="F1393" i="2"/>
  <c r="A1394" i="2"/>
  <c r="B1394" i="2"/>
  <c r="C1394" i="2"/>
  <c r="D1394" i="2"/>
  <c r="E1394" i="2"/>
  <c r="F1394" i="2"/>
  <c r="A1395" i="2"/>
  <c r="B1395" i="2"/>
  <c r="C1395" i="2"/>
  <c r="D1395" i="2"/>
  <c r="E1395" i="2"/>
  <c r="F1395" i="2"/>
  <c r="O1395" i="2" s="1"/>
  <c r="A1396" i="2"/>
  <c r="B1396" i="2"/>
  <c r="C1396" i="2"/>
  <c r="D1396" i="2"/>
  <c r="E1396" i="2"/>
  <c r="F1396" i="2"/>
  <c r="O1396" i="2" s="1"/>
  <c r="A1397" i="2"/>
  <c r="B1397" i="2"/>
  <c r="C1397" i="2"/>
  <c r="D1397" i="2"/>
  <c r="E1397" i="2"/>
  <c r="F1397" i="2"/>
  <c r="A1398" i="2"/>
  <c r="B1398" i="2"/>
  <c r="C1398" i="2"/>
  <c r="D1398" i="2"/>
  <c r="E1398" i="2"/>
  <c r="F1398" i="2"/>
  <c r="A1399" i="2"/>
  <c r="B1399" i="2"/>
  <c r="C1399" i="2"/>
  <c r="D1399" i="2"/>
  <c r="E1399" i="2"/>
  <c r="F1399" i="2"/>
  <c r="O1399" i="2" s="1"/>
  <c r="A1400" i="2"/>
  <c r="B1400" i="2"/>
  <c r="C1400" i="2"/>
  <c r="D1400" i="2"/>
  <c r="E1400" i="2"/>
  <c r="F1400" i="2"/>
  <c r="O1400" i="2" s="1"/>
  <c r="A1401" i="2"/>
  <c r="B1401" i="2"/>
  <c r="C1401" i="2"/>
  <c r="D1401" i="2"/>
  <c r="E1401" i="2"/>
  <c r="F1401" i="2"/>
  <c r="A1402" i="2"/>
  <c r="B1402" i="2"/>
  <c r="C1402" i="2"/>
  <c r="D1402" i="2"/>
  <c r="E1402" i="2"/>
  <c r="F1402" i="2"/>
  <c r="A1403" i="2"/>
  <c r="B1403" i="2"/>
  <c r="C1403" i="2"/>
  <c r="D1403" i="2"/>
  <c r="E1403" i="2"/>
  <c r="F1403" i="2"/>
  <c r="O1403" i="2" s="1"/>
  <c r="A1404" i="2"/>
  <c r="B1404" i="2"/>
  <c r="C1404" i="2"/>
  <c r="D1404" i="2"/>
  <c r="E1404" i="2"/>
  <c r="F1404" i="2"/>
  <c r="O1404" i="2" s="1"/>
  <c r="A1405" i="2"/>
  <c r="B1405" i="2"/>
  <c r="C1405" i="2"/>
  <c r="D1405" i="2"/>
  <c r="E1405" i="2"/>
  <c r="F1405" i="2"/>
  <c r="A1406" i="2"/>
  <c r="B1406" i="2"/>
  <c r="C1406" i="2"/>
  <c r="D1406" i="2"/>
  <c r="E1406" i="2"/>
  <c r="F1406" i="2"/>
  <c r="A1407" i="2"/>
  <c r="B1407" i="2"/>
  <c r="C1407" i="2"/>
  <c r="D1407" i="2"/>
  <c r="E1407" i="2"/>
  <c r="F1407" i="2"/>
  <c r="O1407" i="2" s="1"/>
  <c r="A1408" i="2"/>
  <c r="B1408" i="2"/>
  <c r="C1408" i="2"/>
  <c r="D1408" i="2"/>
  <c r="E1408" i="2"/>
  <c r="F1408" i="2"/>
  <c r="O1408" i="2" s="1"/>
  <c r="A1409" i="2"/>
  <c r="B1409" i="2"/>
  <c r="C1409" i="2"/>
  <c r="D1409" i="2"/>
  <c r="E1409" i="2"/>
  <c r="F1409" i="2"/>
  <c r="A1410" i="2"/>
  <c r="B1410" i="2"/>
  <c r="C1410" i="2"/>
  <c r="D1410" i="2"/>
  <c r="E1410" i="2"/>
  <c r="F1410" i="2"/>
  <c r="A1411" i="2"/>
  <c r="B1411" i="2"/>
  <c r="C1411" i="2"/>
  <c r="D1411" i="2"/>
  <c r="E1411" i="2"/>
  <c r="F1411" i="2"/>
  <c r="O1411" i="2" s="1"/>
  <c r="A1412" i="2"/>
  <c r="B1412" i="2"/>
  <c r="C1412" i="2"/>
  <c r="D1412" i="2"/>
  <c r="E1412" i="2"/>
  <c r="F1412" i="2"/>
  <c r="O1412" i="2" s="1"/>
  <c r="A1413" i="2"/>
  <c r="B1413" i="2"/>
  <c r="C1413" i="2"/>
  <c r="D1413" i="2"/>
  <c r="E1413" i="2"/>
  <c r="F1413" i="2"/>
  <c r="A1414" i="2"/>
  <c r="B1414" i="2"/>
  <c r="C1414" i="2"/>
  <c r="D1414" i="2"/>
  <c r="E1414" i="2"/>
  <c r="F1414" i="2"/>
  <c r="A1415" i="2"/>
  <c r="B1415" i="2"/>
  <c r="C1415" i="2"/>
  <c r="D1415" i="2"/>
  <c r="E1415" i="2"/>
  <c r="F1415" i="2"/>
  <c r="O1415" i="2" s="1"/>
  <c r="A1416" i="2"/>
  <c r="B1416" i="2"/>
  <c r="C1416" i="2"/>
  <c r="D1416" i="2"/>
  <c r="E1416" i="2"/>
  <c r="F1416" i="2"/>
  <c r="O1416" i="2" s="1"/>
  <c r="A1417" i="2"/>
  <c r="B1417" i="2"/>
  <c r="C1417" i="2"/>
  <c r="D1417" i="2"/>
  <c r="E1417" i="2"/>
  <c r="F1417" i="2"/>
  <c r="A1418" i="2"/>
  <c r="B1418" i="2"/>
  <c r="C1418" i="2"/>
  <c r="D1418" i="2"/>
  <c r="E1418" i="2"/>
  <c r="F1418" i="2"/>
  <c r="A1419" i="2"/>
  <c r="B1419" i="2"/>
  <c r="C1419" i="2"/>
  <c r="D1419" i="2"/>
  <c r="E1419" i="2"/>
  <c r="F1419" i="2"/>
  <c r="O1419" i="2" s="1"/>
  <c r="A1420" i="2"/>
  <c r="B1420" i="2"/>
  <c r="C1420" i="2"/>
  <c r="D1420" i="2"/>
  <c r="E1420" i="2"/>
  <c r="F1420" i="2"/>
  <c r="O1420" i="2" s="1"/>
  <c r="A1421" i="2"/>
  <c r="B1421" i="2"/>
  <c r="C1421" i="2"/>
  <c r="D1421" i="2"/>
  <c r="E1421" i="2"/>
  <c r="F1421" i="2"/>
  <c r="A1422" i="2"/>
  <c r="B1422" i="2"/>
  <c r="C1422" i="2"/>
  <c r="D1422" i="2"/>
  <c r="E1422" i="2"/>
  <c r="F1422" i="2"/>
  <c r="A1423" i="2"/>
  <c r="B1423" i="2"/>
  <c r="C1423" i="2"/>
  <c r="D1423" i="2"/>
  <c r="E1423" i="2"/>
  <c r="F1423" i="2"/>
  <c r="O1423" i="2" s="1"/>
  <c r="A1424" i="2"/>
  <c r="B1424" i="2"/>
  <c r="C1424" i="2"/>
  <c r="D1424" i="2"/>
  <c r="E1424" i="2"/>
  <c r="F1424" i="2"/>
  <c r="O1424" i="2" s="1"/>
  <c r="A1425" i="2"/>
  <c r="B1425" i="2"/>
  <c r="C1425" i="2"/>
  <c r="D1425" i="2"/>
  <c r="E1425" i="2"/>
  <c r="F1425" i="2"/>
  <c r="A1426" i="2"/>
  <c r="B1426" i="2"/>
  <c r="C1426" i="2"/>
  <c r="D1426" i="2"/>
  <c r="E1426" i="2"/>
  <c r="F1426" i="2"/>
  <c r="A1427" i="2"/>
  <c r="B1427" i="2"/>
  <c r="C1427" i="2"/>
  <c r="D1427" i="2"/>
  <c r="E1427" i="2"/>
  <c r="F1427" i="2"/>
  <c r="O1427" i="2" s="1"/>
  <c r="A1428" i="2"/>
  <c r="B1428" i="2"/>
  <c r="C1428" i="2"/>
  <c r="D1428" i="2"/>
  <c r="E1428" i="2"/>
  <c r="F1428" i="2"/>
  <c r="O1428" i="2" s="1"/>
  <c r="A1429" i="2"/>
  <c r="B1429" i="2"/>
  <c r="C1429" i="2"/>
  <c r="D1429" i="2"/>
  <c r="E1429" i="2"/>
  <c r="F1429" i="2"/>
  <c r="A1430" i="2"/>
  <c r="B1430" i="2"/>
  <c r="C1430" i="2"/>
  <c r="D1430" i="2"/>
  <c r="E1430" i="2"/>
  <c r="F1430" i="2"/>
  <c r="A1431" i="2"/>
  <c r="B1431" i="2"/>
  <c r="C1431" i="2"/>
  <c r="D1431" i="2"/>
  <c r="E1431" i="2"/>
  <c r="F1431" i="2"/>
  <c r="O1431" i="2" s="1"/>
  <c r="A1432" i="2"/>
  <c r="B1432" i="2"/>
  <c r="C1432" i="2"/>
  <c r="D1432" i="2"/>
  <c r="E1432" i="2"/>
  <c r="F1432" i="2"/>
  <c r="O1432" i="2" s="1"/>
  <c r="A1433" i="2"/>
  <c r="B1433" i="2"/>
  <c r="C1433" i="2"/>
  <c r="D1433" i="2"/>
  <c r="E1433" i="2"/>
  <c r="F1433" i="2"/>
  <c r="A1434" i="2"/>
  <c r="B1434" i="2"/>
  <c r="C1434" i="2"/>
  <c r="D1434" i="2"/>
  <c r="E1434" i="2"/>
  <c r="F1434" i="2"/>
  <c r="A1435" i="2"/>
  <c r="B1435" i="2"/>
  <c r="C1435" i="2"/>
  <c r="D1435" i="2"/>
  <c r="E1435" i="2"/>
  <c r="F1435" i="2"/>
  <c r="O1435" i="2" s="1"/>
  <c r="A1436" i="2"/>
  <c r="B1436" i="2"/>
  <c r="C1436" i="2"/>
  <c r="D1436" i="2"/>
  <c r="E1436" i="2"/>
  <c r="F1436" i="2"/>
  <c r="O1436" i="2" s="1"/>
  <c r="A1437" i="2"/>
  <c r="B1437" i="2"/>
  <c r="C1437" i="2"/>
  <c r="D1437" i="2"/>
  <c r="E1437" i="2"/>
  <c r="F1437" i="2"/>
  <c r="A1438" i="2"/>
  <c r="B1438" i="2"/>
  <c r="C1438" i="2"/>
  <c r="D1438" i="2"/>
  <c r="E1438" i="2"/>
  <c r="F1438" i="2"/>
  <c r="A1439" i="2"/>
  <c r="B1439" i="2"/>
  <c r="C1439" i="2"/>
  <c r="D1439" i="2"/>
  <c r="E1439" i="2"/>
  <c r="F1439" i="2"/>
  <c r="O1439" i="2" s="1"/>
  <c r="A1440" i="2"/>
  <c r="B1440" i="2"/>
  <c r="C1440" i="2"/>
  <c r="D1440" i="2"/>
  <c r="E1440" i="2"/>
  <c r="F1440" i="2"/>
  <c r="O1440" i="2" s="1"/>
  <c r="A1441" i="2"/>
  <c r="B1441" i="2"/>
  <c r="C1441" i="2"/>
  <c r="D1441" i="2"/>
  <c r="E1441" i="2"/>
  <c r="F1441" i="2"/>
  <c r="A1442" i="2"/>
  <c r="B1442" i="2"/>
  <c r="C1442" i="2"/>
  <c r="D1442" i="2"/>
  <c r="E1442" i="2"/>
  <c r="F1442" i="2"/>
  <c r="A1443" i="2"/>
  <c r="B1443" i="2"/>
  <c r="C1443" i="2"/>
  <c r="D1443" i="2"/>
  <c r="E1443" i="2"/>
  <c r="F1443" i="2"/>
  <c r="O1443" i="2" s="1"/>
  <c r="A1444" i="2"/>
  <c r="B1444" i="2"/>
  <c r="C1444" i="2"/>
  <c r="D1444" i="2"/>
  <c r="E1444" i="2"/>
  <c r="F1444" i="2"/>
  <c r="O1444" i="2" s="1"/>
  <c r="A1445" i="2"/>
  <c r="B1445" i="2"/>
  <c r="C1445" i="2"/>
  <c r="D1445" i="2"/>
  <c r="E1445" i="2"/>
  <c r="F1445" i="2"/>
  <c r="A1446" i="2"/>
  <c r="B1446" i="2"/>
  <c r="C1446" i="2"/>
  <c r="D1446" i="2"/>
  <c r="E1446" i="2"/>
  <c r="F1446" i="2"/>
  <c r="A1447" i="2"/>
  <c r="B1447" i="2"/>
  <c r="C1447" i="2"/>
  <c r="D1447" i="2"/>
  <c r="E1447" i="2"/>
  <c r="F1447" i="2"/>
  <c r="O1447" i="2" s="1"/>
  <c r="A1448" i="2"/>
  <c r="B1448" i="2"/>
  <c r="C1448" i="2"/>
  <c r="D1448" i="2"/>
  <c r="E1448" i="2"/>
  <c r="F1448" i="2"/>
  <c r="O1448" i="2" s="1"/>
  <c r="A1449" i="2"/>
  <c r="B1449" i="2"/>
  <c r="C1449" i="2"/>
  <c r="D1449" i="2"/>
  <c r="E1449" i="2"/>
  <c r="F1449" i="2"/>
  <c r="A1450" i="2"/>
  <c r="B1450" i="2"/>
  <c r="C1450" i="2"/>
  <c r="D1450" i="2"/>
  <c r="E1450" i="2"/>
  <c r="F1450" i="2"/>
  <c r="A1451" i="2"/>
  <c r="B1451" i="2"/>
  <c r="C1451" i="2"/>
  <c r="D1451" i="2"/>
  <c r="E1451" i="2"/>
  <c r="F1451" i="2"/>
  <c r="O1451" i="2" s="1"/>
  <c r="A1452" i="2"/>
  <c r="B1452" i="2"/>
  <c r="C1452" i="2"/>
  <c r="D1452" i="2"/>
  <c r="E1452" i="2"/>
  <c r="F1452" i="2"/>
  <c r="O1452" i="2" s="1"/>
  <c r="A1453" i="2"/>
  <c r="B1453" i="2"/>
  <c r="C1453" i="2"/>
  <c r="D1453" i="2"/>
  <c r="E1453" i="2"/>
  <c r="F1453" i="2"/>
  <c r="A1454" i="2"/>
  <c r="B1454" i="2"/>
  <c r="C1454" i="2"/>
  <c r="D1454" i="2"/>
  <c r="E1454" i="2"/>
  <c r="F1454" i="2"/>
  <c r="A1455" i="2"/>
  <c r="B1455" i="2"/>
  <c r="C1455" i="2"/>
  <c r="D1455" i="2"/>
  <c r="E1455" i="2"/>
  <c r="F1455" i="2"/>
  <c r="O1455" i="2" s="1"/>
  <c r="A1456" i="2"/>
  <c r="B1456" i="2"/>
  <c r="C1456" i="2"/>
  <c r="D1456" i="2"/>
  <c r="E1456" i="2"/>
  <c r="F1456" i="2"/>
  <c r="O1456" i="2" s="1"/>
  <c r="A1457" i="2"/>
  <c r="B1457" i="2"/>
  <c r="C1457" i="2"/>
  <c r="D1457" i="2"/>
  <c r="E1457" i="2"/>
  <c r="F1457" i="2"/>
  <c r="A1458" i="2"/>
  <c r="B1458" i="2"/>
  <c r="C1458" i="2"/>
  <c r="D1458" i="2"/>
  <c r="E1458" i="2"/>
  <c r="F1458" i="2"/>
  <c r="A1459" i="2"/>
  <c r="B1459" i="2"/>
  <c r="C1459" i="2"/>
  <c r="D1459" i="2"/>
  <c r="E1459" i="2"/>
  <c r="F1459" i="2"/>
  <c r="O1459" i="2" s="1"/>
  <c r="A1460" i="2"/>
  <c r="B1460" i="2"/>
  <c r="C1460" i="2"/>
  <c r="D1460" i="2"/>
  <c r="E1460" i="2"/>
  <c r="F1460" i="2"/>
  <c r="O1460" i="2" s="1"/>
  <c r="A1461" i="2"/>
  <c r="B1461" i="2"/>
  <c r="C1461" i="2"/>
  <c r="D1461" i="2"/>
  <c r="E1461" i="2"/>
  <c r="F1461" i="2"/>
  <c r="A1462" i="2"/>
  <c r="B1462" i="2"/>
  <c r="C1462" i="2"/>
  <c r="D1462" i="2"/>
  <c r="E1462" i="2"/>
  <c r="F1462" i="2"/>
  <c r="A1463" i="2"/>
  <c r="B1463" i="2"/>
  <c r="C1463" i="2"/>
  <c r="D1463" i="2"/>
  <c r="E1463" i="2"/>
  <c r="F1463" i="2"/>
  <c r="O1463" i="2" s="1"/>
  <c r="A1464" i="2"/>
  <c r="B1464" i="2"/>
  <c r="C1464" i="2"/>
  <c r="D1464" i="2"/>
  <c r="E1464" i="2"/>
  <c r="F1464" i="2"/>
  <c r="O1464" i="2" s="1"/>
  <c r="A1465" i="2"/>
  <c r="B1465" i="2"/>
  <c r="C1465" i="2"/>
  <c r="D1465" i="2"/>
  <c r="E1465" i="2"/>
  <c r="F1465" i="2"/>
  <c r="A1466" i="2"/>
  <c r="B1466" i="2"/>
  <c r="C1466" i="2"/>
  <c r="D1466" i="2"/>
  <c r="E1466" i="2"/>
  <c r="F1466" i="2"/>
  <c r="A1467" i="2"/>
  <c r="B1467" i="2"/>
  <c r="C1467" i="2"/>
  <c r="D1467" i="2"/>
  <c r="E1467" i="2"/>
  <c r="F1467" i="2"/>
  <c r="O1467" i="2" s="1"/>
  <c r="A1468" i="2"/>
  <c r="B1468" i="2"/>
  <c r="C1468" i="2"/>
  <c r="D1468" i="2"/>
  <c r="E1468" i="2"/>
  <c r="F1468" i="2"/>
  <c r="O1468" i="2" s="1"/>
  <c r="A1469" i="2"/>
  <c r="B1469" i="2"/>
  <c r="C1469" i="2"/>
  <c r="D1469" i="2"/>
  <c r="E1469" i="2"/>
  <c r="F1469" i="2"/>
  <c r="A1470" i="2"/>
  <c r="B1470" i="2"/>
  <c r="C1470" i="2"/>
  <c r="D1470" i="2"/>
  <c r="E1470" i="2"/>
  <c r="F1470" i="2"/>
  <c r="A1471" i="2"/>
  <c r="B1471" i="2"/>
  <c r="C1471" i="2"/>
  <c r="D1471" i="2"/>
  <c r="E1471" i="2"/>
  <c r="F1471" i="2"/>
  <c r="O1471" i="2" s="1"/>
  <c r="A1472" i="2"/>
  <c r="B1472" i="2"/>
  <c r="C1472" i="2"/>
  <c r="D1472" i="2"/>
  <c r="E1472" i="2"/>
  <c r="F1472" i="2"/>
  <c r="O1472" i="2" s="1"/>
  <c r="A1473" i="2"/>
  <c r="B1473" i="2"/>
  <c r="C1473" i="2"/>
  <c r="D1473" i="2"/>
  <c r="E1473" i="2"/>
  <c r="F1473" i="2"/>
  <c r="A1474" i="2"/>
  <c r="B1474" i="2"/>
  <c r="C1474" i="2"/>
  <c r="D1474" i="2"/>
  <c r="E1474" i="2"/>
  <c r="F1474" i="2"/>
  <c r="A1475" i="2"/>
  <c r="B1475" i="2"/>
  <c r="C1475" i="2"/>
  <c r="D1475" i="2"/>
  <c r="E1475" i="2"/>
  <c r="F1475" i="2"/>
  <c r="O1475" i="2" s="1"/>
  <c r="A1476" i="2"/>
  <c r="B1476" i="2"/>
  <c r="C1476" i="2"/>
  <c r="D1476" i="2"/>
  <c r="E1476" i="2"/>
  <c r="F1476" i="2"/>
  <c r="O1476" i="2" s="1"/>
  <c r="A1477" i="2"/>
  <c r="B1477" i="2"/>
  <c r="C1477" i="2"/>
  <c r="D1477" i="2"/>
  <c r="E1477" i="2"/>
  <c r="F1477" i="2"/>
  <c r="A1478" i="2"/>
  <c r="B1478" i="2"/>
  <c r="C1478" i="2"/>
  <c r="D1478" i="2"/>
  <c r="E1478" i="2"/>
  <c r="F1478" i="2"/>
  <c r="A1479" i="2"/>
  <c r="B1479" i="2"/>
  <c r="C1479" i="2"/>
  <c r="D1479" i="2"/>
  <c r="E1479" i="2"/>
  <c r="F1479" i="2"/>
  <c r="O1479" i="2" s="1"/>
  <c r="A1480" i="2"/>
  <c r="B1480" i="2"/>
  <c r="C1480" i="2"/>
  <c r="D1480" i="2"/>
  <c r="E1480" i="2"/>
  <c r="F1480" i="2"/>
  <c r="O1480" i="2" s="1"/>
  <c r="A1481" i="2"/>
  <c r="B1481" i="2"/>
  <c r="C1481" i="2"/>
  <c r="D1481" i="2"/>
  <c r="E1481" i="2"/>
  <c r="F1481" i="2"/>
  <c r="A1482" i="2"/>
  <c r="B1482" i="2"/>
  <c r="C1482" i="2"/>
  <c r="D1482" i="2"/>
  <c r="E1482" i="2"/>
  <c r="F1482" i="2"/>
  <c r="A1483" i="2"/>
  <c r="B1483" i="2"/>
  <c r="C1483" i="2"/>
  <c r="D1483" i="2"/>
  <c r="E1483" i="2"/>
  <c r="F1483" i="2"/>
  <c r="O1483" i="2" s="1"/>
  <c r="A1484" i="2"/>
  <c r="B1484" i="2"/>
  <c r="C1484" i="2"/>
  <c r="D1484" i="2"/>
  <c r="E1484" i="2"/>
  <c r="F1484" i="2"/>
  <c r="O1484" i="2" s="1"/>
  <c r="A1485" i="2"/>
  <c r="B1485" i="2"/>
  <c r="C1485" i="2"/>
  <c r="D1485" i="2"/>
  <c r="E1485" i="2"/>
  <c r="F1485" i="2"/>
  <c r="A1486" i="2"/>
  <c r="B1486" i="2"/>
  <c r="C1486" i="2"/>
  <c r="D1486" i="2"/>
  <c r="E1486" i="2"/>
  <c r="F1486" i="2"/>
  <c r="A1487" i="2"/>
  <c r="B1487" i="2"/>
  <c r="C1487" i="2"/>
  <c r="D1487" i="2"/>
  <c r="E1487" i="2"/>
  <c r="F1487" i="2"/>
  <c r="O1487" i="2" s="1"/>
  <c r="A1488" i="2"/>
  <c r="B1488" i="2"/>
  <c r="C1488" i="2"/>
  <c r="D1488" i="2"/>
  <c r="E1488" i="2"/>
  <c r="F1488" i="2"/>
  <c r="O1488" i="2" s="1"/>
  <c r="A1489" i="2"/>
  <c r="B1489" i="2"/>
  <c r="C1489" i="2"/>
  <c r="D1489" i="2"/>
  <c r="E1489" i="2"/>
  <c r="F1489" i="2"/>
  <c r="A1490" i="2"/>
  <c r="B1490" i="2"/>
  <c r="C1490" i="2"/>
  <c r="D1490" i="2"/>
  <c r="E1490" i="2"/>
  <c r="F1490" i="2"/>
  <c r="A1491" i="2"/>
  <c r="B1491" i="2"/>
  <c r="C1491" i="2"/>
  <c r="D1491" i="2"/>
  <c r="E1491" i="2"/>
  <c r="F1491" i="2"/>
  <c r="O1491" i="2" s="1"/>
  <c r="A1492" i="2"/>
  <c r="B1492" i="2"/>
  <c r="C1492" i="2"/>
  <c r="D1492" i="2"/>
  <c r="E1492" i="2"/>
  <c r="F1492" i="2"/>
  <c r="O1492" i="2" s="1"/>
  <c r="A1493" i="2"/>
  <c r="B1493" i="2"/>
  <c r="C1493" i="2"/>
  <c r="D1493" i="2"/>
  <c r="E1493" i="2"/>
  <c r="F1493" i="2"/>
  <c r="A1494" i="2"/>
  <c r="B1494" i="2"/>
  <c r="C1494" i="2"/>
  <c r="D1494" i="2"/>
  <c r="E1494" i="2"/>
  <c r="F1494" i="2"/>
  <c r="A1495" i="2"/>
  <c r="B1495" i="2"/>
  <c r="C1495" i="2"/>
  <c r="D1495" i="2"/>
  <c r="E1495" i="2"/>
  <c r="F1495" i="2"/>
  <c r="O1495" i="2" s="1"/>
  <c r="A1496" i="2"/>
  <c r="B1496" i="2"/>
  <c r="C1496" i="2"/>
  <c r="D1496" i="2"/>
  <c r="E1496" i="2"/>
  <c r="F1496" i="2"/>
  <c r="O1496" i="2" s="1"/>
  <c r="A1497" i="2"/>
  <c r="B1497" i="2"/>
  <c r="C1497" i="2"/>
  <c r="D1497" i="2"/>
  <c r="E1497" i="2"/>
  <c r="F1497" i="2"/>
  <c r="A1498" i="2"/>
  <c r="B1498" i="2"/>
  <c r="C1498" i="2"/>
  <c r="D1498" i="2"/>
  <c r="E1498" i="2"/>
  <c r="F1498" i="2"/>
  <c r="A1499" i="2"/>
  <c r="B1499" i="2"/>
  <c r="C1499" i="2"/>
  <c r="D1499" i="2"/>
  <c r="E1499" i="2"/>
  <c r="F1499" i="2"/>
  <c r="O1499" i="2" s="1"/>
  <c r="A1500" i="2"/>
  <c r="B1500" i="2"/>
  <c r="C1500" i="2"/>
  <c r="D1500" i="2"/>
  <c r="E1500" i="2"/>
  <c r="F1500" i="2"/>
  <c r="O1500" i="2" s="1"/>
  <c r="A1501" i="2"/>
  <c r="B1501" i="2"/>
  <c r="C1501" i="2"/>
  <c r="D1501" i="2"/>
  <c r="E1501" i="2"/>
  <c r="F1501" i="2"/>
  <c r="A1502" i="2"/>
  <c r="B1502" i="2"/>
  <c r="C1502" i="2"/>
  <c r="D1502" i="2"/>
  <c r="E1502" i="2"/>
  <c r="F1502" i="2"/>
  <c r="A1503" i="2"/>
  <c r="B1503" i="2"/>
  <c r="C1503" i="2"/>
  <c r="D1503" i="2"/>
  <c r="E1503" i="2"/>
  <c r="F1503" i="2"/>
  <c r="O1503" i="2" s="1"/>
  <c r="A1504" i="2"/>
  <c r="B1504" i="2"/>
  <c r="C1504" i="2"/>
  <c r="D1504" i="2"/>
  <c r="E1504" i="2"/>
  <c r="F1504" i="2"/>
  <c r="O1504" i="2" s="1"/>
  <c r="A1505" i="2"/>
  <c r="B1505" i="2"/>
  <c r="C1505" i="2"/>
  <c r="D1505" i="2"/>
  <c r="E1505" i="2"/>
  <c r="F1505" i="2"/>
  <c r="A1506" i="2"/>
  <c r="B1506" i="2"/>
  <c r="C1506" i="2"/>
  <c r="D1506" i="2"/>
  <c r="E1506" i="2"/>
  <c r="F1506" i="2"/>
  <c r="A1507" i="2"/>
  <c r="B1507" i="2"/>
  <c r="C1507" i="2"/>
  <c r="D1507" i="2"/>
  <c r="E1507" i="2"/>
  <c r="F1507" i="2"/>
  <c r="O1507" i="2" s="1"/>
  <c r="A1508" i="2"/>
  <c r="B1508" i="2"/>
  <c r="C1508" i="2"/>
  <c r="D1508" i="2"/>
  <c r="E1508" i="2"/>
  <c r="F1508" i="2"/>
  <c r="O1508" i="2" s="1"/>
  <c r="A1509" i="2"/>
  <c r="B1509" i="2"/>
  <c r="C1509" i="2"/>
  <c r="D1509" i="2"/>
  <c r="E1509" i="2"/>
  <c r="F1509" i="2"/>
  <c r="A1510" i="2"/>
  <c r="B1510" i="2"/>
  <c r="C1510" i="2"/>
  <c r="D1510" i="2"/>
  <c r="E1510" i="2"/>
  <c r="F1510" i="2"/>
  <c r="A1511" i="2"/>
  <c r="B1511" i="2"/>
  <c r="C1511" i="2"/>
  <c r="D1511" i="2"/>
  <c r="E1511" i="2"/>
  <c r="F1511" i="2"/>
  <c r="O1511" i="2" s="1"/>
  <c r="A2" i="2"/>
  <c r="B2" i="2"/>
  <c r="C2" i="2"/>
  <c r="D2" i="2"/>
  <c r="E2" i="2"/>
  <c r="F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O5" i="2" s="1"/>
  <c r="A6" i="2"/>
  <c r="B6" i="2"/>
  <c r="C6" i="2"/>
  <c r="D6" i="2"/>
  <c r="E6" i="2"/>
  <c r="F6" i="2"/>
  <c r="O6" i="2" s="1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O9" i="2" s="1"/>
  <c r="A10" i="2"/>
  <c r="B10" i="2"/>
  <c r="C10" i="2"/>
  <c r="D10" i="2"/>
  <c r="E10" i="2"/>
  <c r="F10" i="2"/>
  <c r="O10" i="2" s="1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O13" i="2" s="1"/>
  <c r="A14" i="2"/>
  <c r="B14" i="2"/>
  <c r="C14" i="2"/>
  <c r="D14" i="2"/>
  <c r="E14" i="2"/>
  <c r="F14" i="2"/>
  <c r="O14" i="2" s="1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O17" i="2" s="1"/>
  <c r="A18" i="2"/>
  <c r="B18" i="2"/>
  <c r="C18" i="2"/>
  <c r="D18" i="2"/>
  <c r="E18" i="2"/>
  <c r="F18" i="2"/>
  <c r="O18" i="2" s="1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O21" i="2" s="1"/>
  <c r="A22" i="2"/>
  <c r="B22" i="2"/>
  <c r="C22" i="2"/>
  <c r="D22" i="2"/>
  <c r="E22" i="2"/>
  <c r="F22" i="2"/>
  <c r="O22" i="2" s="1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O25" i="2" s="1"/>
  <c r="A26" i="2"/>
  <c r="B26" i="2"/>
  <c r="C26" i="2"/>
  <c r="D26" i="2"/>
  <c r="E26" i="2"/>
  <c r="F26" i="2"/>
  <c r="O26" i="2" s="1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O29" i="2" s="1"/>
  <c r="A30" i="2"/>
  <c r="B30" i="2"/>
  <c r="C30" i="2"/>
  <c r="D30" i="2"/>
  <c r="E30" i="2"/>
  <c r="F30" i="2"/>
  <c r="O30" i="2" s="1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O33" i="2" s="1"/>
  <c r="A34" i="2"/>
  <c r="B34" i="2"/>
  <c r="C34" i="2"/>
  <c r="D34" i="2"/>
  <c r="E34" i="2"/>
  <c r="F34" i="2"/>
  <c r="O34" i="2" s="1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O37" i="2" s="1"/>
  <c r="A38" i="2"/>
  <c r="B38" i="2"/>
  <c r="C38" i="2"/>
  <c r="D38" i="2"/>
  <c r="E38" i="2"/>
  <c r="F38" i="2"/>
  <c r="O38" i="2" s="1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O41" i="2" s="1"/>
  <c r="A42" i="2"/>
  <c r="B42" i="2"/>
  <c r="C42" i="2"/>
  <c r="D42" i="2"/>
  <c r="E42" i="2"/>
  <c r="F42" i="2"/>
  <c r="O42" i="2" s="1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O45" i="2" s="1"/>
  <c r="A46" i="2"/>
  <c r="B46" i="2"/>
  <c r="C46" i="2"/>
  <c r="D46" i="2"/>
  <c r="E46" i="2"/>
  <c r="F46" i="2"/>
  <c r="O46" i="2" s="1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O49" i="2" s="1"/>
  <c r="A50" i="2"/>
  <c r="B50" i="2"/>
  <c r="C50" i="2"/>
  <c r="D50" i="2"/>
  <c r="E50" i="2"/>
  <c r="F50" i="2"/>
  <c r="O50" i="2" s="1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O53" i="2" s="1"/>
  <c r="A54" i="2"/>
  <c r="B54" i="2"/>
  <c r="C54" i="2"/>
  <c r="D54" i="2"/>
  <c r="E54" i="2"/>
  <c r="F54" i="2"/>
  <c r="O54" i="2" s="1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O57" i="2" s="1"/>
  <c r="A58" i="2"/>
  <c r="B58" i="2"/>
  <c r="C58" i="2"/>
  <c r="D58" i="2"/>
  <c r="E58" i="2"/>
  <c r="F58" i="2"/>
  <c r="O58" i="2" s="1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O61" i="2" s="1"/>
  <c r="A62" i="2"/>
  <c r="B62" i="2"/>
  <c r="C62" i="2"/>
  <c r="D62" i="2"/>
  <c r="E62" i="2"/>
  <c r="F62" i="2"/>
  <c r="O62" i="2" s="1"/>
  <c r="A63" i="2"/>
  <c r="B63" i="2"/>
  <c r="C63" i="2"/>
  <c r="D63" i="2"/>
  <c r="E63" i="2"/>
  <c r="F63" i="2"/>
  <c r="A64" i="2"/>
  <c r="B64" i="2"/>
  <c r="C64" i="2"/>
  <c r="D64" i="2"/>
  <c r="E64" i="2"/>
  <c r="F64" i="2"/>
  <c r="A65" i="2"/>
  <c r="B65" i="2"/>
  <c r="C65" i="2"/>
  <c r="D65" i="2"/>
  <c r="E65" i="2"/>
  <c r="F65" i="2"/>
  <c r="O65" i="2" s="1"/>
  <c r="A66" i="2"/>
  <c r="B66" i="2"/>
  <c r="C66" i="2"/>
  <c r="D66" i="2"/>
  <c r="E66" i="2"/>
  <c r="F66" i="2"/>
  <c r="O66" i="2" s="1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O69" i="2" s="1"/>
  <c r="A70" i="2"/>
  <c r="B70" i="2"/>
  <c r="C70" i="2"/>
  <c r="D70" i="2"/>
  <c r="E70" i="2"/>
  <c r="F70" i="2"/>
  <c r="O70" i="2" s="1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O73" i="2" s="1"/>
  <c r="A74" i="2"/>
  <c r="B74" i="2"/>
  <c r="C74" i="2"/>
  <c r="D74" i="2"/>
  <c r="E74" i="2"/>
  <c r="F74" i="2"/>
  <c r="O74" i="2" s="1"/>
  <c r="A75" i="2"/>
  <c r="B75" i="2"/>
  <c r="C75" i="2"/>
  <c r="D75" i="2"/>
  <c r="E75" i="2"/>
  <c r="F75" i="2"/>
  <c r="A76" i="2"/>
  <c r="B76" i="2"/>
  <c r="C76" i="2"/>
  <c r="D76" i="2"/>
  <c r="E76" i="2"/>
  <c r="F76" i="2"/>
  <c r="A77" i="2"/>
  <c r="B77" i="2"/>
  <c r="C77" i="2"/>
  <c r="D77" i="2"/>
  <c r="E77" i="2"/>
  <c r="F77" i="2"/>
  <c r="O77" i="2" s="1"/>
  <c r="A78" i="2"/>
  <c r="B78" i="2"/>
  <c r="C78" i="2"/>
  <c r="D78" i="2"/>
  <c r="E78" i="2"/>
  <c r="F78" i="2"/>
  <c r="O78" i="2" s="1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O81" i="2" s="1"/>
  <c r="A82" i="2"/>
  <c r="B82" i="2"/>
  <c r="C82" i="2"/>
  <c r="D82" i="2"/>
  <c r="E82" i="2"/>
  <c r="F82" i="2"/>
  <c r="O82" i="2" s="1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O85" i="2" s="1"/>
  <c r="A86" i="2"/>
  <c r="B86" i="2"/>
  <c r="C86" i="2"/>
  <c r="D86" i="2"/>
  <c r="E86" i="2"/>
  <c r="F86" i="2"/>
  <c r="O86" i="2" s="1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O89" i="2" s="1"/>
  <c r="A90" i="2"/>
  <c r="B90" i="2"/>
  <c r="C90" i="2"/>
  <c r="D90" i="2"/>
  <c r="E90" i="2"/>
  <c r="F90" i="2"/>
  <c r="O90" i="2" s="1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O93" i="2" s="1"/>
  <c r="A94" i="2"/>
  <c r="B94" i="2"/>
  <c r="C94" i="2"/>
  <c r="D94" i="2"/>
  <c r="E94" i="2"/>
  <c r="F94" i="2"/>
  <c r="O94" i="2" s="1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O97" i="2" s="1"/>
  <c r="A98" i="2"/>
  <c r="B98" i="2"/>
  <c r="C98" i="2"/>
  <c r="D98" i="2"/>
  <c r="E98" i="2"/>
  <c r="F98" i="2"/>
  <c r="O98" i="2" s="1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O101" i="2" s="1"/>
  <c r="A102" i="2"/>
  <c r="B102" i="2"/>
  <c r="C102" i="2"/>
  <c r="D102" i="2"/>
  <c r="E102" i="2"/>
  <c r="F102" i="2"/>
  <c r="O102" i="2" s="1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O105" i="2" s="1"/>
  <c r="A106" i="2"/>
  <c r="B106" i="2"/>
  <c r="C106" i="2"/>
  <c r="D106" i="2"/>
  <c r="E106" i="2"/>
  <c r="F106" i="2"/>
  <c r="O106" i="2" s="1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O109" i="2" s="1"/>
  <c r="A110" i="2"/>
  <c r="B110" i="2"/>
  <c r="C110" i="2"/>
  <c r="D110" i="2"/>
  <c r="E110" i="2"/>
  <c r="F110" i="2"/>
  <c r="O110" i="2" s="1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O113" i="2" s="1"/>
  <c r="A114" i="2"/>
  <c r="B114" i="2"/>
  <c r="C114" i="2"/>
  <c r="D114" i="2"/>
  <c r="E114" i="2"/>
  <c r="F114" i="2"/>
  <c r="O114" i="2" s="1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O117" i="2" s="1"/>
  <c r="A118" i="2"/>
  <c r="B118" i="2"/>
  <c r="C118" i="2"/>
  <c r="D118" i="2"/>
  <c r="E118" i="2"/>
  <c r="F118" i="2"/>
  <c r="O118" i="2" s="1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O121" i="2" s="1"/>
  <c r="A122" i="2"/>
  <c r="B122" i="2"/>
  <c r="C122" i="2"/>
  <c r="D122" i="2"/>
  <c r="E122" i="2"/>
  <c r="F122" i="2"/>
  <c r="O122" i="2" s="1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O125" i="2" s="1"/>
  <c r="A126" i="2"/>
  <c r="B126" i="2"/>
  <c r="C126" i="2"/>
  <c r="D126" i="2"/>
  <c r="E126" i="2"/>
  <c r="F126" i="2"/>
  <c r="O126" i="2" s="1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O129" i="2" s="1"/>
  <c r="A130" i="2"/>
  <c r="B130" i="2"/>
  <c r="C130" i="2"/>
  <c r="D130" i="2"/>
  <c r="E130" i="2"/>
  <c r="F130" i="2"/>
  <c r="O130" i="2" s="1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O133" i="2" s="1"/>
  <c r="A134" i="2"/>
  <c r="B134" i="2"/>
  <c r="C134" i="2"/>
  <c r="D134" i="2"/>
  <c r="E134" i="2"/>
  <c r="F134" i="2"/>
  <c r="O134" i="2" s="1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O137" i="2" s="1"/>
  <c r="A138" i="2"/>
  <c r="B138" i="2"/>
  <c r="C138" i="2"/>
  <c r="D138" i="2"/>
  <c r="E138" i="2"/>
  <c r="F138" i="2"/>
  <c r="O138" i="2" s="1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O141" i="2" s="1"/>
  <c r="A142" i="2"/>
  <c r="B142" i="2"/>
  <c r="C142" i="2"/>
  <c r="D142" i="2"/>
  <c r="E142" i="2"/>
  <c r="F142" i="2"/>
  <c r="O142" i="2" s="1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O145" i="2" s="1"/>
  <c r="A146" i="2"/>
  <c r="B146" i="2"/>
  <c r="C146" i="2"/>
  <c r="D146" i="2"/>
  <c r="E146" i="2"/>
  <c r="F146" i="2"/>
  <c r="O146" i="2" s="1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O149" i="2" s="1"/>
  <c r="A150" i="2"/>
  <c r="B150" i="2"/>
  <c r="C150" i="2"/>
  <c r="D150" i="2"/>
  <c r="E150" i="2"/>
  <c r="F150" i="2"/>
  <c r="O150" i="2" s="1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O153" i="2" s="1"/>
  <c r="A154" i="2"/>
  <c r="B154" i="2"/>
  <c r="C154" i="2"/>
  <c r="D154" i="2"/>
  <c r="E154" i="2"/>
  <c r="F154" i="2"/>
  <c r="O154" i="2" s="1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O157" i="2" s="1"/>
  <c r="A158" i="2"/>
  <c r="B158" i="2"/>
  <c r="C158" i="2"/>
  <c r="D158" i="2"/>
  <c r="E158" i="2"/>
  <c r="F158" i="2"/>
  <c r="O158" i="2" s="1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O161" i="2" s="1"/>
  <c r="A162" i="2"/>
  <c r="B162" i="2"/>
  <c r="C162" i="2"/>
  <c r="D162" i="2"/>
  <c r="E162" i="2"/>
  <c r="F162" i="2"/>
  <c r="O162" i="2" s="1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O165" i="2" s="1"/>
  <c r="A166" i="2"/>
  <c r="B166" i="2"/>
  <c r="C166" i="2"/>
  <c r="D166" i="2"/>
  <c r="E166" i="2"/>
  <c r="F166" i="2"/>
  <c r="O166" i="2" s="1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O169" i="2" s="1"/>
  <c r="A170" i="2"/>
  <c r="B170" i="2"/>
  <c r="C170" i="2"/>
  <c r="D170" i="2"/>
  <c r="E170" i="2"/>
  <c r="F170" i="2"/>
  <c r="O170" i="2" s="1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O173" i="2" s="1"/>
  <c r="A174" i="2"/>
  <c r="B174" i="2"/>
  <c r="C174" i="2"/>
  <c r="D174" i="2"/>
  <c r="E174" i="2"/>
  <c r="F174" i="2"/>
  <c r="O174" i="2" s="1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O177" i="2" s="1"/>
  <c r="A178" i="2"/>
  <c r="B178" i="2"/>
  <c r="C178" i="2"/>
  <c r="D178" i="2"/>
  <c r="E178" i="2"/>
  <c r="F178" i="2"/>
  <c r="O178" i="2" s="1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O181" i="2" s="1"/>
  <c r="A182" i="2"/>
  <c r="B182" i="2"/>
  <c r="C182" i="2"/>
  <c r="D182" i="2"/>
  <c r="E182" i="2"/>
  <c r="F182" i="2"/>
  <c r="O182" i="2" s="1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O185" i="2" s="1"/>
  <c r="A186" i="2"/>
  <c r="B186" i="2"/>
  <c r="C186" i="2"/>
  <c r="D186" i="2"/>
  <c r="E186" i="2"/>
  <c r="F186" i="2"/>
  <c r="O186" i="2" s="1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O189" i="2" s="1"/>
  <c r="A190" i="2"/>
  <c r="B190" i="2"/>
  <c r="C190" i="2"/>
  <c r="D190" i="2"/>
  <c r="E190" i="2"/>
  <c r="F190" i="2"/>
  <c r="O190" i="2" s="1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O193" i="2" s="1"/>
  <c r="A194" i="2"/>
  <c r="B194" i="2"/>
  <c r="C194" i="2"/>
  <c r="D194" i="2"/>
  <c r="E194" i="2"/>
  <c r="F194" i="2"/>
  <c r="O194" i="2" s="1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O197" i="2" s="1"/>
  <c r="A198" i="2"/>
  <c r="B198" i="2"/>
  <c r="C198" i="2"/>
  <c r="D198" i="2"/>
  <c r="E198" i="2"/>
  <c r="F198" i="2"/>
  <c r="O198" i="2" s="1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O201" i="2" s="1"/>
  <c r="A202" i="2"/>
  <c r="B202" i="2"/>
  <c r="C202" i="2"/>
  <c r="D202" i="2"/>
  <c r="E202" i="2"/>
  <c r="F202" i="2"/>
  <c r="O202" i="2" s="1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O205" i="2" s="1"/>
  <c r="A206" i="2"/>
  <c r="B206" i="2"/>
  <c r="C206" i="2"/>
  <c r="D206" i="2"/>
  <c r="E206" i="2"/>
  <c r="F206" i="2"/>
  <c r="O206" i="2" s="1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O209" i="2" s="1"/>
  <c r="A210" i="2"/>
  <c r="B210" i="2"/>
  <c r="C210" i="2"/>
  <c r="D210" i="2"/>
  <c r="E210" i="2"/>
  <c r="F210" i="2"/>
  <c r="O210" i="2" s="1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O213" i="2" s="1"/>
  <c r="A214" i="2"/>
  <c r="B214" i="2"/>
  <c r="C214" i="2"/>
  <c r="D214" i="2"/>
  <c r="E214" i="2"/>
  <c r="F214" i="2"/>
  <c r="O214" i="2" s="1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O217" i="2" s="1"/>
  <c r="A218" i="2"/>
  <c r="B218" i="2"/>
  <c r="C218" i="2"/>
  <c r="D218" i="2"/>
  <c r="E218" i="2"/>
  <c r="F218" i="2"/>
  <c r="O218" i="2" s="1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O221" i="2" s="1"/>
  <c r="A222" i="2"/>
  <c r="B222" i="2"/>
  <c r="C222" i="2"/>
  <c r="D222" i="2"/>
  <c r="E222" i="2"/>
  <c r="F222" i="2"/>
  <c r="O222" i="2" s="1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O225" i="2" s="1"/>
  <c r="A226" i="2"/>
  <c r="B226" i="2"/>
  <c r="C226" i="2"/>
  <c r="D226" i="2"/>
  <c r="E226" i="2"/>
  <c r="F226" i="2"/>
  <c r="O226" i="2" s="1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O229" i="2" s="1"/>
  <c r="A230" i="2"/>
  <c r="B230" i="2"/>
  <c r="C230" i="2"/>
  <c r="D230" i="2"/>
  <c r="E230" i="2"/>
  <c r="F230" i="2"/>
  <c r="O230" i="2" s="1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O233" i="2" s="1"/>
  <c r="A234" i="2"/>
  <c r="B234" i="2"/>
  <c r="C234" i="2"/>
  <c r="D234" i="2"/>
  <c r="E234" i="2"/>
  <c r="F234" i="2"/>
  <c r="O234" i="2" s="1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O237" i="2" s="1"/>
  <c r="A238" i="2"/>
  <c r="B238" i="2"/>
  <c r="C238" i="2"/>
  <c r="D238" i="2"/>
  <c r="E238" i="2"/>
  <c r="F238" i="2"/>
  <c r="O238" i="2" s="1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O241" i="2" s="1"/>
  <c r="A242" i="2"/>
  <c r="B242" i="2"/>
  <c r="C242" i="2"/>
  <c r="D242" i="2"/>
  <c r="E242" i="2"/>
  <c r="F242" i="2"/>
  <c r="O242" i="2" s="1"/>
  <c r="A243" i="2"/>
  <c r="B243" i="2"/>
  <c r="C243" i="2"/>
  <c r="D243" i="2"/>
  <c r="E243" i="2"/>
  <c r="F243" i="2"/>
  <c r="A244" i="2"/>
  <c r="B244" i="2"/>
  <c r="C244" i="2"/>
  <c r="D244" i="2"/>
  <c r="E244" i="2"/>
  <c r="F244" i="2"/>
  <c r="A245" i="2"/>
  <c r="B245" i="2"/>
  <c r="C245" i="2"/>
  <c r="D245" i="2"/>
  <c r="E245" i="2"/>
  <c r="F245" i="2"/>
  <c r="O245" i="2" s="1"/>
  <c r="A246" i="2"/>
  <c r="B246" i="2"/>
  <c r="C246" i="2"/>
  <c r="D246" i="2"/>
  <c r="E246" i="2"/>
  <c r="F246" i="2"/>
  <c r="O246" i="2" s="1"/>
  <c r="A247" i="2"/>
  <c r="B247" i="2"/>
  <c r="C247" i="2"/>
  <c r="D247" i="2"/>
  <c r="E247" i="2"/>
  <c r="F247" i="2"/>
  <c r="A248" i="2"/>
  <c r="B248" i="2"/>
  <c r="C248" i="2"/>
  <c r="D248" i="2"/>
  <c r="E248" i="2"/>
  <c r="F248" i="2"/>
  <c r="A249" i="2"/>
  <c r="B249" i="2"/>
  <c r="C249" i="2"/>
  <c r="D249" i="2"/>
  <c r="E249" i="2"/>
  <c r="F249" i="2"/>
  <c r="O249" i="2" s="1"/>
  <c r="A250" i="2"/>
  <c r="B250" i="2"/>
  <c r="C250" i="2"/>
  <c r="D250" i="2"/>
  <c r="E250" i="2"/>
  <c r="F250" i="2"/>
  <c r="O250" i="2" s="1"/>
  <c r="A251" i="2"/>
  <c r="B251" i="2"/>
  <c r="C251" i="2"/>
  <c r="D251" i="2"/>
  <c r="E251" i="2"/>
  <c r="F251" i="2"/>
  <c r="A252" i="2"/>
  <c r="B252" i="2"/>
  <c r="C252" i="2"/>
  <c r="D252" i="2"/>
  <c r="E252" i="2"/>
  <c r="F252" i="2"/>
  <c r="A253" i="2"/>
  <c r="B253" i="2"/>
  <c r="C253" i="2"/>
  <c r="D253" i="2"/>
  <c r="E253" i="2"/>
  <c r="F253" i="2"/>
  <c r="O253" i="2" s="1"/>
  <c r="A254" i="2"/>
  <c r="B254" i="2"/>
  <c r="C254" i="2"/>
  <c r="D254" i="2"/>
  <c r="E254" i="2"/>
  <c r="F254" i="2"/>
  <c r="O254" i="2" s="1"/>
  <c r="A255" i="2"/>
  <c r="B255" i="2"/>
  <c r="C255" i="2"/>
  <c r="D255" i="2"/>
  <c r="E255" i="2"/>
  <c r="F255" i="2"/>
  <c r="A256" i="2"/>
  <c r="B256" i="2"/>
  <c r="C256" i="2"/>
  <c r="D256" i="2"/>
  <c r="E256" i="2"/>
  <c r="F256" i="2"/>
  <c r="A257" i="2"/>
  <c r="B257" i="2"/>
  <c r="C257" i="2"/>
  <c r="D257" i="2"/>
  <c r="E257" i="2"/>
  <c r="F257" i="2"/>
  <c r="O257" i="2" s="1"/>
  <c r="A258" i="2"/>
  <c r="B258" i="2"/>
  <c r="C258" i="2"/>
  <c r="D258" i="2"/>
  <c r="E258" i="2"/>
  <c r="F258" i="2"/>
  <c r="O258" i="2" s="1"/>
  <c r="A259" i="2"/>
  <c r="B259" i="2"/>
  <c r="C259" i="2"/>
  <c r="D259" i="2"/>
  <c r="E259" i="2"/>
  <c r="F259" i="2"/>
  <c r="A260" i="2"/>
  <c r="B260" i="2"/>
  <c r="C260" i="2"/>
  <c r="D260" i="2"/>
  <c r="E260" i="2"/>
  <c r="F260" i="2"/>
  <c r="A261" i="2"/>
  <c r="B261" i="2"/>
  <c r="C261" i="2"/>
  <c r="D261" i="2"/>
  <c r="E261" i="2"/>
  <c r="F261" i="2"/>
  <c r="O261" i="2" s="1"/>
  <c r="A262" i="2"/>
  <c r="B262" i="2"/>
  <c r="C262" i="2"/>
  <c r="D262" i="2"/>
  <c r="E262" i="2"/>
  <c r="F262" i="2"/>
  <c r="O262" i="2" s="1"/>
  <c r="A263" i="2"/>
  <c r="B263" i="2"/>
  <c r="C263" i="2"/>
  <c r="D263" i="2"/>
  <c r="E263" i="2"/>
  <c r="F263" i="2"/>
  <c r="A264" i="2"/>
  <c r="B264" i="2"/>
  <c r="C264" i="2"/>
  <c r="D264" i="2"/>
  <c r="E264" i="2"/>
  <c r="F264" i="2"/>
  <c r="A265" i="2"/>
  <c r="B265" i="2"/>
  <c r="C265" i="2"/>
  <c r="D265" i="2"/>
  <c r="E265" i="2"/>
  <c r="F265" i="2"/>
  <c r="O265" i="2" s="1"/>
  <c r="A266" i="2"/>
  <c r="B266" i="2"/>
  <c r="C266" i="2"/>
  <c r="D266" i="2"/>
  <c r="E266" i="2"/>
  <c r="F266" i="2"/>
  <c r="O266" i="2" s="1"/>
  <c r="A267" i="2"/>
  <c r="B267" i="2"/>
  <c r="C267" i="2"/>
  <c r="D267" i="2"/>
  <c r="E267" i="2"/>
  <c r="F267" i="2"/>
  <c r="A268" i="2"/>
  <c r="B268" i="2"/>
  <c r="C268" i="2"/>
  <c r="D268" i="2"/>
  <c r="E268" i="2"/>
  <c r="F268" i="2"/>
  <c r="A269" i="2"/>
  <c r="B269" i="2"/>
  <c r="C269" i="2"/>
  <c r="D269" i="2"/>
  <c r="E269" i="2"/>
  <c r="F269" i="2"/>
  <c r="O269" i="2" s="1"/>
  <c r="A270" i="2"/>
  <c r="B270" i="2"/>
  <c r="C270" i="2"/>
  <c r="D270" i="2"/>
  <c r="E270" i="2"/>
  <c r="F270" i="2"/>
  <c r="O270" i="2" s="1"/>
  <c r="A271" i="2"/>
  <c r="B271" i="2"/>
  <c r="C271" i="2"/>
  <c r="D271" i="2"/>
  <c r="E271" i="2"/>
  <c r="F271" i="2"/>
  <c r="A272" i="2"/>
  <c r="B272" i="2"/>
  <c r="C272" i="2"/>
  <c r="D272" i="2"/>
  <c r="E272" i="2"/>
  <c r="F272" i="2"/>
  <c r="A273" i="2"/>
  <c r="B273" i="2"/>
  <c r="C273" i="2"/>
  <c r="D273" i="2"/>
  <c r="E273" i="2"/>
  <c r="F273" i="2"/>
  <c r="O273" i="2" s="1"/>
  <c r="A274" i="2"/>
  <c r="B274" i="2"/>
  <c r="C274" i="2"/>
  <c r="D274" i="2"/>
  <c r="E274" i="2"/>
  <c r="F274" i="2"/>
  <c r="O274" i="2" s="1"/>
  <c r="A275" i="2"/>
  <c r="B275" i="2"/>
  <c r="C275" i="2"/>
  <c r="D275" i="2"/>
  <c r="E275" i="2"/>
  <c r="F275" i="2"/>
  <c r="A276" i="2"/>
  <c r="B276" i="2"/>
  <c r="C276" i="2"/>
  <c r="D276" i="2"/>
  <c r="E276" i="2"/>
  <c r="F276" i="2"/>
  <c r="A277" i="2"/>
  <c r="B277" i="2"/>
  <c r="C277" i="2"/>
  <c r="D277" i="2"/>
  <c r="E277" i="2"/>
  <c r="F277" i="2"/>
  <c r="O277" i="2" s="1"/>
  <c r="A278" i="2"/>
  <c r="B278" i="2"/>
  <c r="C278" i="2"/>
  <c r="D278" i="2"/>
  <c r="E278" i="2"/>
  <c r="F278" i="2"/>
  <c r="O278" i="2" s="1"/>
  <c r="A279" i="2"/>
  <c r="B279" i="2"/>
  <c r="C279" i="2"/>
  <c r="D279" i="2"/>
  <c r="E279" i="2"/>
  <c r="F279" i="2"/>
  <c r="A280" i="2"/>
  <c r="B280" i="2"/>
  <c r="C280" i="2"/>
  <c r="D280" i="2"/>
  <c r="E280" i="2"/>
  <c r="F280" i="2"/>
  <c r="A281" i="2"/>
  <c r="B281" i="2"/>
  <c r="C281" i="2"/>
  <c r="D281" i="2"/>
  <c r="E281" i="2"/>
  <c r="F281" i="2"/>
  <c r="O281" i="2" s="1"/>
  <c r="A282" i="2"/>
  <c r="B282" i="2"/>
  <c r="C282" i="2"/>
  <c r="D282" i="2"/>
  <c r="E282" i="2"/>
  <c r="F282" i="2"/>
  <c r="O282" i="2" s="1"/>
  <c r="A283" i="2"/>
  <c r="B283" i="2"/>
  <c r="C283" i="2"/>
  <c r="D283" i="2"/>
  <c r="E283" i="2"/>
  <c r="F283" i="2"/>
  <c r="A284" i="2"/>
  <c r="B284" i="2"/>
  <c r="C284" i="2"/>
  <c r="D284" i="2"/>
  <c r="E284" i="2"/>
  <c r="F284" i="2"/>
  <c r="A285" i="2"/>
  <c r="B285" i="2"/>
  <c r="C285" i="2"/>
  <c r="D285" i="2"/>
  <c r="E285" i="2"/>
  <c r="F285" i="2"/>
  <c r="O285" i="2" s="1"/>
  <c r="A286" i="2"/>
  <c r="B286" i="2"/>
  <c r="C286" i="2"/>
  <c r="D286" i="2"/>
  <c r="E286" i="2"/>
  <c r="F286" i="2"/>
  <c r="O286" i="2" s="1"/>
  <c r="A287" i="2"/>
  <c r="B287" i="2"/>
  <c r="C287" i="2"/>
  <c r="D287" i="2"/>
  <c r="E287" i="2"/>
  <c r="F287" i="2"/>
  <c r="A288" i="2"/>
  <c r="B288" i="2"/>
  <c r="C288" i="2"/>
  <c r="D288" i="2"/>
  <c r="E288" i="2"/>
  <c r="F288" i="2"/>
  <c r="A289" i="2"/>
  <c r="B289" i="2"/>
  <c r="C289" i="2"/>
  <c r="D289" i="2"/>
  <c r="E289" i="2"/>
  <c r="F289" i="2"/>
  <c r="O289" i="2" s="1"/>
  <c r="A290" i="2"/>
  <c r="B290" i="2"/>
  <c r="C290" i="2"/>
  <c r="D290" i="2"/>
  <c r="E290" i="2"/>
  <c r="F290" i="2"/>
  <c r="O290" i="2" s="1"/>
  <c r="A291" i="2"/>
  <c r="B291" i="2"/>
  <c r="C291" i="2"/>
  <c r="D291" i="2"/>
  <c r="E291" i="2"/>
  <c r="F291" i="2"/>
  <c r="A292" i="2"/>
  <c r="B292" i="2"/>
  <c r="C292" i="2"/>
  <c r="D292" i="2"/>
  <c r="E292" i="2"/>
  <c r="F292" i="2"/>
  <c r="A293" i="2"/>
  <c r="B293" i="2"/>
  <c r="C293" i="2"/>
  <c r="D293" i="2"/>
  <c r="E293" i="2"/>
  <c r="F293" i="2"/>
  <c r="O293" i="2" s="1"/>
  <c r="A294" i="2"/>
  <c r="B294" i="2"/>
  <c r="C294" i="2"/>
  <c r="D294" i="2"/>
  <c r="E294" i="2"/>
  <c r="F294" i="2"/>
  <c r="O294" i="2" s="1"/>
  <c r="A295" i="2"/>
  <c r="B295" i="2"/>
  <c r="C295" i="2"/>
  <c r="D295" i="2"/>
  <c r="E295" i="2"/>
  <c r="F295" i="2"/>
  <c r="A296" i="2"/>
  <c r="B296" i="2"/>
  <c r="C296" i="2"/>
  <c r="D296" i="2"/>
  <c r="E296" i="2"/>
  <c r="F296" i="2"/>
  <c r="A297" i="2"/>
  <c r="B297" i="2"/>
  <c r="C297" i="2"/>
  <c r="D297" i="2"/>
  <c r="E297" i="2"/>
  <c r="F297" i="2"/>
  <c r="O297" i="2" s="1"/>
  <c r="A298" i="2"/>
  <c r="B298" i="2"/>
  <c r="C298" i="2"/>
  <c r="D298" i="2"/>
  <c r="E298" i="2"/>
  <c r="F298" i="2"/>
  <c r="O298" i="2" s="1"/>
  <c r="A299" i="2"/>
  <c r="B299" i="2"/>
  <c r="C299" i="2"/>
  <c r="D299" i="2"/>
  <c r="E299" i="2"/>
  <c r="F299" i="2"/>
  <c r="A300" i="2"/>
  <c r="B300" i="2"/>
  <c r="C300" i="2"/>
  <c r="D300" i="2"/>
  <c r="E300" i="2"/>
  <c r="F300" i="2"/>
  <c r="A301" i="2"/>
  <c r="B301" i="2"/>
  <c r="C301" i="2"/>
  <c r="D301" i="2"/>
  <c r="E301" i="2"/>
  <c r="F301" i="2"/>
  <c r="O301" i="2" s="1"/>
  <c r="A302" i="2"/>
  <c r="B302" i="2"/>
  <c r="C302" i="2"/>
  <c r="D302" i="2"/>
  <c r="E302" i="2"/>
  <c r="F302" i="2"/>
  <c r="O302" i="2" s="1"/>
  <c r="A303" i="2"/>
  <c r="B303" i="2"/>
  <c r="C303" i="2"/>
  <c r="D303" i="2"/>
  <c r="E303" i="2"/>
  <c r="F303" i="2"/>
  <c r="A304" i="2"/>
  <c r="B304" i="2"/>
  <c r="C304" i="2"/>
  <c r="D304" i="2"/>
  <c r="E304" i="2"/>
  <c r="F304" i="2"/>
  <c r="A305" i="2"/>
  <c r="B305" i="2"/>
  <c r="C305" i="2"/>
  <c r="D305" i="2"/>
  <c r="E305" i="2"/>
  <c r="F305" i="2"/>
  <c r="O305" i="2" s="1"/>
  <c r="A306" i="2"/>
  <c r="B306" i="2"/>
  <c r="C306" i="2"/>
  <c r="D306" i="2"/>
  <c r="E306" i="2"/>
  <c r="F306" i="2"/>
  <c r="O306" i="2" s="1"/>
  <c r="A307" i="2"/>
  <c r="B307" i="2"/>
  <c r="C307" i="2"/>
  <c r="D307" i="2"/>
  <c r="E307" i="2"/>
  <c r="F307" i="2"/>
  <c r="A308" i="2"/>
  <c r="B308" i="2"/>
  <c r="C308" i="2"/>
  <c r="D308" i="2"/>
  <c r="E308" i="2"/>
  <c r="F308" i="2"/>
  <c r="A309" i="2"/>
  <c r="B309" i="2"/>
  <c r="C309" i="2"/>
  <c r="D309" i="2"/>
  <c r="E309" i="2"/>
  <c r="F309" i="2"/>
  <c r="O309" i="2" s="1"/>
  <c r="A310" i="2"/>
  <c r="B310" i="2"/>
  <c r="C310" i="2"/>
  <c r="D310" i="2"/>
  <c r="E310" i="2"/>
  <c r="F310" i="2"/>
  <c r="O310" i="2" s="1"/>
  <c r="A311" i="2"/>
  <c r="B311" i="2"/>
  <c r="C311" i="2"/>
  <c r="D311" i="2"/>
  <c r="E311" i="2"/>
  <c r="F311" i="2"/>
  <c r="A312" i="2"/>
  <c r="B312" i="2"/>
  <c r="C312" i="2"/>
  <c r="D312" i="2"/>
  <c r="E312" i="2"/>
  <c r="F312" i="2"/>
  <c r="A313" i="2"/>
  <c r="B313" i="2"/>
  <c r="C313" i="2"/>
  <c r="D313" i="2"/>
  <c r="E313" i="2"/>
  <c r="F313" i="2"/>
  <c r="O313" i="2" s="1"/>
  <c r="A314" i="2"/>
  <c r="B314" i="2"/>
  <c r="C314" i="2"/>
  <c r="D314" i="2"/>
  <c r="E314" i="2"/>
  <c r="F314" i="2"/>
  <c r="O314" i="2" s="1"/>
  <c r="A315" i="2"/>
  <c r="B315" i="2"/>
  <c r="C315" i="2"/>
  <c r="D315" i="2"/>
  <c r="E315" i="2"/>
  <c r="F315" i="2"/>
  <c r="A316" i="2"/>
  <c r="B316" i="2"/>
  <c r="C316" i="2"/>
  <c r="D316" i="2"/>
  <c r="E316" i="2"/>
  <c r="F316" i="2"/>
  <c r="A317" i="2"/>
  <c r="B317" i="2"/>
  <c r="C317" i="2"/>
  <c r="D317" i="2"/>
  <c r="E317" i="2"/>
  <c r="F317" i="2"/>
  <c r="O317" i="2" s="1"/>
  <c r="A318" i="2"/>
  <c r="B318" i="2"/>
  <c r="C318" i="2"/>
  <c r="D318" i="2"/>
  <c r="E318" i="2"/>
  <c r="F318" i="2"/>
  <c r="O318" i="2" s="1"/>
  <c r="A319" i="2"/>
  <c r="B319" i="2"/>
  <c r="C319" i="2"/>
  <c r="D319" i="2"/>
  <c r="E319" i="2"/>
  <c r="F319" i="2"/>
  <c r="A320" i="2"/>
  <c r="B320" i="2"/>
  <c r="C320" i="2"/>
  <c r="D320" i="2"/>
  <c r="E320" i="2"/>
  <c r="F320" i="2"/>
  <c r="A321" i="2"/>
  <c r="B321" i="2"/>
  <c r="C321" i="2"/>
  <c r="D321" i="2"/>
  <c r="E321" i="2"/>
  <c r="F321" i="2"/>
  <c r="O321" i="2" s="1"/>
  <c r="A322" i="2"/>
  <c r="B322" i="2"/>
  <c r="C322" i="2"/>
  <c r="D322" i="2"/>
  <c r="E322" i="2"/>
  <c r="F322" i="2"/>
  <c r="O322" i="2" s="1"/>
  <c r="A323" i="2"/>
  <c r="B323" i="2"/>
  <c r="C323" i="2"/>
  <c r="D323" i="2"/>
  <c r="E323" i="2"/>
  <c r="F323" i="2"/>
  <c r="A324" i="2"/>
  <c r="B324" i="2"/>
  <c r="C324" i="2"/>
  <c r="D324" i="2"/>
  <c r="E324" i="2"/>
  <c r="F324" i="2"/>
  <c r="A325" i="2"/>
  <c r="B325" i="2"/>
  <c r="C325" i="2"/>
  <c r="D325" i="2"/>
  <c r="E325" i="2"/>
  <c r="F325" i="2"/>
  <c r="O325" i="2" s="1"/>
  <c r="A326" i="2"/>
  <c r="B326" i="2"/>
  <c r="C326" i="2"/>
  <c r="D326" i="2"/>
  <c r="E326" i="2"/>
  <c r="F326" i="2"/>
  <c r="O326" i="2" s="1"/>
  <c r="A327" i="2"/>
  <c r="B327" i="2"/>
  <c r="C327" i="2"/>
  <c r="D327" i="2"/>
  <c r="E327" i="2"/>
  <c r="F327" i="2"/>
  <c r="A328" i="2"/>
  <c r="B328" i="2"/>
  <c r="C328" i="2"/>
  <c r="D328" i="2"/>
  <c r="E328" i="2"/>
  <c r="F328" i="2"/>
  <c r="A329" i="2"/>
  <c r="B329" i="2"/>
  <c r="C329" i="2"/>
  <c r="D329" i="2"/>
  <c r="E329" i="2"/>
  <c r="F329" i="2"/>
  <c r="O329" i="2" s="1"/>
  <c r="A330" i="2"/>
  <c r="B330" i="2"/>
  <c r="C330" i="2"/>
  <c r="D330" i="2"/>
  <c r="E330" i="2"/>
  <c r="F330" i="2"/>
  <c r="O330" i="2" s="1"/>
  <c r="A331" i="2"/>
  <c r="B331" i="2"/>
  <c r="C331" i="2"/>
  <c r="D331" i="2"/>
  <c r="E331" i="2"/>
  <c r="F331" i="2"/>
  <c r="A332" i="2"/>
  <c r="B332" i="2"/>
  <c r="C332" i="2"/>
  <c r="D332" i="2"/>
  <c r="E332" i="2"/>
  <c r="F332" i="2"/>
  <c r="A333" i="2"/>
  <c r="B333" i="2"/>
  <c r="C333" i="2"/>
  <c r="D333" i="2"/>
  <c r="E333" i="2"/>
  <c r="F333" i="2"/>
  <c r="O333" i="2" s="1"/>
  <c r="A334" i="2"/>
  <c r="B334" i="2"/>
  <c r="C334" i="2"/>
  <c r="D334" i="2"/>
  <c r="E334" i="2"/>
  <c r="F334" i="2"/>
  <c r="O334" i="2" s="1"/>
  <c r="A335" i="2"/>
  <c r="B335" i="2"/>
  <c r="C335" i="2"/>
  <c r="D335" i="2"/>
  <c r="E335" i="2"/>
  <c r="F335" i="2"/>
  <c r="A336" i="2"/>
  <c r="B336" i="2"/>
  <c r="C336" i="2"/>
  <c r="D336" i="2"/>
  <c r="E336" i="2"/>
  <c r="F336" i="2"/>
  <c r="A337" i="2"/>
  <c r="B337" i="2"/>
  <c r="C337" i="2"/>
  <c r="D337" i="2"/>
  <c r="E337" i="2"/>
  <c r="F337" i="2"/>
  <c r="O337" i="2" s="1"/>
  <c r="A338" i="2"/>
  <c r="B338" i="2"/>
  <c r="C338" i="2"/>
  <c r="D338" i="2"/>
  <c r="E338" i="2"/>
  <c r="F338" i="2"/>
  <c r="O338" i="2" s="1"/>
  <c r="A339" i="2"/>
  <c r="B339" i="2"/>
  <c r="C339" i="2"/>
  <c r="D339" i="2"/>
  <c r="E339" i="2"/>
  <c r="F339" i="2"/>
  <c r="A340" i="2"/>
  <c r="B340" i="2"/>
  <c r="C340" i="2"/>
  <c r="D340" i="2"/>
  <c r="E340" i="2"/>
  <c r="F340" i="2"/>
  <c r="A341" i="2"/>
  <c r="B341" i="2"/>
  <c r="C341" i="2"/>
  <c r="D341" i="2"/>
  <c r="E341" i="2"/>
  <c r="F341" i="2"/>
  <c r="O341" i="2" s="1"/>
  <c r="A342" i="2"/>
  <c r="B342" i="2"/>
  <c r="C342" i="2"/>
  <c r="D342" i="2"/>
  <c r="E342" i="2"/>
  <c r="F342" i="2"/>
  <c r="O342" i="2" s="1"/>
  <c r="A343" i="2"/>
  <c r="B343" i="2"/>
  <c r="C343" i="2"/>
  <c r="D343" i="2"/>
  <c r="E343" i="2"/>
  <c r="F343" i="2"/>
  <c r="A344" i="2"/>
  <c r="B344" i="2"/>
  <c r="C344" i="2"/>
  <c r="D344" i="2"/>
  <c r="E344" i="2"/>
  <c r="F344" i="2"/>
  <c r="A345" i="2"/>
  <c r="B345" i="2"/>
  <c r="C345" i="2"/>
  <c r="D345" i="2"/>
  <c r="E345" i="2"/>
  <c r="F345" i="2"/>
  <c r="O345" i="2" s="1"/>
  <c r="A346" i="2"/>
  <c r="B346" i="2"/>
  <c r="C346" i="2"/>
  <c r="D346" i="2"/>
  <c r="E346" i="2"/>
  <c r="F346" i="2"/>
  <c r="O346" i="2" s="1"/>
  <c r="A347" i="2"/>
  <c r="B347" i="2"/>
  <c r="C347" i="2"/>
  <c r="D347" i="2"/>
  <c r="E347" i="2"/>
  <c r="F347" i="2"/>
  <c r="A348" i="2"/>
  <c r="B348" i="2"/>
  <c r="C348" i="2"/>
  <c r="D348" i="2"/>
  <c r="E348" i="2"/>
  <c r="F348" i="2"/>
  <c r="A349" i="2"/>
  <c r="B349" i="2"/>
  <c r="C349" i="2"/>
  <c r="D349" i="2"/>
  <c r="E349" i="2"/>
  <c r="F349" i="2"/>
  <c r="O349" i="2" s="1"/>
  <c r="A350" i="2"/>
  <c r="B350" i="2"/>
  <c r="C350" i="2"/>
  <c r="D350" i="2"/>
  <c r="E350" i="2"/>
  <c r="F350" i="2"/>
  <c r="O350" i="2" s="1"/>
  <c r="A351" i="2"/>
  <c r="B351" i="2"/>
  <c r="C351" i="2"/>
  <c r="D351" i="2"/>
  <c r="E351" i="2"/>
  <c r="F351" i="2"/>
  <c r="A352" i="2"/>
  <c r="B352" i="2"/>
  <c r="C352" i="2"/>
  <c r="D352" i="2"/>
  <c r="E352" i="2"/>
  <c r="F352" i="2"/>
  <c r="A353" i="2"/>
  <c r="B353" i="2"/>
  <c r="C353" i="2"/>
  <c r="D353" i="2"/>
  <c r="E353" i="2"/>
  <c r="F353" i="2"/>
  <c r="O353" i="2" s="1"/>
  <c r="A354" i="2"/>
  <c r="B354" i="2"/>
  <c r="C354" i="2"/>
  <c r="D354" i="2"/>
  <c r="E354" i="2"/>
  <c r="F354" i="2"/>
  <c r="O354" i="2" s="1"/>
  <c r="A355" i="2"/>
  <c r="B355" i="2"/>
  <c r="C355" i="2"/>
  <c r="D355" i="2"/>
  <c r="E355" i="2"/>
  <c r="F355" i="2"/>
  <c r="A356" i="2"/>
  <c r="B356" i="2"/>
  <c r="C356" i="2"/>
  <c r="D356" i="2"/>
  <c r="E356" i="2"/>
  <c r="F356" i="2"/>
  <c r="A357" i="2"/>
  <c r="B357" i="2"/>
  <c r="C357" i="2"/>
  <c r="D357" i="2"/>
  <c r="E357" i="2"/>
  <c r="F357" i="2"/>
  <c r="O357" i="2" s="1"/>
  <c r="A358" i="2"/>
  <c r="B358" i="2"/>
  <c r="C358" i="2"/>
  <c r="D358" i="2"/>
  <c r="E358" i="2"/>
  <c r="F358" i="2"/>
  <c r="O358" i="2" s="1"/>
  <c r="A359" i="2"/>
  <c r="B359" i="2"/>
  <c r="C359" i="2"/>
  <c r="D359" i="2"/>
  <c r="E359" i="2"/>
  <c r="F359" i="2"/>
  <c r="A360" i="2"/>
  <c r="B360" i="2"/>
  <c r="C360" i="2"/>
  <c r="D360" i="2"/>
  <c r="E360" i="2"/>
  <c r="F360" i="2"/>
  <c r="A361" i="2"/>
  <c r="B361" i="2"/>
  <c r="C361" i="2"/>
  <c r="D361" i="2"/>
  <c r="E361" i="2"/>
  <c r="F361" i="2"/>
  <c r="O361" i="2" s="1"/>
  <c r="A362" i="2"/>
  <c r="B362" i="2"/>
  <c r="C362" i="2"/>
  <c r="D362" i="2"/>
  <c r="E362" i="2"/>
  <c r="F362" i="2"/>
  <c r="O362" i="2" s="1"/>
  <c r="A363" i="2"/>
  <c r="B363" i="2"/>
  <c r="C363" i="2"/>
  <c r="D363" i="2"/>
  <c r="E363" i="2"/>
  <c r="F363" i="2"/>
  <c r="A364" i="2"/>
  <c r="B364" i="2"/>
  <c r="C364" i="2"/>
  <c r="D364" i="2"/>
  <c r="E364" i="2"/>
  <c r="F364" i="2"/>
  <c r="A365" i="2"/>
  <c r="B365" i="2"/>
  <c r="C365" i="2"/>
  <c r="D365" i="2"/>
  <c r="E365" i="2"/>
  <c r="F365" i="2"/>
  <c r="O365" i="2" s="1"/>
  <c r="A366" i="2"/>
  <c r="B366" i="2"/>
  <c r="C366" i="2"/>
  <c r="D366" i="2"/>
  <c r="E366" i="2"/>
  <c r="F366" i="2"/>
  <c r="O366" i="2" s="1"/>
  <c r="A367" i="2"/>
  <c r="B367" i="2"/>
  <c r="C367" i="2"/>
  <c r="D367" i="2"/>
  <c r="E367" i="2"/>
  <c r="F367" i="2"/>
  <c r="A368" i="2"/>
  <c r="B368" i="2"/>
  <c r="C368" i="2"/>
  <c r="D368" i="2"/>
  <c r="E368" i="2"/>
  <c r="F368" i="2"/>
  <c r="A369" i="2"/>
  <c r="B369" i="2"/>
  <c r="C369" i="2"/>
  <c r="D369" i="2"/>
  <c r="E369" i="2"/>
  <c r="F369" i="2"/>
  <c r="O369" i="2" s="1"/>
  <c r="A370" i="2"/>
  <c r="B370" i="2"/>
  <c r="C370" i="2"/>
  <c r="D370" i="2"/>
  <c r="E370" i="2"/>
  <c r="F370" i="2"/>
  <c r="O370" i="2" s="1"/>
  <c r="A371" i="2"/>
  <c r="B371" i="2"/>
  <c r="C371" i="2"/>
  <c r="D371" i="2"/>
  <c r="E371" i="2"/>
  <c r="F371" i="2"/>
  <c r="A372" i="2"/>
  <c r="B372" i="2"/>
  <c r="C372" i="2"/>
  <c r="D372" i="2"/>
  <c r="E372" i="2"/>
  <c r="F372" i="2"/>
  <c r="A373" i="2"/>
  <c r="B373" i="2"/>
  <c r="C373" i="2"/>
  <c r="D373" i="2"/>
  <c r="E373" i="2"/>
  <c r="F373" i="2"/>
  <c r="O373" i="2" s="1"/>
  <c r="A374" i="2"/>
  <c r="B374" i="2"/>
  <c r="C374" i="2"/>
  <c r="D374" i="2"/>
  <c r="E374" i="2"/>
  <c r="F374" i="2"/>
  <c r="O374" i="2" s="1"/>
  <c r="A375" i="2"/>
  <c r="B375" i="2"/>
  <c r="C375" i="2"/>
  <c r="D375" i="2"/>
  <c r="E375" i="2"/>
  <c r="F375" i="2"/>
  <c r="A376" i="2"/>
  <c r="B376" i="2"/>
  <c r="C376" i="2"/>
  <c r="D376" i="2"/>
  <c r="E376" i="2"/>
  <c r="F376" i="2"/>
  <c r="A377" i="2"/>
  <c r="B377" i="2"/>
  <c r="C377" i="2"/>
  <c r="D377" i="2"/>
  <c r="E377" i="2"/>
  <c r="F377" i="2"/>
  <c r="A378" i="2"/>
  <c r="B378" i="2"/>
  <c r="C378" i="2"/>
  <c r="D378" i="2"/>
  <c r="E378" i="2"/>
  <c r="F378" i="2"/>
  <c r="O378" i="2" s="1"/>
  <c r="A379" i="2"/>
  <c r="B379" i="2"/>
  <c r="C379" i="2"/>
  <c r="D379" i="2"/>
  <c r="E379" i="2"/>
  <c r="F379" i="2"/>
  <c r="A380" i="2"/>
  <c r="B380" i="2"/>
  <c r="C380" i="2"/>
  <c r="D380" i="2"/>
  <c r="E380" i="2"/>
  <c r="F380" i="2"/>
  <c r="A381" i="2"/>
  <c r="B381" i="2"/>
  <c r="C381" i="2"/>
  <c r="D381" i="2"/>
  <c r="E381" i="2"/>
  <c r="F381" i="2"/>
  <c r="A382" i="2"/>
  <c r="B382" i="2"/>
  <c r="C382" i="2"/>
  <c r="D382" i="2"/>
  <c r="E382" i="2"/>
  <c r="F382" i="2"/>
  <c r="O382" i="2" s="1"/>
  <c r="A383" i="2"/>
  <c r="B383" i="2"/>
  <c r="C383" i="2"/>
  <c r="D383" i="2"/>
  <c r="E383" i="2"/>
  <c r="F383" i="2"/>
  <c r="A384" i="2"/>
  <c r="B384" i="2"/>
  <c r="C384" i="2"/>
  <c r="D384" i="2"/>
  <c r="E384" i="2"/>
  <c r="F384" i="2"/>
  <c r="A385" i="2"/>
  <c r="B385" i="2"/>
  <c r="C385" i="2"/>
  <c r="D385" i="2"/>
  <c r="E385" i="2"/>
  <c r="F385" i="2"/>
  <c r="O385" i="2" s="1"/>
  <c r="A386" i="2"/>
  <c r="B386" i="2"/>
  <c r="C386" i="2"/>
  <c r="D386" i="2"/>
  <c r="E386" i="2"/>
  <c r="F386" i="2"/>
  <c r="O386" i="2" s="1"/>
  <c r="A387" i="2"/>
  <c r="B387" i="2"/>
  <c r="C387" i="2"/>
  <c r="D387" i="2"/>
  <c r="E387" i="2"/>
  <c r="F387" i="2"/>
  <c r="A388" i="2"/>
  <c r="B388" i="2"/>
  <c r="C388" i="2"/>
  <c r="D388" i="2"/>
  <c r="E388" i="2"/>
  <c r="F388" i="2"/>
  <c r="A389" i="2"/>
  <c r="B389" i="2"/>
  <c r="C389" i="2"/>
  <c r="D389" i="2"/>
  <c r="E389" i="2"/>
  <c r="F389" i="2"/>
  <c r="O389" i="2" s="1"/>
  <c r="A390" i="2"/>
  <c r="B390" i="2"/>
  <c r="C390" i="2"/>
  <c r="D390" i="2"/>
  <c r="E390" i="2"/>
  <c r="F390" i="2"/>
  <c r="O390" i="2" s="1"/>
  <c r="A391" i="2"/>
  <c r="B391" i="2"/>
  <c r="C391" i="2"/>
  <c r="D391" i="2"/>
  <c r="E391" i="2"/>
  <c r="F391" i="2"/>
  <c r="A392" i="2"/>
  <c r="B392" i="2"/>
  <c r="C392" i="2"/>
  <c r="D392" i="2"/>
  <c r="E392" i="2"/>
  <c r="F392" i="2"/>
  <c r="A393" i="2"/>
  <c r="B393" i="2"/>
  <c r="C393" i="2"/>
  <c r="D393" i="2"/>
  <c r="E393" i="2"/>
  <c r="F393" i="2"/>
  <c r="O393" i="2" s="1"/>
  <c r="A394" i="2"/>
  <c r="B394" i="2"/>
  <c r="C394" i="2"/>
  <c r="D394" i="2"/>
  <c r="E394" i="2"/>
  <c r="F394" i="2"/>
  <c r="O394" i="2" s="1"/>
  <c r="A395" i="2"/>
  <c r="B395" i="2"/>
  <c r="C395" i="2"/>
  <c r="D395" i="2"/>
  <c r="E395" i="2"/>
  <c r="F395" i="2"/>
  <c r="A396" i="2"/>
  <c r="B396" i="2"/>
  <c r="C396" i="2"/>
  <c r="D396" i="2"/>
  <c r="E396" i="2"/>
  <c r="F396" i="2"/>
  <c r="A397" i="2"/>
  <c r="B397" i="2"/>
  <c r="C397" i="2"/>
  <c r="D397" i="2"/>
  <c r="E397" i="2"/>
  <c r="F397" i="2"/>
  <c r="O397" i="2" s="1"/>
  <c r="A398" i="2"/>
  <c r="B398" i="2"/>
  <c r="C398" i="2"/>
  <c r="D398" i="2"/>
  <c r="E398" i="2"/>
  <c r="F398" i="2"/>
  <c r="O398" i="2" s="1"/>
  <c r="A399" i="2"/>
  <c r="B399" i="2"/>
  <c r="C399" i="2"/>
  <c r="D399" i="2"/>
  <c r="E399" i="2"/>
  <c r="F399" i="2"/>
  <c r="A400" i="2"/>
  <c r="B400" i="2"/>
  <c r="C400" i="2"/>
  <c r="D400" i="2"/>
  <c r="E400" i="2"/>
  <c r="F400" i="2"/>
  <c r="A401" i="2"/>
  <c r="B401" i="2"/>
  <c r="C401" i="2"/>
  <c r="D401" i="2"/>
  <c r="E401" i="2"/>
  <c r="F401" i="2"/>
  <c r="O401" i="2" s="1"/>
  <c r="A402" i="2"/>
  <c r="B402" i="2"/>
  <c r="C402" i="2"/>
  <c r="D402" i="2"/>
  <c r="E402" i="2"/>
  <c r="F402" i="2"/>
  <c r="O402" i="2" s="1"/>
  <c r="A403" i="2"/>
  <c r="B403" i="2"/>
  <c r="C403" i="2"/>
  <c r="D403" i="2"/>
  <c r="E403" i="2"/>
  <c r="F403" i="2"/>
  <c r="A404" i="2"/>
  <c r="B404" i="2"/>
  <c r="C404" i="2"/>
  <c r="D404" i="2"/>
  <c r="E404" i="2"/>
  <c r="F404" i="2"/>
  <c r="A405" i="2"/>
  <c r="B405" i="2"/>
  <c r="C405" i="2"/>
  <c r="D405" i="2"/>
  <c r="E405" i="2"/>
  <c r="F405" i="2"/>
  <c r="O405" i="2" s="1"/>
  <c r="A406" i="2"/>
  <c r="B406" i="2"/>
  <c r="C406" i="2"/>
  <c r="D406" i="2"/>
  <c r="E406" i="2"/>
  <c r="F406" i="2"/>
  <c r="O406" i="2" s="1"/>
  <c r="A407" i="2"/>
  <c r="B407" i="2"/>
  <c r="C407" i="2"/>
  <c r="D407" i="2"/>
  <c r="E407" i="2"/>
  <c r="F407" i="2"/>
  <c r="A408" i="2"/>
  <c r="B408" i="2"/>
  <c r="C408" i="2"/>
  <c r="D408" i="2"/>
  <c r="E408" i="2"/>
  <c r="F408" i="2"/>
  <c r="A409" i="2"/>
  <c r="B409" i="2"/>
  <c r="C409" i="2"/>
  <c r="D409" i="2"/>
  <c r="E409" i="2"/>
  <c r="F409" i="2"/>
  <c r="O409" i="2" s="1"/>
  <c r="A410" i="2"/>
  <c r="B410" i="2"/>
  <c r="C410" i="2"/>
  <c r="D410" i="2"/>
  <c r="E410" i="2"/>
  <c r="F410" i="2"/>
  <c r="O410" i="2" s="1"/>
  <c r="A411" i="2"/>
  <c r="B411" i="2"/>
  <c r="C411" i="2"/>
  <c r="D411" i="2"/>
  <c r="E411" i="2"/>
  <c r="F411" i="2"/>
  <c r="A412" i="2"/>
  <c r="B412" i="2"/>
  <c r="C412" i="2"/>
  <c r="D412" i="2"/>
  <c r="E412" i="2"/>
  <c r="F412" i="2"/>
  <c r="A413" i="2"/>
  <c r="B413" i="2"/>
  <c r="C413" i="2"/>
  <c r="D413" i="2"/>
  <c r="E413" i="2"/>
  <c r="F413" i="2"/>
  <c r="O413" i="2" s="1"/>
  <c r="A414" i="2"/>
  <c r="B414" i="2"/>
  <c r="C414" i="2"/>
  <c r="D414" i="2"/>
  <c r="E414" i="2"/>
  <c r="F414" i="2"/>
  <c r="O414" i="2" s="1"/>
  <c r="A415" i="2"/>
  <c r="B415" i="2"/>
  <c r="C415" i="2"/>
  <c r="D415" i="2"/>
  <c r="E415" i="2"/>
  <c r="F415" i="2"/>
  <c r="A416" i="2"/>
  <c r="B416" i="2"/>
  <c r="C416" i="2"/>
  <c r="D416" i="2"/>
  <c r="E416" i="2"/>
  <c r="F416" i="2"/>
  <c r="A417" i="2"/>
  <c r="B417" i="2"/>
  <c r="C417" i="2"/>
  <c r="D417" i="2"/>
  <c r="E417" i="2"/>
  <c r="F417" i="2"/>
  <c r="O417" i="2" s="1"/>
  <c r="A418" i="2"/>
  <c r="B418" i="2"/>
  <c r="C418" i="2"/>
  <c r="D418" i="2"/>
  <c r="E418" i="2"/>
  <c r="F418" i="2"/>
  <c r="O418" i="2" s="1"/>
  <c r="A419" i="2"/>
  <c r="B419" i="2"/>
  <c r="C419" i="2"/>
  <c r="D419" i="2"/>
  <c r="E419" i="2"/>
  <c r="F419" i="2"/>
  <c r="A420" i="2"/>
  <c r="B420" i="2"/>
  <c r="C420" i="2"/>
  <c r="D420" i="2"/>
  <c r="E420" i="2"/>
  <c r="F420" i="2"/>
  <c r="A421" i="2"/>
  <c r="B421" i="2"/>
  <c r="C421" i="2"/>
  <c r="D421" i="2"/>
  <c r="E421" i="2"/>
  <c r="F421" i="2"/>
  <c r="O421" i="2" s="1"/>
  <c r="A422" i="2"/>
  <c r="B422" i="2"/>
  <c r="C422" i="2"/>
  <c r="D422" i="2"/>
  <c r="E422" i="2"/>
  <c r="F422" i="2"/>
  <c r="O422" i="2" s="1"/>
  <c r="A423" i="2"/>
  <c r="B423" i="2"/>
  <c r="C423" i="2"/>
  <c r="D423" i="2"/>
  <c r="E423" i="2"/>
  <c r="F423" i="2"/>
  <c r="A424" i="2"/>
  <c r="B424" i="2"/>
  <c r="C424" i="2"/>
  <c r="D424" i="2"/>
  <c r="E424" i="2"/>
  <c r="F424" i="2"/>
  <c r="A425" i="2"/>
  <c r="B425" i="2"/>
  <c r="C425" i="2"/>
  <c r="D425" i="2"/>
  <c r="E425" i="2"/>
  <c r="F425" i="2"/>
  <c r="O425" i="2" s="1"/>
  <c r="A426" i="2"/>
  <c r="B426" i="2"/>
  <c r="C426" i="2"/>
  <c r="D426" i="2"/>
  <c r="E426" i="2"/>
  <c r="F426" i="2"/>
  <c r="O426" i="2" s="1"/>
  <c r="A427" i="2"/>
  <c r="B427" i="2"/>
  <c r="C427" i="2"/>
  <c r="D427" i="2"/>
  <c r="E427" i="2"/>
  <c r="F427" i="2"/>
  <c r="A428" i="2"/>
  <c r="B428" i="2"/>
  <c r="C428" i="2"/>
  <c r="D428" i="2"/>
  <c r="E428" i="2"/>
  <c r="F428" i="2"/>
  <c r="A429" i="2"/>
  <c r="B429" i="2"/>
  <c r="C429" i="2"/>
  <c r="D429" i="2"/>
  <c r="E429" i="2"/>
  <c r="F429" i="2"/>
  <c r="O429" i="2" s="1"/>
  <c r="A430" i="2"/>
  <c r="B430" i="2"/>
  <c r="C430" i="2"/>
  <c r="D430" i="2"/>
  <c r="E430" i="2"/>
  <c r="F430" i="2"/>
  <c r="O430" i="2" s="1"/>
  <c r="A431" i="2"/>
  <c r="B431" i="2"/>
  <c r="C431" i="2"/>
  <c r="D431" i="2"/>
  <c r="E431" i="2"/>
  <c r="F431" i="2"/>
  <c r="A432" i="2"/>
  <c r="B432" i="2"/>
  <c r="C432" i="2"/>
  <c r="D432" i="2"/>
  <c r="E432" i="2"/>
  <c r="F432" i="2"/>
  <c r="A433" i="2"/>
  <c r="B433" i="2"/>
  <c r="C433" i="2"/>
  <c r="D433" i="2"/>
  <c r="E433" i="2"/>
  <c r="F433" i="2"/>
  <c r="O433" i="2" s="1"/>
  <c r="A434" i="2"/>
  <c r="B434" i="2"/>
  <c r="C434" i="2"/>
  <c r="D434" i="2"/>
  <c r="E434" i="2"/>
  <c r="F434" i="2"/>
  <c r="O434" i="2" s="1"/>
  <c r="A435" i="2"/>
  <c r="B435" i="2"/>
  <c r="C435" i="2"/>
  <c r="D435" i="2"/>
  <c r="E435" i="2"/>
  <c r="F435" i="2"/>
  <c r="A436" i="2"/>
  <c r="B436" i="2"/>
  <c r="C436" i="2"/>
  <c r="D436" i="2"/>
  <c r="E436" i="2"/>
  <c r="F436" i="2"/>
  <c r="A437" i="2"/>
  <c r="B437" i="2"/>
  <c r="C437" i="2"/>
  <c r="D437" i="2"/>
  <c r="E437" i="2"/>
  <c r="F437" i="2"/>
  <c r="O437" i="2" s="1"/>
  <c r="A438" i="2"/>
  <c r="B438" i="2"/>
  <c r="C438" i="2"/>
  <c r="D438" i="2"/>
  <c r="E438" i="2"/>
  <c r="F438" i="2"/>
  <c r="O438" i="2" s="1"/>
  <c r="A439" i="2"/>
  <c r="B439" i="2"/>
  <c r="C439" i="2"/>
  <c r="D439" i="2"/>
  <c r="E439" i="2"/>
  <c r="F439" i="2"/>
  <c r="A440" i="2"/>
  <c r="B440" i="2"/>
  <c r="C440" i="2"/>
  <c r="D440" i="2"/>
  <c r="E440" i="2"/>
  <c r="F440" i="2"/>
  <c r="A441" i="2"/>
  <c r="B441" i="2"/>
  <c r="C441" i="2"/>
  <c r="D441" i="2"/>
  <c r="E441" i="2"/>
  <c r="F441" i="2"/>
  <c r="O441" i="2" s="1"/>
  <c r="A442" i="2"/>
  <c r="B442" i="2"/>
  <c r="C442" i="2"/>
  <c r="D442" i="2"/>
  <c r="E442" i="2"/>
  <c r="F442" i="2"/>
  <c r="O442" i="2" s="1"/>
  <c r="A443" i="2"/>
  <c r="B443" i="2"/>
  <c r="C443" i="2"/>
  <c r="D443" i="2"/>
  <c r="E443" i="2"/>
  <c r="F443" i="2"/>
  <c r="A444" i="2"/>
  <c r="B444" i="2"/>
  <c r="C444" i="2"/>
  <c r="D444" i="2"/>
  <c r="E444" i="2"/>
  <c r="F444" i="2"/>
  <c r="A445" i="2"/>
  <c r="B445" i="2"/>
  <c r="C445" i="2"/>
  <c r="D445" i="2"/>
  <c r="E445" i="2"/>
  <c r="F445" i="2"/>
  <c r="O445" i="2" s="1"/>
  <c r="A446" i="2"/>
  <c r="B446" i="2"/>
  <c r="C446" i="2"/>
  <c r="D446" i="2"/>
  <c r="E446" i="2"/>
  <c r="F446" i="2"/>
  <c r="O446" i="2" s="1"/>
  <c r="A447" i="2"/>
  <c r="B447" i="2"/>
  <c r="C447" i="2"/>
  <c r="D447" i="2"/>
  <c r="E447" i="2"/>
  <c r="F447" i="2"/>
  <c r="A448" i="2"/>
  <c r="B448" i="2"/>
  <c r="C448" i="2"/>
  <c r="D448" i="2"/>
  <c r="E448" i="2"/>
  <c r="F448" i="2"/>
  <c r="A449" i="2"/>
  <c r="B449" i="2"/>
  <c r="C449" i="2"/>
  <c r="D449" i="2"/>
  <c r="E449" i="2"/>
  <c r="F449" i="2"/>
  <c r="O449" i="2" s="1"/>
  <c r="A450" i="2"/>
  <c r="B450" i="2"/>
  <c r="C450" i="2"/>
  <c r="D450" i="2"/>
  <c r="E450" i="2"/>
  <c r="F450" i="2"/>
  <c r="O450" i="2" s="1"/>
  <c r="A451" i="2"/>
  <c r="B451" i="2"/>
  <c r="C451" i="2"/>
  <c r="D451" i="2"/>
  <c r="E451" i="2"/>
  <c r="F451" i="2"/>
  <c r="A452" i="2"/>
  <c r="B452" i="2"/>
  <c r="C452" i="2"/>
  <c r="D452" i="2"/>
  <c r="E452" i="2"/>
  <c r="F452" i="2"/>
  <c r="A453" i="2"/>
  <c r="B453" i="2"/>
  <c r="C453" i="2"/>
  <c r="D453" i="2"/>
  <c r="E453" i="2"/>
  <c r="F453" i="2"/>
  <c r="O453" i="2" s="1"/>
  <c r="A454" i="2"/>
  <c r="B454" i="2"/>
  <c r="C454" i="2"/>
  <c r="D454" i="2"/>
  <c r="E454" i="2"/>
  <c r="F454" i="2"/>
  <c r="O454" i="2" s="1"/>
  <c r="A455" i="2"/>
  <c r="B455" i="2"/>
  <c r="C455" i="2"/>
  <c r="D455" i="2"/>
  <c r="E455" i="2"/>
  <c r="F455" i="2"/>
  <c r="A456" i="2"/>
  <c r="B456" i="2"/>
  <c r="C456" i="2"/>
  <c r="D456" i="2"/>
  <c r="E456" i="2"/>
  <c r="F456" i="2"/>
  <c r="A457" i="2"/>
  <c r="B457" i="2"/>
  <c r="C457" i="2"/>
  <c r="D457" i="2"/>
  <c r="E457" i="2"/>
  <c r="F457" i="2"/>
  <c r="O457" i="2" s="1"/>
  <c r="A458" i="2"/>
  <c r="B458" i="2"/>
  <c r="C458" i="2"/>
  <c r="D458" i="2"/>
  <c r="E458" i="2"/>
  <c r="F458" i="2"/>
  <c r="O458" i="2" s="1"/>
  <c r="A459" i="2"/>
  <c r="B459" i="2"/>
  <c r="C459" i="2"/>
  <c r="D459" i="2"/>
  <c r="E459" i="2"/>
  <c r="F459" i="2"/>
  <c r="A460" i="2"/>
  <c r="B460" i="2"/>
  <c r="C460" i="2"/>
  <c r="D460" i="2"/>
  <c r="E460" i="2"/>
  <c r="F460" i="2"/>
  <c r="A461" i="2"/>
  <c r="B461" i="2"/>
  <c r="C461" i="2"/>
  <c r="D461" i="2"/>
  <c r="E461" i="2"/>
  <c r="F461" i="2"/>
  <c r="O461" i="2" s="1"/>
  <c r="A462" i="2"/>
  <c r="B462" i="2"/>
  <c r="C462" i="2"/>
  <c r="D462" i="2"/>
  <c r="E462" i="2"/>
  <c r="F462" i="2"/>
  <c r="O462" i="2" s="1"/>
  <c r="A463" i="2"/>
  <c r="B463" i="2"/>
  <c r="C463" i="2"/>
  <c r="D463" i="2"/>
  <c r="E463" i="2"/>
  <c r="F463" i="2"/>
  <c r="A464" i="2"/>
  <c r="B464" i="2"/>
  <c r="C464" i="2"/>
  <c r="D464" i="2"/>
  <c r="E464" i="2"/>
  <c r="F464" i="2"/>
  <c r="A465" i="2"/>
  <c r="B465" i="2"/>
  <c r="C465" i="2"/>
  <c r="D465" i="2"/>
  <c r="E465" i="2"/>
  <c r="F465" i="2"/>
  <c r="O465" i="2" s="1"/>
  <c r="A466" i="2"/>
  <c r="B466" i="2"/>
  <c r="C466" i="2"/>
  <c r="D466" i="2"/>
  <c r="E466" i="2"/>
  <c r="F466" i="2"/>
  <c r="O466" i="2" s="1"/>
  <c r="A467" i="2"/>
  <c r="B467" i="2"/>
  <c r="C467" i="2"/>
  <c r="D467" i="2"/>
  <c r="E467" i="2"/>
  <c r="F467" i="2"/>
  <c r="A468" i="2"/>
  <c r="B468" i="2"/>
  <c r="C468" i="2"/>
  <c r="D468" i="2"/>
  <c r="E468" i="2"/>
  <c r="F468" i="2"/>
  <c r="A469" i="2"/>
  <c r="B469" i="2"/>
  <c r="C469" i="2"/>
  <c r="D469" i="2"/>
  <c r="E469" i="2"/>
  <c r="F469" i="2"/>
  <c r="O469" i="2" s="1"/>
  <c r="A470" i="2"/>
  <c r="B470" i="2"/>
  <c r="C470" i="2"/>
  <c r="D470" i="2"/>
  <c r="E470" i="2"/>
  <c r="F470" i="2"/>
  <c r="O470" i="2" s="1"/>
  <c r="A471" i="2"/>
  <c r="B471" i="2"/>
  <c r="C471" i="2"/>
  <c r="D471" i="2"/>
  <c r="E471" i="2"/>
  <c r="F471" i="2"/>
  <c r="A472" i="2"/>
  <c r="B472" i="2"/>
  <c r="C472" i="2"/>
  <c r="D472" i="2"/>
  <c r="E472" i="2"/>
  <c r="F472" i="2"/>
  <c r="A473" i="2"/>
  <c r="B473" i="2"/>
  <c r="C473" i="2"/>
  <c r="D473" i="2"/>
  <c r="E473" i="2"/>
  <c r="F473" i="2"/>
  <c r="O473" i="2" s="1"/>
  <c r="A474" i="2"/>
  <c r="B474" i="2"/>
  <c r="C474" i="2"/>
  <c r="D474" i="2"/>
  <c r="E474" i="2"/>
  <c r="F474" i="2"/>
  <c r="O474" i="2" s="1"/>
  <c r="A475" i="2"/>
  <c r="B475" i="2"/>
  <c r="C475" i="2"/>
  <c r="D475" i="2"/>
  <c r="E475" i="2"/>
  <c r="F475" i="2"/>
  <c r="A476" i="2"/>
  <c r="B476" i="2"/>
  <c r="C476" i="2"/>
  <c r="D476" i="2"/>
  <c r="E476" i="2"/>
  <c r="F476" i="2"/>
  <c r="A477" i="2"/>
  <c r="B477" i="2"/>
  <c r="C477" i="2"/>
  <c r="D477" i="2"/>
  <c r="E477" i="2"/>
  <c r="F477" i="2"/>
  <c r="O477" i="2" s="1"/>
  <c r="A478" i="2"/>
  <c r="B478" i="2"/>
  <c r="C478" i="2"/>
  <c r="D478" i="2"/>
  <c r="E478" i="2"/>
  <c r="F478" i="2"/>
  <c r="O478" i="2" s="1"/>
  <c r="A479" i="2"/>
  <c r="B479" i="2"/>
  <c r="C479" i="2"/>
  <c r="D479" i="2"/>
  <c r="E479" i="2"/>
  <c r="F479" i="2"/>
  <c r="A480" i="2"/>
  <c r="B480" i="2"/>
  <c r="C480" i="2"/>
  <c r="D480" i="2"/>
  <c r="E480" i="2"/>
  <c r="F480" i="2"/>
  <c r="A481" i="2"/>
  <c r="B481" i="2"/>
  <c r="C481" i="2"/>
  <c r="D481" i="2"/>
  <c r="E481" i="2"/>
  <c r="F481" i="2"/>
  <c r="O481" i="2" s="1"/>
  <c r="A482" i="2"/>
  <c r="B482" i="2"/>
  <c r="C482" i="2"/>
  <c r="D482" i="2"/>
  <c r="E482" i="2"/>
  <c r="F482" i="2"/>
  <c r="O482" i="2" s="1"/>
  <c r="A483" i="2"/>
  <c r="B483" i="2"/>
  <c r="C483" i="2"/>
  <c r="D483" i="2"/>
  <c r="E483" i="2"/>
  <c r="F483" i="2"/>
  <c r="A484" i="2"/>
  <c r="B484" i="2"/>
  <c r="C484" i="2"/>
  <c r="D484" i="2"/>
  <c r="E484" i="2"/>
  <c r="F484" i="2"/>
  <c r="A485" i="2"/>
  <c r="B485" i="2"/>
  <c r="C485" i="2"/>
  <c r="D485" i="2"/>
  <c r="E485" i="2"/>
  <c r="F485" i="2"/>
  <c r="O485" i="2" s="1"/>
  <c r="A486" i="2"/>
  <c r="B486" i="2"/>
  <c r="C486" i="2"/>
  <c r="D486" i="2"/>
  <c r="E486" i="2"/>
  <c r="F486" i="2"/>
  <c r="O486" i="2" s="1"/>
  <c r="A487" i="2"/>
  <c r="B487" i="2"/>
  <c r="C487" i="2"/>
  <c r="D487" i="2"/>
  <c r="E487" i="2"/>
  <c r="F487" i="2"/>
  <c r="A488" i="2"/>
  <c r="B488" i="2"/>
  <c r="C488" i="2"/>
  <c r="D488" i="2"/>
  <c r="E488" i="2"/>
  <c r="F488" i="2"/>
  <c r="A489" i="2"/>
  <c r="B489" i="2"/>
  <c r="C489" i="2"/>
  <c r="D489" i="2"/>
  <c r="E489" i="2"/>
  <c r="F489" i="2"/>
  <c r="O489" i="2" s="1"/>
  <c r="A490" i="2"/>
  <c r="B490" i="2"/>
  <c r="C490" i="2"/>
  <c r="D490" i="2"/>
  <c r="E490" i="2"/>
  <c r="F490" i="2"/>
  <c r="O490" i="2" s="1"/>
  <c r="A491" i="2"/>
  <c r="B491" i="2"/>
  <c r="C491" i="2"/>
  <c r="D491" i="2"/>
  <c r="E491" i="2"/>
  <c r="F491" i="2"/>
  <c r="A492" i="2"/>
  <c r="B492" i="2"/>
  <c r="C492" i="2"/>
  <c r="D492" i="2"/>
  <c r="E492" i="2"/>
  <c r="F492" i="2"/>
  <c r="A493" i="2"/>
  <c r="B493" i="2"/>
  <c r="C493" i="2"/>
  <c r="D493" i="2"/>
  <c r="E493" i="2"/>
  <c r="F493" i="2"/>
  <c r="O493" i="2" s="1"/>
  <c r="A494" i="2"/>
  <c r="B494" i="2"/>
  <c r="C494" i="2"/>
  <c r="D494" i="2"/>
  <c r="E494" i="2"/>
  <c r="F494" i="2"/>
  <c r="O494" i="2" s="1"/>
  <c r="A495" i="2"/>
  <c r="B495" i="2"/>
  <c r="C495" i="2"/>
  <c r="D495" i="2"/>
  <c r="E495" i="2"/>
  <c r="F495" i="2"/>
  <c r="A496" i="2"/>
  <c r="B496" i="2"/>
  <c r="C496" i="2"/>
  <c r="D496" i="2"/>
  <c r="E496" i="2"/>
  <c r="F496" i="2"/>
  <c r="A497" i="2"/>
  <c r="B497" i="2"/>
  <c r="C497" i="2"/>
  <c r="D497" i="2"/>
  <c r="E497" i="2"/>
  <c r="F497" i="2"/>
  <c r="O497" i="2" s="1"/>
  <c r="A498" i="2"/>
  <c r="B498" i="2"/>
  <c r="C498" i="2"/>
  <c r="D498" i="2"/>
  <c r="E498" i="2"/>
  <c r="F498" i="2"/>
  <c r="O498" i="2" s="1"/>
  <c r="A499" i="2"/>
  <c r="B499" i="2"/>
  <c r="C499" i="2"/>
  <c r="D499" i="2"/>
  <c r="E499" i="2"/>
  <c r="F499" i="2"/>
  <c r="A500" i="2"/>
  <c r="B500" i="2"/>
  <c r="C500" i="2"/>
  <c r="D500" i="2"/>
  <c r="E500" i="2"/>
  <c r="F500" i="2"/>
  <c r="A501" i="2"/>
  <c r="B501" i="2"/>
  <c r="C501" i="2"/>
  <c r="D501" i="2"/>
  <c r="E501" i="2"/>
  <c r="F501" i="2"/>
  <c r="O501" i="2" s="1"/>
  <c r="A502" i="2"/>
  <c r="B502" i="2"/>
  <c r="C502" i="2"/>
  <c r="D502" i="2"/>
  <c r="E502" i="2"/>
  <c r="F502" i="2"/>
  <c r="O502" i="2" s="1"/>
  <c r="A503" i="2"/>
  <c r="B503" i="2"/>
  <c r="C503" i="2"/>
  <c r="D503" i="2"/>
  <c r="E503" i="2"/>
  <c r="F503" i="2"/>
  <c r="A504" i="2"/>
  <c r="B504" i="2"/>
  <c r="C504" i="2"/>
  <c r="D504" i="2"/>
  <c r="E504" i="2"/>
  <c r="F504" i="2"/>
  <c r="A505" i="2"/>
  <c r="B505" i="2"/>
  <c r="C505" i="2"/>
  <c r="D505" i="2"/>
  <c r="E505" i="2"/>
  <c r="F505" i="2"/>
  <c r="O505" i="2" s="1"/>
  <c r="A506" i="2"/>
  <c r="B506" i="2"/>
  <c r="C506" i="2"/>
  <c r="D506" i="2"/>
  <c r="E506" i="2"/>
  <c r="F506" i="2"/>
  <c r="O506" i="2" s="1"/>
  <c r="A507" i="2"/>
  <c r="B507" i="2"/>
  <c r="C507" i="2"/>
  <c r="D507" i="2"/>
  <c r="E507" i="2"/>
  <c r="F507" i="2"/>
  <c r="A508" i="2"/>
  <c r="B508" i="2"/>
  <c r="C508" i="2"/>
  <c r="D508" i="2"/>
  <c r="E508" i="2"/>
  <c r="F508" i="2"/>
  <c r="F1" i="2"/>
  <c r="B1" i="2"/>
  <c r="C1" i="2"/>
  <c r="D1" i="2"/>
  <c r="E1" i="2"/>
  <c r="A1" i="2"/>
  <c r="O507" i="2" l="1"/>
  <c r="O503" i="2"/>
  <c r="O499" i="2"/>
  <c r="O495" i="2"/>
  <c r="O491" i="2"/>
  <c r="O487" i="2"/>
  <c r="O483" i="2"/>
  <c r="O479" i="2"/>
  <c r="O475" i="2"/>
  <c r="O471" i="2"/>
  <c r="O467" i="2"/>
  <c r="O463" i="2"/>
  <c r="O459" i="2"/>
  <c r="O455" i="2"/>
  <c r="O451" i="2"/>
  <c r="O447" i="2"/>
  <c r="O443" i="2"/>
  <c r="O439" i="2"/>
  <c r="O435" i="2"/>
  <c r="O431" i="2"/>
  <c r="O427" i="2"/>
  <c r="O423" i="2"/>
  <c r="O419" i="2"/>
  <c r="O415" i="2"/>
  <c r="O411" i="2"/>
  <c r="O407" i="2"/>
  <c r="O403" i="2"/>
  <c r="O399" i="2"/>
  <c r="O395" i="2"/>
  <c r="O391" i="2"/>
  <c r="O387" i="2"/>
  <c r="O383" i="2"/>
  <c r="O379" i="2"/>
  <c r="O375" i="2"/>
  <c r="O371" i="2"/>
  <c r="O367" i="2"/>
  <c r="O363" i="2"/>
  <c r="O359" i="2"/>
  <c r="O355" i="2"/>
  <c r="O508" i="2"/>
  <c r="O504" i="2"/>
  <c r="O500" i="2"/>
  <c r="O496" i="2"/>
  <c r="O492" i="2"/>
  <c r="O488" i="2"/>
  <c r="O484" i="2"/>
  <c r="O480" i="2"/>
  <c r="O476" i="2"/>
  <c r="O472" i="2"/>
  <c r="O468" i="2"/>
  <c r="O464" i="2"/>
  <c r="O460" i="2"/>
  <c r="O456" i="2"/>
  <c r="O452" i="2"/>
  <c r="O448" i="2"/>
  <c r="O444" i="2"/>
  <c r="O440" i="2"/>
  <c r="O436" i="2"/>
  <c r="O432" i="2"/>
  <c r="O428" i="2"/>
  <c r="O424" i="2"/>
  <c r="O420" i="2"/>
  <c r="O416" i="2"/>
  <c r="O412" i="2"/>
  <c r="O408" i="2"/>
  <c r="O404" i="2"/>
  <c r="O400" i="2"/>
  <c r="O396" i="2"/>
  <c r="O392" i="2"/>
  <c r="O388" i="2"/>
  <c r="O384" i="2"/>
  <c r="O380" i="2"/>
  <c r="O376" i="2"/>
  <c r="O381" i="2"/>
  <c r="O377" i="2"/>
  <c r="O351" i="2"/>
  <c r="O347" i="2"/>
  <c r="O343" i="2"/>
  <c r="O339" i="2"/>
  <c r="O335" i="2"/>
  <c r="O331" i="2"/>
  <c r="O327" i="2"/>
  <c r="O323" i="2"/>
  <c r="O319" i="2"/>
  <c r="O315" i="2"/>
  <c r="O311" i="2"/>
  <c r="O307" i="2"/>
  <c r="O303" i="2"/>
  <c r="O299" i="2"/>
  <c r="O295" i="2"/>
  <c r="O291" i="2"/>
  <c r="O287" i="2"/>
  <c r="O283" i="2"/>
  <c r="O279" i="2"/>
  <c r="O275" i="2"/>
  <c r="O271" i="2"/>
  <c r="O267" i="2"/>
  <c r="O263" i="2"/>
  <c r="O259" i="2"/>
  <c r="O255" i="2"/>
  <c r="O251" i="2"/>
  <c r="O247" i="2"/>
  <c r="O243" i="2"/>
  <c r="O239" i="2"/>
  <c r="O235" i="2"/>
  <c r="O231" i="2"/>
  <c r="O227" i="2"/>
  <c r="O223" i="2"/>
  <c r="O219" i="2"/>
  <c r="O215" i="2"/>
  <c r="O211" i="2"/>
  <c r="O207" i="2"/>
  <c r="O203" i="2"/>
  <c r="O199" i="2"/>
  <c r="O195" i="2"/>
  <c r="O191" i="2"/>
  <c r="O187" i="2"/>
  <c r="O183" i="2"/>
  <c r="O179" i="2"/>
  <c r="O175" i="2"/>
  <c r="O171" i="2"/>
  <c r="O167" i="2"/>
  <c r="O163" i="2"/>
  <c r="O159" i="2"/>
  <c r="O155" i="2"/>
  <c r="O151" i="2"/>
  <c r="O147" i="2"/>
  <c r="O143" i="2"/>
  <c r="O139" i="2"/>
  <c r="O135" i="2"/>
  <c r="O131" i="2"/>
  <c r="O127" i="2"/>
  <c r="O123" i="2"/>
  <c r="O119" i="2"/>
  <c r="O115" i="2"/>
  <c r="O111" i="2"/>
  <c r="O107" i="2"/>
  <c r="O103" i="2"/>
  <c r="O99" i="2"/>
  <c r="O95" i="2"/>
  <c r="O91" i="2"/>
  <c r="O87" i="2"/>
  <c r="O83" i="2"/>
  <c r="O79" i="2"/>
  <c r="O75" i="2"/>
  <c r="O71" i="2"/>
  <c r="O67" i="2"/>
  <c r="O63" i="2"/>
  <c r="O59" i="2"/>
  <c r="O55" i="2"/>
  <c r="O51" i="2"/>
  <c r="O47" i="2"/>
  <c r="O43" i="2"/>
  <c r="O39" i="2"/>
  <c r="O35" i="2"/>
  <c r="O31" i="2"/>
  <c r="O27" i="2"/>
  <c r="O23" i="2"/>
  <c r="O19" i="2"/>
  <c r="O15" i="2"/>
  <c r="O11" i="2"/>
  <c r="O7" i="2"/>
  <c r="O1509" i="2"/>
  <c r="O1505" i="2"/>
  <c r="O1501" i="2"/>
  <c r="O1497" i="2"/>
  <c r="O1493" i="2"/>
  <c r="O1489" i="2"/>
  <c r="O1485" i="2"/>
  <c r="O1481" i="2"/>
  <c r="O1477" i="2"/>
  <c r="O1473" i="2"/>
  <c r="O1469" i="2"/>
  <c r="O1465" i="2"/>
  <c r="O1461" i="2"/>
  <c r="O1457" i="2"/>
  <c r="O1453" i="2"/>
  <c r="O1449" i="2"/>
  <c r="O1445" i="2"/>
  <c r="O1441" i="2"/>
  <c r="O1437" i="2"/>
  <c r="O1433" i="2"/>
  <c r="O1429" i="2"/>
  <c r="O1425" i="2"/>
  <c r="O1421" i="2"/>
  <c r="O1417" i="2"/>
  <c r="O1413" i="2"/>
  <c r="O1409" i="2"/>
  <c r="O1405" i="2"/>
  <c r="O1401" i="2"/>
  <c r="O1397" i="2"/>
  <c r="O1393" i="2"/>
  <c r="O1389" i="2"/>
  <c r="O1385" i="2"/>
  <c r="O1381" i="2"/>
  <c r="O1377" i="2"/>
  <c r="O1373" i="2"/>
  <c r="O1369" i="2"/>
  <c r="O1365" i="2"/>
  <c r="O1361" i="2"/>
  <c r="O1357" i="2"/>
  <c r="O1353" i="2"/>
  <c r="O1349" i="2"/>
  <c r="O1345" i="2"/>
  <c r="O1341" i="2"/>
  <c r="O1337" i="2"/>
  <c r="O1333" i="2"/>
  <c r="O1329" i="2"/>
  <c r="O1325" i="2"/>
  <c r="O1321" i="2"/>
  <c r="O1317" i="2"/>
  <c r="O1313" i="2"/>
  <c r="O1309" i="2"/>
  <c r="O1305" i="2"/>
  <c r="O1301" i="2"/>
  <c r="O1297" i="2"/>
  <c r="O1293" i="2"/>
  <c r="O1289" i="2"/>
  <c r="O1285" i="2"/>
  <c r="O1281" i="2"/>
  <c r="O1277" i="2"/>
  <c r="O1273" i="2"/>
  <c r="O1269" i="2"/>
  <c r="O1265" i="2"/>
  <c r="O1261" i="2"/>
  <c r="O1257" i="2"/>
  <c r="O1253" i="2"/>
  <c r="O1249" i="2"/>
  <c r="O1245" i="2"/>
  <c r="O1241" i="2"/>
  <c r="O1237" i="2"/>
  <c r="O1233" i="2"/>
  <c r="O1229" i="2"/>
  <c r="O1225" i="2"/>
  <c r="O1221" i="2"/>
  <c r="O1217" i="2"/>
  <c r="O1213" i="2"/>
  <c r="O1209" i="2"/>
  <c r="O1205" i="2"/>
  <c r="O1201" i="2"/>
  <c r="O1197" i="2"/>
  <c r="O1193" i="2"/>
  <c r="O1189" i="2"/>
  <c r="O1185" i="2"/>
  <c r="O1181" i="2"/>
  <c r="O372" i="2"/>
  <c r="O368" i="2"/>
  <c r="O364" i="2"/>
  <c r="O360" i="2"/>
  <c r="O356" i="2"/>
  <c r="O352" i="2"/>
  <c r="O348" i="2"/>
  <c r="O344" i="2"/>
  <c r="O340" i="2"/>
  <c r="O336" i="2"/>
  <c r="O332" i="2"/>
  <c r="O328" i="2"/>
  <c r="O324" i="2"/>
  <c r="O320" i="2"/>
  <c r="O316" i="2"/>
  <c r="O312" i="2"/>
  <c r="O308" i="2"/>
  <c r="O304" i="2"/>
  <c r="O300" i="2"/>
  <c r="O296" i="2"/>
  <c r="O292" i="2"/>
  <c r="O288" i="2"/>
  <c r="O284" i="2"/>
  <c r="O280" i="2"/>
  <c r="O276" i="2"/>
  <c r="O272" i="2"/>
  <c r="O268" i="2"/>
  <c r="O264" i="2"/>
  <c r="O260" i="2"/>
  <c r="O256" i="2"/>
  <c r="O252" i="2"/>
  <c r="O248" i="2"/>
  <c r="O244" i="2"/>
  <c r="O240" i="2"/>
  <c r="O236" i="2"/>
  <c r="O232" i="2"/>
  <c r="O228" i="2"/>
  <c r="O224" i="2"/>
  <c r="O220" i="2"/>
  <c r="O216" i="2"/>
  <c r="O212" i="2"/>
  <c r="O208" i="2"/>
  <c r="O204" i="2"/>
  <c r="O200" i="2"/>
  <c r="O196" i="2"/>
  <c r="O192" i="2"/>
  <c r="O188" i="2"/>
  <c r="O184" i="2"/>
  <c r="O180" i="2"/>
  <c r="O176" i="2"/>
  <c r="O172" i="2"/>
  <c r="O168" i="2"/>
  <c r="O164" i="2"/>
  <c r="O160" i="2"/>
  <c r="O156" i="2"/>
  <c r="O152" i="2"/>
  <c r="O148" i="2"/>
  <c r="O144" i="2"/>
  <c r="O140" i="2"/>
  <c r="O136" i="2"/>
  <c r="O132" i="2"/>
  <c r="O128" i="2"/>
  <c r="O124" i="2"/>
  <c r="O120" i="2"/>
  <c r="O116" i="2"/>
  <c r="O112" i="2"/>
  <c r="O108" i="2"/>
  <c r="O104" i="2"/>
  <c r="O100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20" i="2"/>
  <c r="O16" i="2"/>
  <c r="O12" i="2"/>
  <c r="O8" i="2"/>
  <c r="O4" i="2"/>
  <c r="O1510" i="2"/>
  <c r="O1506" i="2"/>
  <c r="O1502" i="2"/>
  <c r="O1498" i="2"/>
  <c r="O1494" i="2"/>
  <c r="O1490" i="2"/>
  <c r="O1486" i="2"/>
  <c r="O1482" i="2"/>
  <c r="O1478" i="2"/>
  <c r="O1474" i="2"/>
  <c r="O1470" i="2"/>
  <c r="O1466" i="2"/>
  <c r="O1462" i="2"/>
  <c r="O1458" i="2"/>
  <c r="O1454" i="2"/>
  <c r="O1450" i="2"/>
  <c r="O1446" i="2"/>
  <c r="O1442" i="2"/>
  <c r="O1438" i="2"/>
  <c r="O1434" i="2"/>
  <c r="O1430" i="2"/>
  <c r="O1426" i="2"/>
  <c r="O1422" i="2"/>
  <c r="O1418" i="2"/>
  <c r="O1414" i="2"/>
  <c r="O1410" i="2"/>
  <c r="O1406" i="2"/>
  <c r="O1402" i="2"/>
  <c r="O1398" i="2"/>
  <c r="O1394" i="2"/>
  <c r="O1390" i="2"/>
  <c r="O1386" i="2"/>
  <c r="O1382" i="2"/>
  <c r="O1378" i="2"/>
  <c r="O1374" i="2"/>
  <c r="O1370" i="2"/>
  <c r="O1366" i="2"/>
  <c r="O1362" i="2"/>
  <c r="O1358" i="2"/>
  <c r="O1354" i="2"/>
  <c r="O1350" i="2"/>
  <c r="O1346" i="2"/>
  <c r="O1342" i="2"/>
  <c r="O1338" i="2"/>
  <c r="O1334" i="2"/>
  <c r="O1330" i="2"/>
  <c r="O1326" i="2"/>
  <c r="O1322" i="2"/>
  <c r="O1318" i="2"/>
  <c r="O1314" i="2"/>
  <c r="O1310" i="2"/>
  <c r="O1306" i="2"/>
  <c r="O1302" i="2"/>
  <c r="O1298" i="2"/>
  <c r="O1294" i="2"/>
  <c r="O1290" i="2"/>
  <c r="O1286" i="2"/>
  <c r="O1282" i="2"/>
  <c r="O1278" i="2"/>
  <c r="O1274" i="2"/>
  <c r="O1270" i="2"/>
  <c r="O1266" i="2"/>
  <c r="O1262" i="2"/>
  <c r="O1258" i="2"/>
  <c r="O1254" i="2"/>
  <c r="O1250" i="2"/>
  <c r="O1246" i="2"/>
  <c r="O1177" i="2"/>
  <c r="O1173" i="2"/>
  <c r="O1169" i="2"/>
  <c r="O1165" i="2"/>
  <c r="O1161" i="2"/>
  <c r="O1157" i="2"/>
  <c r="O1153" i="2"/>
  <c r="O1149" i="2"/>
  <c r="O1145" i="2"/>
  <c r="O1141" i="2"/>
  <c r="O1137" i="2"/>
  <c r="O1133" i="2"/>
  <c r="O1129" i="2"/>
  <c r="O1125" i="2"/>
  <c r="O1121" i="2"/>
  <c r="O1117" i="2"/>
  <c r="O1113" i="2"/>
  <c r="O1109" i="2"/>
  <c r="O1105" i="2"/>
  <c r="O1101" i="2"/>
  <c r="O1097" i="2"/>
  <c r="O1093" i="2"/>
  <c r="O1089" i="2"/>
  <c r="O1085" i="2"/>
  <c r="O1081" i="2"/>
  <c r="O1077" i="2"/>
  <c r="O1073" i="2"/>
  <c r="O1069" i="2"/>
  <c r="O1065" i="2"/>
  <c r="O1061" i="2"/>
  <c r="O1057" i="2"/>
  <c r="O1053" i="2"/>
  <c r="O1049" i="2"/>
  <c r="O1045" i="2"/>
  <c r="O1041" i="2"/>
  <c r="O1037" i="2"/>
  <c r="O1033" i="2"/>
  <c r="O1029" i="2"/>
  <c r="O1025" i="2"/>
  <c r="O1021" i="2"/>
  <c r="O1017" i="2"/>
  <c r="O1013" i="2"/>
  <c r="O1009" i="2"/>
  <c r="O1005" i="2"/>
  <c r="O1001" i="2"/>
  <c r="O997" i="2"/>
  <c r="O993" i="2"/>
  <c r="O989" i="2"/>
  <c r="O985" i="2"/>
  <c r="O981" i="2"/>
  <c r="O977" i="2"/>
  <c r="O973" i="2"/>
  <c r="O969" i="2"/>
  <c r="O965" i="2"/>
  <c r="O961" i="2"/>
  <c r="O957" i="2"/>
  <c r="O953" i="2"/>
  <c r="O949" i="2"/>
  <c r="O945" i="2"/>
  <c r="O941" i="2"/>
  <c r="O937" i="2"/>
  <c r="O933" i="2"/>
  <c r="O929" i="2"/>
  <c r="O925" i="2"/>
  <c r="O921" i="2"/>
  <c r="O917" i="2"/>
  <c r="O913" i="2"/>
  <c r="O909" i="2"/>
  <c r="O905" i="2"/>
  <c r="O901" i="2"/>
  <c r="O897" i="2"/>
  <c r="O893" i="2"/>
  <c r="O889" i="2"/>
  <c r="O885" i="2"/>
  <c r="O881" i="2"/>
  <c r="O877" i="2"/>
  <c r="O873" i="2"/>
  <c r="O869" i="2"/>
  <c r="O865" i="2"/>
  <c r="O861" i="2"/>
  <c r="O857" i="2"/>
  <c r="O853" i="2"/>
  <c r="O849" i="2"/>
  <c r="O845" i="2"/>
  <c r="O841" i="2"/>
  <c r="O837" i="2"/>
  <c r="O833" i="2"/>
  <c r="O829" i="2"/>
  <c r="O825" i="2"/>
  <c r="O821" i="2"/>
  <c r="O817" i="2"/>
  <c r="O813" i="2"/>
  <c r="O809" i="2"/>
  <c r="O805" i="2"/>
  <c r="O801" i="2"/>
  <c r="O797" i="2"/>
  <c r="O793" i="2"/>
  <c r="O789" i="2"/>
  <c r="O785" i="2"/>
  <c r="O781" i="2"/>
  <c r="O777" i="2"/>
  <c r="O773" i="2"/>
  <c r="O769" i="2"/>
  <c r="O765" i="2"/>
  <c r="O761" i="2"/>
  <c r="O757" i="2"/>
  <c r="O753" i="2"/>
  <c r="O749" i="2"/>
  <c r="O745" i="2"/>
  <c r="O741" i="2"/>
  <c r="O737" i="2"/>
  <c r="O733" i="2"/>
  <c r="O729" i="2"/>
  <c r="O725" i="2"/>
  <c r="O721" i="2"/>
  <c r="O717" i="2"/>
  <c r="O713" i="2"/>
  <c r="O709" i="2"/>
  <c r="O705" i="2"/>
  <c r="O701" i="2"/>
  <c r="O697" i="2"/>
  <c r="O693" i="2"/>
  <c r="O689" i="2"/>
  <c r="O685" i="2"/>
  <c r="O681" i="2"/>
  <c r="O677" i="2"/>
  <c r="O673" i="2"/>
  <c r="O669" i="2"/>
  <c r="O665" i="2"/>
  <c r="O661" i="2"/>
  <c r="O657" i="2"/>
  <c r="O653" i="2"/>
  <c r="O649" i="2"/>
  <c r="O645" i="2"/>
  <c r="O641" i="2"/>
  <c r="O637" i="2"/>
  <c r="O633" i="2"/>
  <c r="O629" i="2"/>
  <c r="O625" i="2"/>
  <c r="O621" i="2"/>
  <c r="O617" i="2"/>
  <c r="O613" i="2"/>
  <c r="O609" i="2"/>
  <c r="O605" i="2"/>
  <c r="O601" i="2"/>
  <c r="O597" i="2"/>
  <c r="O593" i="2"/>
  <c r="O589" i="2"/>
  <c r="O585" i="2"/>
  <c r="O581" i="2"/>
  <c r="O577" i="2"/>
  <c r="O573" i="2"/>
  <c r="O569" i="2"/>
  <c r="O565" i="2"/>
  <c r="O561" i="2"/>
  <c r="O557" i="2"/>
  <c r="O553" i="2"/>
  <c r="O549" i="2"/>
  <c r="O545" i="2"/>
  <c r="O541" i="2"/>
  <c r="O537" i="2"/>
  <c r="O533" i="2"/>
  <c r="O529" i="2"/>
  <c r="O525" i="2"/>
  <c r="O521" i="2"/>
  <c r="O517" i="2"/>
  <c r="O513" i="2"/>
  <c r="O509" i="2"/>
  <c r="O1242" i="2"/>
  <c r="O1238" i="2"/>
  <c r="O1234" i="2"/>
  <c r="O1230" i="2"/>
  <c r="O1226" i="2"/>
  <c r="O1222" i="2"/>
  <c r="O1218" i="2"/>
  <c r="O1214" i="2"/>
  <c r="O1210" i="2"/>
  <c r="O1206" i="2"/>
  <c r="O1202" i="2"/>
  <c r="O1198" i="2"/>
  <c r="O1194" i="2"/>
  <c r="O1190" i="2"/>
  <c r="O1186" i="2"/>
  <c r="O1182" i="2"/>
  <c r="O1178" i="2"/>
  <c r="O1174" i="2"/>
  <c r="O1170" i="2"/>
  <c r="O1166" i="2"/>
  <c r="O1162" i="2"/>
  <c r="O1158" i="2"/>
  <c r="O1154" i="2"/>
  <c r="O1150" i="2"/>
  <c r="O1146" i="2"/>
  <c r="O1142" i="2"/>
  <c r="O1138" i="2"/>
  <c r="O1134" i="2"/>
  <c r="O1130" i="2"/>
  <c r="O1126" i="2"/>
  <c r="O1122" i="2"/>
  <c r="O1118" i="2"/>
  <c r="O1114" i="2"/>
  <c r="O1110" i="2"/>
  <c r="O1106" i="2"/>
  <c r="O1102" i="2"/>
  <c r="O1098" i="2"/>
  <c r="O1094" i="2"/>
  <c r="O1090" i="2"/>
  <c r="O1086" i="2"/>
  <c r="O1082" i="2"/>
  <c r="O1078" i="2"/>
  <c r="O1074" i="2"/>
  <c r="O1070" i="2"/>
  <c r="O1066" i="2"/>
  <c r="O1062" i="2"/>
  <c r="O1058" i="2"/>
  <c r="O1054" i="2"/>
  <c r="O1050" i="2"/>
  <c r="O1046" i="2"/>
  <c r="O1042" i="2"/>
  <c r="O1038" i="2"/>
  <c r="O1034" i="2"/>
  <c r="O1030" i="2"/>
  <c r="O1026" i="2"/>
  <c r="O1022" i="2"/>
  <c r="O1018" i="2"/>
  <c r="O1014" i="2"/>
  <c r="O1010" i="2"/>
  <c r="O1006" i="2"/>
  <c r="O1002" i="2"/>
  <c r="O998" i="2"/>
  <c r="O994" i="2"/>
  <c r="O990" i="2"/>
  <c r="O986" i="2"/>
  <c r="O982" i="2"/>
  <c r="O978" i="2"/>
  <c r="O974" i="2"/>
  <c r="O970" i="2"/>
  <c r="O966" i="2"/>
  <c r="O962" i="2"/>
  <c r="O958" i="2"/>
  <c r="O954" i="2"/>
  <c r="O950" i="2"/>
  <c r="O946" i="2"/>
  <c r="O942" i="2"/>
  <c r="O938" i="2"/>
  <c r="O934" i="2"/>
  <c r="O930" i="2"/>
  <c r="O926" i="2"/>
  <c r="O922" i="2"/>
  <c r="O918" i="2"/>
  <c r="O914" i="2"/>
  <c r="O910" i="2"/>
  <c r="O906" i="2"/>
  <c r="O902" i="2"/>
  <c r="O898" i="2"/>
  <c r="O894" i="2"/>
  <c r="O890" i="2"/>
  <c r="O886" i="2"/>
  <c r="O882" i="2"/>
  <c r="O878" i="2"/>
  <c r="O874" i="2"/>
  <c r="O870" i="2"/>
  <c r="O866" i="2"/>
  <c r="O862" i="2"/>
  <c r="O858" i="2"/>
  <c r="O854" i="2"/>
  <c r="O850" i="2"/>
  <c r="O846" i="2"/>
  <c r="O842" i="2"/>
  <c r="O838" i="2"/>
  <c r="O834" i="2"/>
  <c r="O830" i="2"/>
  <c r="O826" i="2"/>
  <c r="O822" i="2"/>
  <c r="O818" i="2"/>
  <c r="O814" i="2"/>
  <c r="O810" i="2"/>
  <c r="O806" i="2"/>
  <c r="O802" i="2"/>
  <c r="O798" i="2"/>
  <c r="O794" i="2"/>
  <c r="O790" i="2"/>
  <c r="O786" i="2"/>
  <c r="O782" i="2"/>
  <c r="O778" i="2"/>
  <c r="O774" i="2"/>
  <c r="O770" i="2"/>
  <c r="O766" i="2"/>
  <c r="O762" i="2"/>
  <c r="O758" i="2"/>
  <c r="O754" i="2"/>
  <c r="O750" i="2"/>
  <c r="O746" i="2"/>
  <c r="O742" i="2"/>
  <c r="O738" i="2"/>
  <c r="O734" i="2"/>
  <c r="O730" i="2"/>
  <c r="O726" i="2"/>
  <c r="O722" i="2"/>
  <c r="O718" i="2"/>
  <c r="O714" i="2"/>
  <c r="O710" i="2"/>
  <c r="O706" i="2"/>
  <c r="O702" i="2"/>
  <c r="O698" i="2"/>
  <c r="O694" i="2"/>
  <c r="O690" i="2"/>
  <c r="O686" i="2"/>
  <c r="O682" i="2"/>
  <c r="O678" i="2"/>
  <c r="O674" i="2"/>
  <c r="O670" i="2"/>
  <c r="O666" i="2"/>
  <c r="O662" i="2"/>
  <c r="O658" i="2"/>
  <c r="O654" i="2"/>
  <c r="O650" i="2"/>
  <c r="O646" i="2"/>
  <c r="O642" i="2"/>
  <c r="O638" i="2"/>
  <c r="O634" i="2"/>
  <c r="O630" i="2"/>
  <c r="O626" i="2"/>
  <c r="O622" i="2"/>
  <c r="O618" i="2"/>
  <c r="O614" i="2"/>
  <c r="O610" i="2"/>
  <c r="O606" i="2"/>
  <c r="O602" i="2"/>
  <c r="O598" i="2"/>
  <c r="O594" i="2"/>
  <c r="O590" i="2"/>
  <c r="O586" i="2"/>
  <c r="O582" i="2"/>
  <c r="O578" i="2"/>
  <c r="O574" i="2"/>
  <c r="O514" i="2"/>
  <c r="O510" i="2"/>
  <c r="J495" i="2"/>
  <c r="H470" i="2"/>
  <c r="J467" i="2"/>
  <c r="H442" i="2"/>
  <c r="J459" i="2"/>
  <c r="H434" i="2"/>
  <c r="H382" i="2"/>
  <c r="J407" i="2"/>
  <c r="J371" i="2"/>
  <c r="H346" i="2"/>
  <c r="J347" i="2"/>
  <c r="H322" i="2"/>
  <c r="J339" i="2"/>
  <c r="H314" i="2"/>
  <c r="J323" i="2"/>
  <c r="H298" i="2"/>
  <c r="H282" i="2"/>
  <c r="J307" i="2"/>
  <c r="J291" i="2"/>
  <c r="H266" i="2"/>
  <c r="H258" i="2"/>
  <c r="J283" i="2"/>
  <c r="H206" i="2"/>
  <c r="J231" i="2"/>
  <c r="J211" i="2"/>
  <c r="H186" i="2"/>
  <c r="H178" i="2"/>
  <c r="J203" i="2"/>
  <c r="J151" i="2"/>
  <c r="H126" i="2"/>
  <c r="H118" i="2"/>
  <c r="J143" i="2"/>
  <c r="H86" i="2"/>
  <c r="J111" i="2"/>
  <c r="J87" i="2"/>
  <c r="H62" i="2"/>
  <c r="J22" i="2"/>
  <c r="H26" i="2"/>
  <c r="J51" i="2"/>
  <c r="H1476" i="2"/>
  <c r="J1501" i="2"/>
  <c r="H1452" i="2"/>
  <c r="J1477" i="2"/>
  <c r="H1444" i="2"/>
  <c r="J1469" i="2"/>
  <c r="H1432" i="2"/>
  <c r="J1457" i="2"/>
  <c r="H1412" i="2"/>
  <c r="J1437" i="2"/>
  <c r="H1404" i="2"/>
  <c r="J1429" i="2"/>
  <c r="H1380" i="2"/>
  <c r="J1405" i="2"/>
  <c r="H1356" i="2"/>
  <c r="J1381" i="2"/>
  <c r="H1296" i="2"/>
  <c r="J1321" i="2"/>
  <c r="H1268" i="2"/>
  <c r="J1293" i="2"/>
  <c r="H1252" i="2"/>
  <c r="J1277" i="2"/>
  <c r="H1244" i="2"/>
  <c r="J1269" i="2"/>
  <c r="H1232" i="2"/>
  <c r="J1257" i="2"/>
  <c r="H1224" i="2"/>
  <c r="J1249" i="2"/>
  <c r="H1220" i="2"/>
  <c r="J1245" i="2"/>
  <c r="H1208" i="2"/>
  <c r="J1233" i="2"/>
  <c r="H1188" i="2"/>
  <c r="J1213" i="2"/>
  <c r="J1177" i="2"/>
  <c r="H1152" i="2"/>
  <c r="J1133" i="2"/>
  <c r="H1108" i="2"/>
  <c r="J1121" i="2"/>
  <c r="H1096" i="2"/>
  <c r="J1117" i="2"/>
  <c r="H1092" i="2"/>
  <c r="J1105" i="2"/>
  <c r="H1080" i="2"/>
  <c r="J1093" i="2"/>
  <c r="H1068" i="2"/>
  <c r="J1089" i="2"/>
  <c r="H1064" i="2"/>
  <c r="J1069" i="2"/>
  <c r="H1044" i="2"/>
  <c r="J1049" i="2"/>
  <c r="H1024" i="2"/>
  <c r="J993" i="2"/>
  <c r="H968" i="2"/>
  <c r="J977" i="2"/>
  <c r="H952" i="2"/>
  <c r="J969" i="2"/>
  <c r="H944" i="2"/>
  <c r="J961" i="2"/>
  <c r="H936" i="2"/>
  <c r="J945" i="2"/>
  <c r="H920" i="2"/>
  <c r="J901" i="2"/>
  <c r="H876" i="2"/>
  <c r="J865" i="2"/>
  <c r="H840" i="2"/>
  <c r="J809" i="2"/>
  <c r="H784" i="2"/>
  <c r="J785" i="2"/>
  <c r="H760" i="2"/>
  <c r="J757" i="2"/>
  <c r="H732" i="2"/>
  <c r="J737" i="2"/>
  <c r="H712" i="2"/>
  <c r="J729" i="2"/>
  <c r="H704" i="2"/>
  <c r="J717" i="2"/>
  <c r="H692" i="2"/>
  <c r="J709" i="2"/>
  <c r="H684" i="2"/>
  <c r="J689" i="2"/>
  <c r="H664" i="2"/>
  <c r="J677" i="2"/>
  <c r="H652" i="2"/>
  <c r="J653" i="2"/>
  <c r="H628" i="2"/>
  <c r="J645" i="2"/>
  <c r="H620" i="2"/>
  <c r="J625" i="2"/>
  <c r="H600" i="2"/>
  <c r="J617" i="2"/>
  <c r="H592" i="2"/>
  <c r="J605" i="2"/>
  <c r="H580" i="2"/>
  <c r="J569" i="2"/>
  <c r="H544" i="2"/>
  <c r="J561" i="2"/>
  <c r="H536" i="2"/>
  <c r="J553" i="2"/>
  <c r="H528" i="2"/>
  <c r="J536" i="2"/>
  <c r="H511" i="2"/>
  <c r="J532" i="2"/>
  <c r="H507" i="2"/>
  <c r="J528" i="2"/>
  <c r="H503" i="2"/>
  <c r="J524" i="2"/>
  <c r="H499" i="2"/>
  <c r="J520" i="2"/>
  <c r="H495" i="2"/>
  <c r="J516" i="2"/>
  <c r="H491" i="2"/>
  <c r="J512" i="2"/>
  <c r="H487" i="2"/>
  <c r="J508" i="2"/>
  <c r="H483" i="2"/>
  <c r="J504" i="2"/>
  <c r="H479" i="2"/>
  <c r="J500" i="2"/>
  <c r="H475" i="2"/>
  <c r="J496" i="2"/>
  <c r="H471" i="2"/>
  <c r="J492" i="2"/>
  <c r="H467" i="2"/>
  <c r="L467" i="2" s="1"/>
  <c r="J488" i="2"/>
  <c r="H463" i="2"/>
  <c r="J484" i="2"/>
  <c r="H459" i="2"/>
  <c r="J480" i="2"/>
  <c r="H455" i="2"/>
  <c r="J476" i="2"/>
  <c r="H451" i="2"/>
  <c r="J472" i="2"/>
  <c r="H447" i="2"/>
  <c r="J468" i="2"/>
  <c r="H443" i="2"/>
  <c r="J464" i="2"/>
  <c r="H439" i="2"/>
  <c r="J460" i="2"/>
  <c r="H435" i="2"/>
  <c r="J456" i="2"/>
  <c r="H431" i="2"/>
  <c r="J452" i="2"/>
  <c r="H427" i="2"/>
  <c r="J448" i="2"/>
  <c r="H423" i="2"/>
  <c r="J444" i="2"/>
  <c r="H419" i="2"/>
  <c r="J440" i="2"/>
  <c r="H415" i="2"/>
  <c r="J436" i="2"/>
  <c r="H411" i="2"/>
  <c r="J432" i="2"/>
  <c r="H407" i="2"/>
  <c r="J428" i="2"/>
  <c r="H403" i="2"/>
  <c r="J424" i="2"/>
  <c r="H399" i="2"/>
  <c r="J420" i="2"/>
  <c r="H395" i="2"/>
  <c r="J416" i="2"/>
  <c r="H391" i="2"/>
  <c r="J412" i="2"/>
  <c r="H387" i="2"/>
  <c r="J408" i="2"/>
  <c r="H383" i="2"/>
  <c r="J404" i="2"/>
  <c r="H379" i="2"/>
  <c r="J400" i="2"/>
  <c r="H375" i="2"/>
  <c r="J396" i="2"/>
  <c r="H371" i="2"/>
  <c r="J392" i="2"/>
  <c r="H367" i="2"/>
  <c r="J388" i="2"/>
  <c r="H363" i="2"/>
  <c r="J384" i="2"/>
  <c r="H359" i="2"/>
  <c r="J380" i="2"/>
  <c r="H355" i="2"/>
  <c r="J376" i="2"/>
  <c r="H351" i="2"/>
  <c r="J372" i="2"/>
  <c r="H347" i="2"/>
  <c r="J368" i="2"/>
  <c r="H343" i="2"/>
  <c r="J364" i="2"/>
  <c r="H339" i="2"/>
  <c r="J360" i="2"/>
  <c r="H335" i="2"/>
  <c r="J356" i="2"/>
  <c r="H331" i="2"/>
  <c r="J352" i="2"/>
  <c r="H327" i="2"/>
  <c r="J348" i="2"/>
  <c r="H323" i="2"/>
  <c r="J344" i="2"/>
  <c r="H319" i="2"/>
  <c r="J340" i="2"/>
  <c r="H315" i="2"/>
  <c r="J336" i="2"/>
  <c r="H311" i="2"/>
  <c r="J332" i="2"/>
  <c r="H307" i="2"/>
  <c r="J328" i="2"/>
  <c r="H303" i="2"/>
  <c r="J324" i="2"/>
  <c r="H299" i="2"/>
  <c r="J320" i="2"/>
  <c r="H295" i="2"/>
  <c r="J316" i="2"/>
  <c r="H291" i="2"/>
  <c r="J312" i="2"/>
  <c r="H287" i="2"/>
  <c r="J308" i="2"/>
  <c r="H283" i="2"/>
  <c r="J304" i="2"/>
  <c r="H279" i="2"/>
  <c r="H275" i="2"/>
  <c r="J300" i="2"/>
  <c r="H271" i="2"/>
  <c r="J296" i="2"/>
  <c r="H267" i="2"/>
  <c r="J292" i="2"/>
  <c r="H263" i="2"/>
  <c r="J288" i="2"/>
  <c r="H259" i="2"/>
  <c r="J284" i="2"/>
  <c r="H255" i="2"/>
  <c r="J280" i="2"/>
  <c r="H251" i="2"/>
  <c r="J276" i="2"/>
  <c r="H247" i="2"/>
  <c r="J272" i="2"/>
  <c r="H243" i="2"/>
  <c r="J268" i="2"/>
  <c r="H239" i="2"/>
  <c r="J264" i="2"/>
  <c r="H235" i="2"/>
  <c r="J260" i="2"/>
  <c r="H231" i="2"/>
  <c r="J256" i="2"/>
  <c r="H227" i="2"/>
  <c r="J252" i="2"/>
  <c r="H223" i="2"/>
  <c r="J248" i="2"/>
  <c r="H219" i="2"/>
  <c r="J244" i="2"/>
  <c r="H215" i="2"/>
  <c r="J240" i="2"/>
  <c r="J236" i="2"/>
  <c r="H211" i="2"/>
  <c r="J232" i="2"/>
  <c r="H207" i="2"/>
  <c r="J228" i="2"/>
  <c r="H203" i="2"/>
  <c r="J224" i="2"/>
  <c r="H199" i="2"/>
  <c r="H195" i="2"/>
  <c r="J220" i="2"/>
  <c r="J216" i="2"/>
  <c r="H191" i="2"/>
  <c r="J212" i="2"/>
  <c r="H187" i="2"/>
  <c r="H183" i="2"/>
  <c r="J208" i="2"/>
  <c r="H179" i="2"/>
  <c r="J204" i="2"/>
  <c r="J200" i="2"/>
  <c r="H175" i="2"/>
  <c r="J196" i="2"/>
  <c r="H171" i="2"/>
  <c r="H167" i="2"/>
  <c r="J192" i="2"/>
  <c r="H163" i="2"/>
  <c r="J188" i="2"/>
  <c r="J184" i="2"/>
  <c r="H159" i="2"/>
  <c r="H155" i="2"/>
  <c r="J180" i="2"/>
  <c r="H151" i="2"/>
  <c r="J176" i="2"/>
  <c r="H147" i="2"/>
  <c r="J172" i="2"/>
  <c r="H143" i="2"/>
  <c r="J168" i="2"/>
  <c r="H139" i="2"/>
  <c r="J164" i="2"/>
  <c r="J160" i="2"/>
  <c r="H135" i="2"/>
  <c r="J156" i="2"/>
  <c r="H131" i="2"/>
  <c r="J152" i="2"/>
  <c r="H127" i="2"/>
  <c r="H123" i="2"/>
  <c r="J148" i="2"/>
  <c r="H119" i="2"/>
  <c r="J144" i="2"/>
  <c r="H115" i="2"/>
  <c r="J140" i="2"/>
  <c r="H111" i="2"/>
  <c r="J136" i="2"/>
  <c r="J132" i="2"/>
  <c r="H107" i="2"/>
  <c r="J128" i="2"/>
  <c r="H103" i="2"/>
  <c r="J124" i="2"/>
  <c r="H99" i="2"/>
  <c r="H95" i="2"/>
  <c r="J120" i="2"/>
  <c r="H91" i="2"/>
  <c r="J116" i="2"/>
  <c r="H87" i="2"/>
  <c r="J112" i="2"/>
  <c r="H83" i="2"/>
  <c r="J108" i="2"/>
  <c r="H79" i="2"/>
  <c r="J104" i="2"/>
  <c r="J100" i="2"/>
  <c r="H75" i="2"/>
  <c r="J96" i="2"/>
  <c r="H71" i="2"/>
  <c r="J92" i="2"/>
  <c r="H67" i="2"/>
  <c r="J88" i="2"/>
  <c r="H63" i="2"/>
  <c r="H59" i="2"/>
  <c r="J84" i="2"/>
  <c r="H55" i="2"/>
  <c r="J80" i="2"/>
  <c r="J76" i="2"/>
  <c r="H51" i="2"/>
  <c r="J72" i="2"/>
  <c r="H47" i="2"/>
  <c r="H43" i="2"/>
  <c r="J68" i="2"/>
  <c r="J64" i="2"/>
  <c r="H39" i="2"/>
  <c r="J60" i="2"/>
  <c r="H35" i="2"/>
  <c r="H31" i="2"/>
  <c r="J27" i="2"/>
  <c r="J56" i="2"/>
  <c r="J23" i="2"/>
  <c r="H27" i="2"/>
  <c r="J52" i="2"/>
  <c r="J48" i="2"/>
  <c r="J19" i="2"/>
  <c r="H23" i="2"/>
  <c r="H19" i="2"/>
  <c r="J15" i="2"/>
  <c r="J44" i="2"/>
  <c r="H15" i="2"/>
  <c r="J40" i="2"/>
  <c r="J11" i="2"/>
  <c r="H11" i="2"/>
  <c r="J7" i="2"/>
  <c r="J36" i="2"/>
  <c r="O3" i="2"/>
  <c r="H7" i="2"/>
  <c r="H3" i="2"/>
  <c r="J32" i="2"/>
  <c r="J3" i="2"/>
  <c r="H1509" i="2"/>
  <c r="H1505" i="2"/>
  <c r="H1501" i="2"/>
  <c r="H1497" i="2"/>
  <c r="H1493" i="2"/>
  <c r="H1489" i="2"/>
  <c r="J1510" i="2"/>
  <c r="H1485" i="2"/>
  <c r="J1506" i="2"/>
  <c r="H1481" i="2"/>
  <c r="J1502" i="2"/>
  <c r="H1477" i="2"/>
  <c r="J1498" i="2"/>
  <c r="H1473" i="2"/>
  <c r="J1494" i="2"/>
  <c r="H1469" i="2"/>
  <c r="J1490" i="2"/>
  <c r="H1465" i="2"/>
  <c r="J1486" i="2"/>
  <c r="H1461" i="2"/>
  <c r="J1482" i="2"/>
  <c r="H1457" i="2"/>
  <c r="J1478" i="2"/>
  <c r="H1453" i="2"/>
  <c r="J1474" i="2"/>
  <c r="H1449" i="2"/>
  <c r="J1470" i="2"/>
  <c r="H1445" i="2"/>
  <c r="J1466" i="2"/>
  <c r="H1441" i="2"/>
  <c r="J1462" i="2"/>
  <c r="H1437" i="2"/>
  <c r="J1458" i="2"/>
  <c r="H1433" i="2"/>
  <c r="J1454" i="2"/>
  <c r="H1429" i="2"/>
  <c r="J1450" i="2"/>
  <c r="H1425" i="2"/>
  <c r="J1446" i="2"/>
  <c r="H1421" i="2"/>
  <c r="J1442" i="2"/>
  <c r="H1417" i="2"/>
  <c r="J1438" i="2"/>
  <c r="H1413" i="2"/>
  <c r="J1434" i="2"/>
  <c r="H1409" i="2"/>
  <c r="J1430" i="2"/>
  <c r="H1405" i="2"/>
  <c r="J1426" i="2"/>
  <c r="H1401" i="2"/>
  <c r="J1422" i="2"/>
  <c r="H1397" i="2"/>
  <c r="J1418" i="2"/>
  <c r="H1393" i="2"/>
  <c r="J1414" i="2"/>
  <c r="H1389" i="2"/>
  <c r="J1410" i="2"/>
  <c r="H1385" i="2"/>
  <c r="J1406" i="2"/>
  <c r="H1381" i="2"/>
  <c r="H1377" i="2"/>
  <c r="J1402" i="2"/>
  <c r="H1373" i="2"/>
  <c r="J1398" i="2"/>
  <c r="H1369" i="2"/>
  <c r="J1394" i="2"/>
  <c r="J1390" i="2"/>
  <c r="H1365" i="2"/>
  <c r="H1361" i="2"/>
  <c r="J1386" i="2"/>
  <c r="H1357" i="2"/>
  <c r="J1382" i="2"/>
  <c r="H1353" i="2"/>
  <c r="J1378" i="2"/>
  <c r="H1349" i="2"/>
  <c r="J1374" i="2"/>
  <c r="H1345" i="2"/>
  <c r="J1370" i="2"/>
  <c r="H1341" i="2"/>
  <c r="J1366" i="2"/>
  <c r="H1337" i="2"/>
  <c r="J1362" i="2"/>
  <c r="H1333" i="2"/>
  <c r="J1358" i="2"/>
  <c r="H1329" i="2"/>
  <c r="J1354" i="2"/>
  <c r="H1325" i="2"/>
  <c r="J1350" i="2"/>
  <c r="H1321" i="2"/>
  <c r="J1346" i="2"/>
  <c r="H1317" i="2"/>
  <c r="J1342" i="2"/>
  <c r="H1313" i="2"/>
  <c r="J1338" i="2"/>
  <c r="H1309" i="2"/>
  <c r="J1334" i="2"/>
  <c r="H1305" i="2"/>
  <c r="J1330" i="2"/>
  <c r="H1301" i="2"/>
  <c r="J1326" i="2"/>
  <c r="H1297" i="2"/>
  <c r="J1322" i="2"/>
  <c r="H1293" i="2"/>
  <c r="J1318" i="2"/>
  <c r="H1289" i="2"/>
  <c r="J1314" i="2"/>
  <c r="H1285" i="2"/>
  <c r="J1310" i="2"/>
  <c r="H1281" i="2"/>
  <c r="J1306" i="2"/>
  <c r="H1277" i="2"/>
  <c r="J1302" i="2"/>
  <c r="H1273" i="2"/>
  <c r="J1298" i="2"/>
  <c r="H1269" i="2"/>
  <c r="J1294" i="2"/>
  <c r="H1265" i="2"/>
  <c r="J1290" i="2"/>
  <c r="H1261" i="2"/>
  <c r="J1286" i="2"/>
  <c r="H1257" i="2"/>
  <c r="J1282" i="2"/>
  <c r="H1253" i="2"/>
  <c r="J1278" i="2"/>
  <c r="H1249" i="2"/>
  <c r="J1274" i="2"/>
  <c r="H1245" i="2"/>
  <c r="J1270" i="2"/>
  <c r="H1241" i="2"/>
  <c r="J1266" i="2"/>
  <c r="H1237" i="2"/>
  <c r="J1262" i="2"/>
  <c r="H1233" i="2"/>
  <c r="J1258" i="2"/>
  <c r="H1229" i="2"/>
  <c r="J1254" i="2"/>
  <c r="H1225" i="2"/>
  <c r="J1250" i="2"/>
  <c r="H1221" i="2"/>
  <c r="J1246" i="2"/>
  <c r="H1217" i="2"/>
  <c r="J1242" i="2"/>
  <c r="H1213" i="2"/>
  <c r="J1238" i="2"/>
  <c r="H1209" i="2"/>
  <c r="J1234" i="2"/>
  <c r="H1205" i="2"/>
  <c r="J1230" i="2"/>
  <c r="H1201" i="2"/>
  <c r="J1226" i="2"/>
  <c r="H1197" i="2"/>
  <c r="J1222" i="2"/>
  <c r="H1193" i="2"/>
  <c r="J1218" i="2"/>
  <c r="H1189" i="2"/>
  <c r="J1214" i="2"/>
  <c r="H1185" i="2"/>
  <c r="J1210" i="2"/>
  <c r="H1181" i="2"/>
  <c r="J1206" i="2"/>
  <c r="H1177" i="2"/>
  <c r="J1202" i="2"/>
  <c r="J1198" i="2"/>
  <c r="H1173" i="2"/>
  <c r="J1194" i="2"/>
  <c r="H1169" i="2"/>
  <c r="J1190" i="2"/>
  <c r="H1165" i="2"/>
  <c r="H1161" i="2"/>
  <c r="J1186" i="2"/>
  <c r="J1182" i="2"/>
  <c r="H1157" i="2"/>
  <c r="J1178" i="2"/>
  <c r="H1153" i="2"/>
  <c r="J1174" i="2"/>
  <c r="H1149" i="2"/>
  <c r="J1170" i="2"/>
  <c r="H1145" i="2"/>
  <c r="J1166" i="2"/>
  <c r="H1141" i="2"/>
  <c r="J1162" i="2"/>
  <c r="H1137" i="2"/>
  <c r="J1158" i="2"/>
  <c r="H1133" i="2"/>
  <c r="J1154" i="2"/>
  <c r="H1129" i="2"/>
  <c r="J1150" i="2"/>
  <c r="H1125" i="2"/>
  <c r="J1146" i="2"/>
  <c r="H1121" i="2"/>
  <c r="J1142" i="2"/>
  <c r="H1117" i="2"/>
  <c r="J1138" i="2"/>
  <c r="H1113" i="2"/>
  <c r="J1134" i="2"/>
  <c r="H1109" i="2"/>
  <c r="J1130" i="2"/>
  <c r="H1105" i="2"/>
  <c r="J1126" i="2"/>
  <c r="H1101" i="2"/>
  <c r="J1122" i="2"/>
  <c r="H1097" i="2"/>
  <c r="J1118" i="2"/>
  <c r="H1093" i="2"/>
  <c r="J1114" i="2"/>
  <c r="H1089" i="2"/>
  <c r="J1110" i="2"/>
  <c r="H1085" i="2"/>
  <c r="J1106" i="2"/>
  <c r="H1081" i="2"/>
  <c r="J1102" i="2"/>
  <c r="H1077" i="2"/>
  <c r="J1098" i="2"/>
  <c r="H1073" i="2"/>
  <c r="J1094" i="2"/>
  <c r="H1069" i="2"/>
  <c r="J1090" i="2"/>
  <c r="H1065" i="2"/>
  <c r="J1086" i="2"/>
  <c r="H1061" i="2"/>
  <c r="J1082" i="2"/>
  <c r="H1057" i="2"/>
  <c r="J1078" i="2"/>
  <c r="H1053" i="2"/>
  <c r="J1074" i="2"/>
  <c r="H1049" i="2"/>
  <c r="J1070" i="2"/>
  <c r="H1045" i="2"/>
  <c r="J1066" i="2"/>
  <c r="H1041" i="2"/>
  <c r="J1062" i="2"/>
  <c r="H1037" i="2"/>
  <c r="J1058" i="2"/>
  <c r="H1033" i="2"/>
  <c r="J1054" i="2"/>
  <c r="H1029" i="2"/>
  <c r="J1050" i="2"/>
  <c r="H1025" i="2"/>
  <c r="J1046" i="2"/>
  <c r="H1021" i="2"/>
  <c r="J1042" i="2"/>
  <c r="H1017" i="2"/>
  <c r="J1038" i="2"/>
  <c r="H1013" i="2"/>
  <c r="J1034" i="2"/>
  <c r="H1009" i="2"/>
  <c r="J1030" i="2"/>
  <c r="H1005" i="2"/>
  <c r="J1026" i="2"/>
  <c r="H1001" i="2"/>
  <c r="J1022" i="2"/>
  <c r="H997" i="2"/>
  <c r="J1018" i="2"/>
  <c r="H993" i="2"/>
  <c r="J1014" i="2"/>
  <c r="H989" i="2"/>
  <c r="J1010" i="2"/>
  <c r="H985" i="2"/>
  <c r="J1006" i="2"/>
  <c r="H981" i="2"/>
  <c r="J1002" i="2"/>
  <c r="H977" i="2"/>
  <c r="J998" i="2"/>
  <c r="H973" i="2"/>
  <c r="J994" i="2"/>
  <c r="H969" i="2"/>
  <c r="J990" i="2"/>
  <c r="H965" i="2"/>
  <c r="J986" i="2"/>
  <c r="H961" i="2"/>
  <c r="J982" i="2"/>
  <c r="H957" i="2"/>
  <c r="H953" i="2"/>
  <c r="J978" i="2"/>
  <c r="J974" i="2"/>
  <c r="H949" i="2"/>
  <c r="H945" i="2"/>
  <c r="J970" i="2"/>
  <c r="J966" i="2"/>
  <c r="H941" i="2"/>
  <c r="H937" i="2"/>
  <c r="J962" i="2"/>
  <c r="J958" i="2"/>
  <c r="H933" i="2"/>
  <c r="H929" i="2"/>
  <c r="J954" i="2"/>
  <c r="J950" i="2"/>
  <c r="H925" i="2"/>
  <c r="H921" i="2"/>
  <c r="J946" i="2"/>
  <c r="J942" i="2"/>
  <c r="H917" i="2"/>
  <c r="H913" i="2"/>
  <c r="J938" i="2"/>
  <c r="J934" i="2"/>
  <c r="H909" i="2"/>
  <c r="H905" i="2"/>
  <c r="J930" i="2"/>
  <c r="J926" i="2"/>
  <c r="H901" i="2"/>
  <c r="H897" i="2"/>
  <c r="J922" i="2"/>
  <c r="J918" i="2"/>
  <c r="H893" i="2"/>
  <c r="H889" i="2"/>
  <c r="J914" i="2"/>
  <c r="J910" i="2"/>
  <c r="H885" i="2"/>
  <c r="H881" i="2"/>
  <c r="J906" i="2"/>
  <c r="J902" i="2"/>
  <c r="H877" i="2"/>
  <c r="H873" i="2"/>
  <c r="J898" i="2"/>
  <c r="J894" i="2"/>
  <c r="H869" i="2"/>
  <c r="H865" i="2"/>
  <c r="J890" i="2"/>
  <c r="J886" i="2"/>
  <c r="H861" i="2"/>
  <c r="H857" i="2"/>
  <c r="J882" i="2"/>
  <c r="J878" i="2"/>
  <c r="H853" i="2"/>
  <c r="H849" i="2"/>
  <c r="J874" i="2"/>
  <c r="J870" i="2"/>
  <c r="H845" i="2"/>
  <c r="H841" i="2"/>
  <c r="J866" i="2"/>
  <c r="J862" i="2"/>
  <c r="H837" i="2"/>
  <c r="H833" i="2"/>
  <c r="J858" i="2"/>
  <c r="J854" i="2"/>
  <c r="H829" i="2"/>
  <c r="H825" i="2"/>
  <c r="J850" i="2"/>
  <c r="J846" i="2"/>
  <c r="H821" i="2"/>
  <c r="H817" i="2"/>
  <c r="J842" i="2"/>
  <c r="J838" i="2"/>
  <c r="H813" i="2"/>
  <c r="H809" i="2"/>
  <c r="J834" i="2"/>
  <c r="J830" i="2"/>
  <c r="H805" i="2"/>
  <c r="H801" i="2"/>
  <c r="J826" i="2"/>
  <c r="J822" i="2"/>
  <c r="H797" i="2"/>
  <c r="H793" i="2"/>
  <c r="J818" i="2"/>
  <c r="J814" i="2"/>
  <c r="H789" i="2"/>
  <c r="H785" i="2"/>
  <c r="J810" i="2"/>
  <c r="J806" i="2"/>
  <c r="H781" i="2"/>
  <c r="H777" i="2"/>
  <c r="J802" i="2"/>
  <c r="J798" i="2"/>
  <c r="H773" i="2"/>
  <c r="H769" i="2"/>
  <c r="J794" i="2"/>
  <c r="J790" i="2"/>
  <c r="H765" i="2"/>
  <c r="H761" i="2"/>
  <c r="J786" i="2"/>
  <c r="J782" i="2"/>
  <c r="H757" i="2"/>
  <c r="H753" i="2"/>
  <c r="J778" i="2"/>
  <c r="J774" i="2"/>
  <c r="H749" i="2"/>
  <c r="H745" i="2"/>
  <c r="J770" i="2"/>
  <c r="J766" i="2"/>
  <c r="H741" i="2"/>
  <c r="H737" i="2"/>
  <c r="J762" i="2"/>
  <c r="J758" i="2"/>
  <c r="H733" i="2"/>
  <c r="H729" i="2"/>
  <c r="J754" i="2"/>
  <c r="J750" i="2"/>
  <c r="H725" i="2"/>
  <c r="H721" i="2"/>
  <c r="J746" i="2"/>
  <c r="J742" i="2"/>
  <c r="H717" i="2"/>
  <c r="H713" i="2"/>
  <c r="J738" i="2"/>
  <c r="J734" i="2"/>
  <c r="H709" i="2"/>
  <c r="H705" i="2"/>
  <c r="J730" i="2"/>
  <c r="J726" i="2"/>
  <c r="H701" i="2"/>
  <c r="H697" i="2"/>
  <c r="J722" i="2"/>
  <c r="J718" i="2"/>
  <c r="H693" i="2"/>
  <c r="H689" i="2"/>
  <c r="J714" i="2"/>
  <c r="J710" i="2"/>
  <c r="H685" i="2"/>
  <c r="H681" i="2"/>
  <c r="J706" i="2"/>
  <c r="J702" i="2"/>
  <c r="H677" i="2"/>
  <c r="H673" i="2"/>
  <c r="J698" i="2"/>
  <c r="J694" i="2"/>
  <c r="H669" i="2"/>
  <c r="H665" i="2"/>
  <c r="J690" i="2"/>
  <c r="J686" i="2"/>
  <c r="H661" i="2"/>
  <c r="H657" i="2"/>
  <c r="J682" i="2"/>
  <c r="J678" i="2"/>
  <c r="H653" i="2"/>
  <c r="H649" i="2"/>
  <c r="J674" i="2"/>
  <c r="J670" i="2"/>
  <c r="H645" i="2"/>
  <c r="L645" i="2" s="1"/>
  <c r="H641" i="2"/>
  <c r="J666" i="2"/>
  <c r="J662" i="2"/>
  <c r="H637" i="2"/>
  <c r="H633" i="2"/>
  <c r="J658" i="2"/>
  <c r="J654" i="2"/>
  <c r="H629" i="2"/>
  <c r="H625" i="2"/>
  <c r="J650" i="2"/>
  <c r="J646" i="2"/>
  <c r="H621" i="2"/>
  <c r="H617" i="2"/>
  <c r="J642" i="2"/>
  <c r="J638" i="2"/>
  <c r="H613" i="2"/>
  <c r="H609" i="2"/>
  <c r="J634" i="2"/>
  <c r="J630" i="2"/>
  <c r="H605" i="2"/>
  <c r="H601" i="2"/>
  <c r="J626" i="2"/>
  <c r="J622" i="2"/>
  <c r="H597" i="2"/>
  <c r="H593" i="2"/>
  <c r="J618" i="2"/>
  <c r="J614" i="2"/>
  <c r="H589" i="2"/>
  <c r="H585" i="2"/>
  <c r="J610" i="2"/>
  <c r="J606" i="2"/>
  <c r="H581" i="2"/>
  <c r="H577" i="2"/>
  <c r="J602" i="2"/>
  <c r="J598" i="2"/>
  <c r="H573" i="2"/>
  <c r="H569" i="2"/>
  <c r="J594" i="2"/>
  <c r="J590" i="2"/>
  <c r="H565" i="2"/>
  <c r="H561" i="2"/>
  <c r="J586" i="2"/>
  <c r="J582" i="2"/>
  <c r="H557" i="2"/>
  <c r="H553" i="2"/>
  <c r="J578" i="2"/>
  <c r="J574" i="2"/>
  <c r="H549" i="2"/>
  <c r="H545" i="2"/>
  <c r="J570" i="2"/>
  <c r="J566" i="2"/>
  <c r="H541" i="2"/>
  <c r="H537" i="2"/>
  <c r="J562" i="2"/>
  <c r="J558" i="2"/>
  <c r="H533" i="2"/>
  <c r="H529" i="2"/>
  <c r="J554" i="2"/>
  <c r="J550" i="2"/>
  <c r="H525" i="2"/>
  <c r="H521" i="2"/>
  <c r="J546" i="2"/>
  <c r="J542" i="2"/>
  <c r="H517" i="2"/>
  <c r="H513" i="2"/>
  <c r="J538" i="2"/>
  <c r="J535" i="2"/>
  <c r="H510" i="2"/>
  <c r="J523" i="2"/>
  <c r="H498" i="2"/>
  <c r="J515" i="2"/>
  <c r="H490" i="2"/>
  <c r="J491" i="2"/>
  <c r="H466" i="2"/>
  <c r="J471" i="2"/>
  <c r="H446" i="2"/>
  <c r="J451" i="2"/>
  <c r="H426" i="2"/>
  <c r="J427" i="2"/>
  <c r="H402" i="2"/>
  <c r="H374" i="2"/>
  <c r="J399" i="2"/>
  <c r="J363" i="2"/>
  <c r="H338" i="2"/>
  <c r="H326" i="2"/>
  <c r="J351" i="2"/>
  <c r="H302" i="2"/>
  <c r="J327" i="2"/>
  <c r="J295" i="2"/>
  <c r="H270" i="2"/>
  <c r="J275" i="2"/>
  <c r="H250" i="2"/>
  <c r="J243" i="2"/>
  <c r="H218" i="2"/>
  <c r="J235" i="2"/>
  <c r="H210" i="2"/>
  <c r="H190" i="2"/>
  <c r="J215" i="2"/>
  <c r="H158" i="2"/>
  <c r="J183" i="2"/>
  <c r="H70" i="2"/>
  <c r="J95" i="2"/>
  <c r="H50" i="2"/>
  <c r="J75" i="2"/>
  <c r="J10" i="2"/>
  <c r="H14" i="2"/>
  <c r="J39" i="2"/>
  <c r="J35" i="2"/>
  <c r="J6" i="2"/>
  <c r="H10" i="2"/>
  <c r="H1508" i="2"/>
  <c r="H1472" i="2"/>
  <c r="J1497" i="2"/>
  <c r="H1464" i="2"/>
  <c r="J1489" i="2"/>
  <c r="H1456" i="2"/>
  <c r="J1481" i="2"/>
  <c r="H1424" i="2"/>
  <c r="J1449" i="2"/>
  <c r="H1392" i="2"/>
  <c r="J1417" i="2"/>
  <c r="J1409" i="2"/>
  <c r="H1384" i="2"/>
  <c r="H1372" i="2"/>
  <c r="J1397" i="2"/>
  <c r="H1344" i="2"/>
  <c r="J1369" i="2"/>
  <c r="H1336" i="2"/>
  <c r="J1361" i="2"/>
  <c r="H1328" i="2"/>
  <c r="J1353" i="2"/>
  <c r="H1300" i="2"/>
  <c r="J1325" i="2"/>
  <c r="H1288" i="2"/>
  <c r="J1313" i="2"/>
  <c r="H1272" i="2"/>
  <c r="J1297" i="2"/>
  <c r="H1256" i="2"/>
  <c r="J1281" i="2"/>
  <c r="H1216" i="2"/>
  <c r="J1241" i="2"/>
  <c r="H1200" i="2"/>
  <c r="J1225" i="2"/>
  <c r="J1205" i="2"/>
  <c r="H1180" i="2"/>
  <c r="J1165" i="2"/>
  <c r="H1140" i="2"/>
  <c r="J1145" i="2"/>
  <c r="H1120" i="2"/>
  <c r="J1085" i="2"/>
  <c r="H1060" i="2"/>
  <c r="J1073" i="2"/>
  <c r="H1048" i="2"/>
  <c r="J1041" i="2"/>
  <c r="H1016" i="2"/>
  <c r="J1033" i="2"/>
  <c r="H1008" i="2"/>
  <c r="J1009" i="2"/>
  <c r="H984" i="2"/>
  <c r="J1001" i="2"/>
  <c r="H976" i="2"/>
  <c r="J981" i="2"/>
  <c r="H956" i="2"/>
  <c r="J957" i="2"/>
  <c r="H932" i="2"/>
  <c r="J941" i="2"/>
  <c r="H916" i="2"/>
  <c r="J909" i="2"/>
  <c r="H884" i="2"/>
  <c r="J897" i="2"/>
  <c r="H872" i="2"/>
  <c r="J885" i="2"/>
  <c r="H860" i="2"/>
  <c r="J881" i="2"/>
  <c r="H856" i="2"/>
  <c r="J861" i="2"/>
  <c r="H836" i="2"/>
  <c r="J857" i="2"/>
  <c r="H832" i="2"/>
  <c r="J833" i="2"/>
  <c r="H808" i="2"/>
  <c r="J821" i="2"/>
  <c r="H796" i="2"/>
  <c r="J817" i="2"/>
  <c r="H792" i="2"/>
  <c r="J805" i="2"/>
  <c r="H780" i="2"/>
  <c r="J793" i="2"/>
  <c r="H768" i="2"/>
  <c r="J773" i="2"/>
  <c r="H748" i="2"/>
  <c r="J769" i="2"/>
  <c r="H744" i="2"/>
  <c r="J765" i="2"/>
  <c r="H740" i="2"/>
  <c r="J745" i="2"/>
  <c r="H720" i="2"/>
  <c r="J733" i="2"/>
  <c r="H708" i="2"/>
  <c r="J725" i="2"/>
  <c r="H700" i="2"/>
  <c r="J705" i="2"/>
  <c r="H680" i="2"/>
  <c r="J669" i="2"/>
  <c r="H644" i="2"/>
  <c r="J633" i="2"/>
  <c r="H608" i="2"/>
  <c r="J613" i="2"/>
  <c r="H588" i="2"/>
  <c r="J589" i="2"/>
  <c r="H564" i="2"/>
  <c r="J577" i="2"/>
  <c r="H552" i="2"/>
  <c r="J501" i="2"/>
  <c r="H476" i="2"/>
  <c r="J493" i="2"/>
  <c r="H468" i="2"/>
  <c r="J489" i="2"/>
  <c r="H464" i="2"/>
  <c r="J481" i="2"/>
  <c r="H456" i="2"/>
  <c r="J477" i="2"/>
  <c r="H452" i="2"/>
  <c r="J473" i="2"/>
  <c r="H448" i="2"/>
  <c r="J461" i="2"/>
  <c r="H436" i="2"/>
  <c r="J453" i="2"/>
  <c r="H428" i="2"/>
  <c r="J449" i="2"/>
  <c r="H424" i="2"/>
  <c r="J441" i="2"/>
  <c r="H416" i="2"/>
  <c r="J433" i="2"/>
  <c r="H408" i="2"/>
  <c r="J425" i="2"/>
  <c r="H400" i="2"/>
  <c r="J417" i="2"/>
  <c r="H392" i="2"/>
  <c r="J413" i="2"/>
  <c r="H388" i="2"/>
  <c r="J409" i="2"/>
  <c r="H384" i="2"/>
  <c r="J401" i="2"/>
  <c r="H376" i="2"/>
  <c r="J397" i="2"/>
  <c r="H372" i="2"/>
  <c r="J393" i="2"/>
  <c r="H368" i="2"/>
  <c r="J389" i="2"/>
  <c r="H364" i="2"/>
  <c r="J385" i="2"/>
  <c r="H360" i="2"/>
  <c r="J381" i="2"/>
  <c r="H356" i="2"/>
  <c r="J377" i="2"/>
  <c r="H352" i="2"/>
  <c r="J373" i="2"/>
  <c r="H348" i="2"/>
  <c r="J369" i="2"/>
  <c r="H344" i="2"/>
  <c r="J365" i="2"/>
  <c r="H340" i="2"/>
  <c r="J361" i="2"/>
  <c r="H336" i="2"/>
  <c r="J357" i="2"/>
  <c r="H332" i="2"/>
  <c r="J353" i="2"/>
  <c r="H328" i="2"/>
  <c r="J349" i="2"/>
  <c r="H324" i="2"/>
  <c r="J345" i="2"/>
  <c r="H320" i="2"/>
  <c r="J341" i="2"/>
  <c r="H316" i="2"/>
  <c r="J337" i="2"/>
  <c r="H312" i="2"/>
  <c r="J333" i="2"/>
  <c r="H308" i="2"/>
  <c r="J329" i="2"/>
  <c r="H304" i="2"/>
  <c r="J325" i="2"/>
  <c r="H300" i="2"/>
  <c r="J321" i="2"/>
  <c r="H296" i="2"/>
  <c r="J317" i="2"/>
  <c r="H292" i="2"/>
  <c r="J313" i="2"/>
  <c r="H288" i="2"/>
  <c r="J309" i="2"/>
  <c r="H284" i="2"/>
  <c r="J305" i="2"/>
  <c r="H280" i="2"/>
  <c r="J301" i="2"/>
  <c r="H276" i="2"/>
  <c r="J297" i="2"/>
  <c r="H272" i="2"/>
  <c r="J293" i="2"/>
  <c r="H268" i="2"/>
  <c r="J289" i="2"/>
  <c r="H264" i="2"/>
  <c r="J285" i="2"/>
  <c r="H260" i="2"/>
  <c r="J281" i="2"/>
  <c r="H256" i="2"/>
  <c r="J277" i="2"/>
  <c r="H252" i="2"/>
  <c r="J273" i="2"/>
  <c r="H248" i="2"/>
  <c r="J269" i="2"/>
  <c r="H244" i="2"/>
  <c r="J265" i="2"/>
  <c r="H240" i="2"/>
  <c r="J261" i="2"/>
  <c r="H236" i="2"/>
  <c r="J257" i="2"/>
  <c r="H232" i="2"/>
  <c r="J253" i="2"/>
  <c r="H228" i="2"/>
  <c r="J249" i="2"/>
  <c r="H224" i="2"/>
  <c r="J245" i="2"/>
  <c r="H220" i="2"/>
  <c r="J241" i="2"/>
  <c r="H216" i="2"/>
  <c r="J237" i="2"/>
  <c r="H212" i="2"/>
  <c r="J233" i="2"/>
  <c r="H208" i="2"/>
  <c r="J229" i="2"/>
  <c r="H204" i="2"/>
  <c r="J225" i="2"/>
  <c r="H200" i="2"/>
  <c r="J221" i="2"/>
  <c r="H196" i="2"/>
  <c r="J217" i="2"/>
  <c r="H192" i="2"/>
  <c r="J213" i="2"/>
  <c r="H188" i="2"/>
  <c r="J209" i="2"/>
  <c r="H184" i="2"/>
  <c r="J205" i="2"/>
  <c r="H180" i="2"/>
  <c r="J201" i="2"/>
  <c r="H176" i="2"/>
  <c r="J197" i="2"/>
  <c r="H172" i="2"/>
  <c r="J193" i="2"/>
  <c r="H168" i="2"/>
  <c r="J189" i="2"/>
  <c r="H164" i="2"/>
  <c r="J185" i="2"/>
  <c r="H160" i="2"/>
  <c r="J181" i="2"/>
  <c r="H156" i="2"/>
  <c r="J177" i="2"/>
  <c r="H152" i="2"/>
  <c r="J173" i="2"/>
  <c r="H148" i="2"/>
  <c r="J169" i="2"/>
  <c r="H144" i="2"/>
  <c r="J165" i="2"/>
  <c r="H140" i="2"/>
  <c r="J161" i="2"/>
  <c r="H136" i="2"/>
  <c r="J157" i="2"/>
  <c r="H132" i="2"/>
  <c r="J153" i="2"/>
  <c r="H128" i="2"/>
  <c r="J149" i="2"/>
  <c r="H124" i="2"/>
  <c r="J145" i="2"/>
  <c r="H120" i="2"/>
  <c r="J141" i="2"/>
  <c r="H116" i="2"/>
  <c r="J137" i="2"/>
  <c r="H112" i="2"/>
  <c r="J133" i="2"/>
  <c r="H108" i="2"/>
  <c r="J129" i="2"/>
  <c r="H104" i="2"/>
  <c r="J125" i="2"/>
  <c r="H100" i="2"/>
  <c r="J121" i="2"/>
  <c r="H96" i="2"/>
  <c r="J117" i="2"/>
  <c r="H92" i="2"/>
  <c r="J113" i="2"/>
  <c r="H88" i="2"/>
  <c r="J109" i="2"/>
  <c r="H84" i="2"/>
  <c r="J105" i="2"/>
  <c r="H80" i="2"/>
  <c r="J101" i="2"/>
  <c r="H76" i="2"/>
  <c r="J97" i="2"/>
  <c r="H72" i="2"/>
  <c r="J93" i="2"/>
  <c r="H68" i="2"/>
  <c r="J89" i="2"/>
  <c r="H64" i="2"/>
  <c r="J85" i="2"/>
  <c r="H60" i="2"/>
  <c r="J81" i="2"/>
  <c r="H56" i="2"/>
  <c r="J77" i="2"/>
  <c r="H52" i="2"/>
  <c r="J73" i="2"/>
  <c r="H48" i="2"/>
  <c r="J69" i="2"/>
  <c r="H44" i="2"/>
  <c r="J65" i="2"/>
  <c r="H40" i="2"/>
  <c r="J61" i="2"/>
  <c r="H36" i="2"/>
  <c r="L36" i="2" s="1"/>
  <c r="J57" i="2"/>
  <c r="J28" i="2"/>
  <c r="H32" i="2"/>
  <c r="J53" i="2"/>
  <c r="H28" i="2"/>
  <c r="J24" i="2"/>
  <c r="J49" i="2"/>
  <c r="H24" i="2"/>
  <c r="J20" i="2"/>
  <c r="J45" i="2"/>
  <c r="H20" i="2"/>
  <c r="J16" i="2"/>
  <c r="J41" i="2"/>
  <c r="J12" i="2"/>
  <c r="H16" i="2"/>
  <c r="J37" i="2"/>
  <c r="H12" i="2"/>
  <c r="J8" i="2"/>
  <c r="J33" i="2"/>
  <c r="H8" i="2"/>
  <c r="H4" i="2"/>
  <c r="J4" i="2"/>
  <c r="H1510" i="2"/>
  <c r="H1506" i="2"/>
  <c r="H1502" i="2"/>
  <c r="H1498" i="2"/>
  <c r="H1494" i="2"/>
  <c r="H1490" i="2"/>
  <c r="H1486" i="2"/>
  <c r="J1511" i="2"/>
  <c r="H1482" i="2"/>
  <c r="J1507" i="2"/>
  <c r="H1478" i="2"/>
  <c r="J1503" i="2"/>
  <c r="H1474" i="2"/>
  <c r="J1499" i="2"/>
  <c r="H1470" i="2"/>
  <c r="J1495" i="2"/>
  <c r="H1466" i="2"/>
  <c r="J1491" i="2"/>
  <c r="H1462" i="2"/>
  <c r="J1487" i="2"/>
  <c r="H1458" i="2"/>
  <c r="J1483" i="2"/>
  <c r="H1454" i="2"/>
  <c r="J1479" i="2"/>
  <c r="H1450" i="2"/>
  <c r="J1475" i="2"/>
  <c r="H1446" i="2"/>
  <c r="J1471" i="2"/>
  <c r="H1442" i="2"/>
  <c r="J1467" i="2"/>
  <c r="H1438" i="2"/>
  <c r="J1463" i="2"/>
  <c r="H1434" i="2"/>
  <c r="J1459" i="2"/>
  <c r="H1430" i="2"/>
  <c r="J1455" i="2"/>
  <c r="H1426" i="2"/>
  <c r="J1451" i="2"/>
  <c r="H1422" i="2"/>
  <c r="J1447" i="2"/>
  <c r="H1418" i="2"/>
  <c r="J1443" i="2"/>
  <c r="H1414" i="2"/>
  <c r="J1439" i="2"/>
  <c r="H1410" i="2"/>
  <c r="J1435" i="2"/>
  <c r="H1406" i="2"/>
  <c r="J1431" i="2"/>
  <c r="H1402" i="2"/>
  <c r="J1427" i="2"/>
  <c r="H1398" i="2"/>
  <c r="J1423" i="2"/>
  <c r="H1394" i="2"/>
  <c r="J1419" i="2"/>
  <c r="H1390" i="2"/>
  <c r="J1415" i="2"/>
  <c r="H1386" i="2"/>
  <c r="J1411" i="2"/>
  <c r="J1407" i="2"/>
  <c r="H1382" i="2"/>
  <c r="H1378" i="2"/>
  <c r="J1403" i="2"/>
  <c r="J1399" i="2"/>
  <c r="H1374" i="2"/>
  <c r="J1395" i="2"/>
  <c r="H1370" i="2"/>
  <c r="J1391" i="2"/>
  <c r="H1366" i="2"/>
  <c r="H1362" i="2"/>
  <c r="J1387" i="2"/>
  <c r="J1383" i="2"/>
  <c r="H1358" i="2"/>
  <c r="J1379" i="2"/>
  <c r="H1354" i="2"/>
  <c r="J1375" i="2"/>
  <c r="H1350" i="2"/>
  <c r="J1371" i="2"/>
  <c r="H1346" i="2"/>
  <c r="J1367" i="2"/>
  <c r="H1342" i="2"/>
  <c r="J1363" i="2"/>
  <c r="H1338" i="2"/>
  <c r="J1359" i="2"/>
  <c r="H1334" i="2"/>
  <c r="J1355" i="2"/>
  <c r="H1330" i="2"/>
  <c r="J1351" i="2"/>
  <c r="H1326" i="2"/>
  <c r="J1347" i="2"/>
  <c r="H1322" i="2"/>
  <c r="J1343" i="2"/>
  <c r="H1318" i="2"/>
  <c r="J1339" i="2"/>
  <c r="H1314" i="2"/>
  <c r="J1335" i="2"/>
  <c r="H1310" i="2"/>
  <c r="J1331" i="2"/>
  <c r="H1306" i="2"/>
  <c r="J1327" i="2"/>
  <c r="H1302" i="2"/>
  <c r="J1323" i="2"/>
  <c r="H1298" i="2"/>
  <c r="J1319" i="2"/>
  <c r="H1294" i="2"/>
  <c r="J1315" i="2"/>
  <c r="H1290" i="2"/>
  <c r="J1311" i="2"/>
  <c r="H1286" i="2"/>
  <c r="J1307" i="2"/>
  <c r="H1282" i="2"/>
  <c r="J1303" i="2"/>
  <c r="H1278" i="2"/>
  <c r="J1299" i="2"/>
  <c r="H1274" i="2"/>
  <c r="J1295" i="2"/>
  <c r="H1270" i="2"/>
  <c r="J1291" i="2"/>
  <c r="H1266" i="2"/>
  <c r="J1287" i="2"/>
  <c r="H1262" i="2"/>
  <c r="J1283" i="2"/>
  <c r="H1258" i="2"/>
  <c r="J1279" i="2"/>
  <c r="H1254" i="2"/>
  <c r="J1275" i="2"/>
  <c r="H1250" i="2"/>
  <c r="J1271" i="2"/>
  <c r="H1246" i="2"/>
  <c r="J1267" i="2"/>
  <c r="H1242" i="2"/>
  <c r="J1263" i="2"/>
  <c r="H1238" i="2"/>
  <c r="J1259" i="2"/>
  <c r="H1234" i="2"/>
  <c r="J1255" i="2"/>
  <c r="H1230" i="2"/>
  <c r="J1251" i="2"/>
  <c r="H1226" i="2"/>
  <c r="J1247" i="2"/>
  <c r="H1222" i="2"/>
  <c r="J1243" i="2"/>
  <c r="H1218" i="2"/>
  <c r="J1239" i="2"/>
  <c r="H1214" i="2"/>
  <c r="J1235" i="2"/>
  <c r="H1210" i="2"/>
  <c r="J1231" i="2"/>
  <c r="H1206" i="2"/>
  <c r="J1227" i="2"/>
  <c r="H1202" i="2"/>
  <c r="J1223" i="2"/>
  <c r="H1198" i="2"/>
  <c r="J1219" i="2"/>
  <c r="H1194" i="2"/>
  <c r="J1215" i="2"/>
  <c r="H1190" i="2"/>
  <c r="J1211" i="2"/>
  <c r="H1186" i="2"/>
  <c r="J1207" i="2"/>
  <c r="H1182" i="2"/>
  <c r="J1203" i="2"/>
  <c r="H1178" i="2"/>
  <c r="J1199" i="2"/>
  <c r="H1174" i="2"/>
  <c r="J1195" i="2"/>
  <c r="H1170" i="2"/>
  <c r="J1191" i="2"/>
  <c r="H1166" i="2"/>
  <c r="H1162" i="2"/>
  <c r="J1187" i="2"/>
  <c r="J1183" i="2"/>
  <c r="H1158" i="2"/>
  <c r="H1154" i="2"/>
  <c r="J1179" i="2"/>
  <c r="H1150" i="2"/>
  <c r="J1175" i="2"/>
  <c r="H1146" i="2"/>
  <c r="J1171" i="2"/>
  <c r="H1142" i="2"/>
  <c r="J1167" i="2"/>
  <c r="H1138" i="2"/>
  <c r="J1163" i="2"/>
  <c r="H1134" i="2"/>
  <c r="J1159" i="2"/>
  <c r="H1130" i="2"/>
  <c r="J1155" i="2"/>
  <c r="H1126" i="2"/>
  <c r="J1151" i="2"/>
  <c r="H1122" i="2"/>
  <c r="J1147" i="2"/>
  <c r="H1118" i="2"/>
  <c r="J1143" i="2"/>
  <c r="H1114" i="2"/>
  <c r="J1139" i="2"/>
  <c r="H1110" i="2"/>
  <c r="J1135" i="2"/>
  <c r="H1106" i="2"/>
  <c r="J1131" i="2"/>
  <c r="H1102" i="2"/>
  <c r="J1127" i="2"/>
  <c r="H1098" i="2"/>
  <c r="J1123" i="2"/>
  <c r="H1094" i="2"/>
  <c r="J1119" i="2"/>
  <c r="H1090" i="2"/>
  <c r="J1115" i="2"/>
  <c r="H1086" i="2"/>
  <c r="J1111" i="2"/>
  <c r="H1082" i="2"/>
  <c r="J1107" i="2"/>
  <c r="H1078" i="2"/>
  <c r="J1103" i="2"/>
  <c r="H1074" i="2"/>
  <c r="J1099" i="2"/>
  <c r="H1070" i="2"/>
  <c r="J1095" i="2"/>
  <c r="H1066" i="2"/>
  <c r="J1091" i="2"/>
  <c r="H1062" i="2"/>
  <c r="J1087" i="2"/>
  <c r="H1058" i="2"/>
  <c r="J1083" i="2"/>
  <c r="H1054" i="2"/>
  <c r="J1079" i="2"/>
  <c r="H1050" i="2"/>
  <c r="J1075" i="2"/>
  <c r="H1046" i="2"/>
  <c r="J1071" i="2"/>
  <c r="H1042" i="2"/>
  <c r="J1067" i="2"/>
  <c r="H1038" i="2"/>
  <c r="J1063" i="2"/>
  <c r="H1034" i="2"/>
  <c r="J1059" i="2"/>
  <c r="H1030" i="2"/>
  <c r="J1055" i="2"/>
  <c r="H1026" i="2"/>
  <c r="J1051" i="2"/>
  <c r="H1022" i="2"/>
  <c r="J1047" i="2"/>
  <c r="H1018" i="2"/>
  <c r="J1043" i="2"/>
  <c r="H1014" i="2"/>
  <c r="J1039" i="2"/>
  <c r="H1010" i="2"/>
  <c r="J1035" i="2"/>
  <c r="H1006" i="2"/>
  <c r="J1031" i="2"/>
  <c r="H1002" i="2"/>
  <c r="J1027" i="2"/>
  <c r="H998" i="2"/>
  <c r="J1023" i="2"/>
  <c r="H994" i="2"/>
  <c r="J1019" i="2"/>
  <c r="H990" i="2"/>
  <c r="J1015" i="2"/>
  <c r="H986" i="2"/>
  <c r="J1011" i="2"/>
  <c r="H982" i="2"/>
  <c r="J1007" i="2"/>
  <c r="H978" i="2"/>
  <c r="J1003" i="2"/>
  <c r="H974" i="2"/>
  <c r="J999" i="2"/>
  <c r="J995" i="2"/>
  <c r="H970" i="2"/>
  <c r="J991" i="2"/>
  <c r="H966" i="2"/>
  <c r="J987" i="2"/>
  <c r="H962" i="2"/>
  <c r="J983" i="2"/>
  <c r="H958" i="2"/>
  <c r="J979" i="2"/>
  <c r="H954" i="2"/>
  <c r="J975" i="2"/>
  <c r="H950" i="2"/>
  <c r="J971" i="2"/>
  <c r="H946" i="2"/>
  <c r="J967" i="2"/>
  <c r="H942" i="2"/>
  <c r="J963" i="2"/>
  <c r="H938" i="2"/>
  <c r="J959" i="2"/>
  <c r="H934" i="2"/>
  <c r="J955" i="2"/>
  <c r="H930" i="2"/>
  <c r="J951" i="2"/>
  <c r="H926" i="2"/>
  <c r="J947" i="2"/>
  <c r="H922" i="2"/>
  <c r="J943" i="2"/>
  <c r="H918" i="2"/>
  <c r="J939" i="2"/>
  <c r="H914" i="2"/>
  <c r="J935" i="2"/>
  <c r="H910" i="2"/>
  <c r="J931" i="2"/>
  <c r="H906" i="2"/>
  <c r="J927" i="2"/>
  <c r="H902" i="2"/>
  <c r="J923" i="2"/>
  <c r="H898" i="2"/>
  <c r="J919" i="2"/>
  <c r="H894" i="2"/>
  <c r="J915" i="2"/>
  <c r="H890" i="2"/>
  <c r="J911" i="2"/>
  <c r="H886" i="2"/>
  <c r="J907" i="2"/>
  <c r="H882" i="2"/>
  <c r="J903" i="2"/>
  <c r="H878" i="2"/>
  <c r="J899" i="2"/>
  <c r="H874" i="2"/>
  <c r="J895" i="2"/>
  <c r="H870" i="2"/>
  <c r="J891" i="2"/>
  <c r="H866" i="2"/>
  <c r="J887" i="2"/>
  <c r="H862" i="2"/>
  <c r="J883" i="2"/>
  <c r="H858" i="2"/>
  <c r="J879" i="2"/>
  <c r="H854" i="2"/>
  <c r="J875" i="2"/>
  <c r="H850" i="2"/>
  <c r="J871" i="2"/>
  <c r="H846" i="2"/>
  <c r="J867" i="2"/>
  <c r="H842" i="2"/>
  <c r="J863" i="2"/>
  <c r="H838" i="2"/>
  <c r="J859" i="2"/>
  <c r="H834" i="2"/>
  <c r="J855" i="2"/>
  <c r="H830" i="2"/>
  <c r="J851" i="2"/>
  <c r="H826" i="2"/>
  <c r="J847" i="2"/>
  <c r="H822" i="2"/>
  <c r="J843" i="2"/>
  <c r="H818" i="2"/>
  <c r="J839" i="2"/>
  <c r="H814" i="2"/>
  <c r="J835" i="2"/>
  <c r="H810" i="2"/>
  <c r="J831" i="2"/>
  <c r="H806" i="2"/>
  <c r="J827" i="2"/>
  <c r="H802" i="2"/>
  <c r="J823" i="2"/>
  <c r="H798" i="2"/>
  <c r="J819" i="2"/>
  <c r="H794" i="2"/>
  <c r="J815" i="2"/>
  <c r="H790" i="2"/>
  <c r="J811" i="2"/>
  <c r="H786" i="2"/>
  <c r="J807" i="2"/>
  <c r="H782" i="2"/>
  <c r="J803" i="2"/>
  <c r="H778" i="2"/>
  <c r="J799" i="2"/>
  <c r="H774" i="2"/>
  <c r="J795" i="2"/>
  <c r="H770" i="2"/>
  <c r="J791" i="2"/>
  <c r="H766" i="2"/>
  <c r="J787" i="2"/>
  <c r="H762" i="2"/>
  <c r="J783" i="2"/>
  <c r="H758" i="2"/>
  <c r="J779" i="2"/>
  <c r="H754" i="2"/>
  <c r="J775" i="2"/>
  <c r="H750" i="2"/>
  <c r="J771" i="2"/>
  <c r="H746" i="2"/>
  <c r="J767" i="2"/>
  <c r="H742" i="2"/>
  <c r="J763" i="2"/>
  <c r="H738" i="2"/>
  <c r="J759" i="2"/>
  <c r="H734" i="2"/>
  <c r="J755" i="2"/>
  <c r="H730" i="2"/>
  <c r="J751" i="2"/>
  <c r="H726" i="2"/>
  <c r="J747" i="2"/>
  <c r="H722" i="2"/>
  <c r="J743" i="2"/>
  <c r="H718" i="2"/>
  <c r="J739" i="2"/>
  <c r="H714" i="2"/>
  <c r="J735" i="2"/>
  <c r="H710" i="2"/>
  <c r="J731" i="2"/>
  <c r="H706" i="2"/>
  <c r="J727" i="2"/>
  <c r="H702" i="2"/>
  <c r="J723" i="2"/>
  <c r="H698" i="2"/>
  <c r="J719" i="2"/>
  <c r="H694" i="2"/>
  <c r="J715" i="2"/>
  <c r="H690" i="2"/>
  <c r="J711" i="2"/>
  <c r="H686" i="2"/>
  <c r="J707" i="2"/>
  <c r="H682" i="2"/>
  <c r="J703" i="2"/>
  <c r="H678" i="2"/>
  <c r="J699" i="2"/>
  <c r="H674" i="2"/>
  <c r="J695" i="2"/>
  <c r="H670" i="2"/>
  <c r="J691" i="2"/>
  <c r="H666" i="2"/>
  <c r="J687" i="2"/>
  <c r="H662" i="2"/>
  <c r="J683" i="2"/>
  <c r="H658" i="2"/>
  <c r="J679" i="2"/>
  <c r="H654" i="2"/>
  <c r="J675" i="2"/>
  <c r="H650" i="2"/>
  <c r="J671" i="2"/>
  <c r="H646" i="2"/>
  <c r="J667" i="2"/>
  <c r="H642" i="2"/>
  <c r="J663" i="2"/>
  <c r="H638" i="2"/>
  <c r="J659" i="2"/>
  <c r="H634" i="2"/>
  <c r="J655" i="2"/>
  <c r="H630" i="2"/>
  <c r="J651" i="2"/>
  <c r="H626" i="2"/>
  <c r="J647" i="2"/>
  <c r="H622" i="2"/>
  <c r="J643" i="2"/>
  <c r="H618" i="2"/>
  <c r="J639" i="2"/>
  <c r="H614" i="2"/>
  <c r="J635" i="2"/>
  <c r="H610" i="2"/>
  <c r="J631" i="2"/>
  <c r="H606" i="2"/>
  <c r="J627" i="2"/>
  <c r="H602" i="2"/>
  <c r="J623" i="2"/>
  <c r="H598" i="2"/>
  <c r="J619" i="2"/>
  <c r="H594" i="2"/>
  <c r="J615" i="2"/>
  <c r="H590" i="2"/>
  <c r="J611" i="2"/>
  <c r="H586" i="2"/>
  <c r="J607" i="2"/>
  <c r="H582" i="2"/>
  <c r="J603" i="2"/>
  <c r="H578" i="2"/>
  <c r="J599" i="2"/>
  <c r="H574" i="2"/>
  <c r="J595" i="2"/>
  <c r="H570" i="2"/>
  <c r="J591" i="2"/>
  <c r="H566" i="2"/>
  <c r="J587" i="2"/>
  <c r="H562" i="2"/>
  <c r="J583" i="2"/>
  <c r="H558" i="2"/>
  <c r="J579" i="2"/>
  <c r="H554" i="2"/>
  <c r="J575" i="2"/>
  <c r="H550" i="2"/>
  <c r="J571" i="2"/>
  <c r="H546" i="2"/>
  <c r="J567" i="2"/>
  <c r="H542" i="2"/>
  <c r="J563" i="2"/>
  <c r="H538" i="2"/>
  <c r="J559" i="2"/>
  <c r="H534" i="2"/>
  <c r="J555" i="2"/>
  <c r="H530" i="2"/>
  <c r="J551" i="2"/>
  <c r="H526" i="2"/>
  <c r="J547" i="2"/>
  <c r="H522" i="2"/>
  <c r="J543" i="2"/>
  <c r="H518" i="2"/>
  <c r="J539" i="2"/>
  <c r="H514" i="2"/>
  <c r="J531" i="2"/>
  <c r="H506" i="2"/>
  <c r="J507" i="2"/>
  <c r="H482" i="2"/>
  <c r="J499" i="2"/>
  <c r="H474" i="2"/>
  <c r="J479" i="2"/>
  <c r="H454" i="2"/>
  <c r="J443" i="2"/>
  <c r="H418" i="2"/>
  <c r="J419" i="2"/>
  <c r="H394" i="2"/>
  <c r="H366" i="2"/>
  <c r="J391" i="2"/>
  <c r="H358" i="2"/>
  <c r="J383" i="2"/>
  <c r="J355" i="2"/>
  <c r="H330" i="2"/>
  <c r="J343" i="2"/>
  <c r="H318" i="2"/>
  <c r="J331" i="2"/>
  <c r="H306" i="2"/>
  <c r="H294" i="2"/>
  <c r="J319" i="2"/>
  <c r="H286" i="2"/>
  <c r="J311" i="2"/>
  <c r="J259" i="2"/>
  <c r="H234" i="2"/>
  <c r="J255" i="2"/>
  <c r="H230" i="2"/>
  <c r="H182" i="2"/>
  <c r="J207" i="2"/>
  <c r="H174" i="2"/>
  <c r="J199" i="2"/>
  <c r="J155" i="2"/>
  <c r="H130" i="2"/>
  <c r="H114" i="2"/>
  <c r="J139" i="2"/>
  <c r="H102" i="2"/>
  <c r="J127" i="2"/>
  <c r="H46" i="2"/>
  <c r="J71" i="2"/>
  <c r="H42" i="2"/>
  <c r="J67" i="2"/>
  <c r="J26" i="2"/>
  <c r="H30" i="2"/>
  <c r="J55" i="2"/>
  <c r="H22" i="2"/>
  <c r="J18" i="2"/>
  <c r="J47" i="2"/>
  <c r="H1488" i="2"/>
  <c r="H1480" i="2"/>
  <c r="J1505" i="2"/>
  <c r="H1460" i="2"/>
  <c r="J1485" i="2"/>
  <c r="H1440" i="2"/>
  <c r="J1465" i="2"/>
  <c r="H1428" i="2"/>
  <c r="J1453" i="2"/>
  <c r="H1416" i="2"/>
  <c r="J1441" i="2"/>
  <c r="H1400" i="2"/>
  <c r="J1425" i="2"/>
  <c r="H1360" i="2"/>
  <c r="J1385" i="2"/>
  <c r="H1352" i="2"/>
  <c r="J1377" i="2"/>
  <c r="H1332" i="2"/>
  <c r="J1357" i="2"/>
  <c r="H1312" i="2"/>
  <c r="J1337" i="2"/>
  <c r="H1292" i="2"/>
  <c r="J1317" i="2"/>
  <c r="H1276" i="2"/>
  <c r="J1301" i="2"/>
  <c r="H1264" i="2"/>
  <c r="J1289" i="2"/>
  <c r="H1228" i="2"/>
  <c r="J1253" i="2"/>
  <c r="H1212" i="2"/>
  <c r="J1237" i="2"/>
  <c r="H1204" i="2"/>
  <c r="J1229" i="2"/>
  <c r="H1192" i="2"/>
  <c r="J1217" i="2"/>
  <c r="H1160" i="2"/>
  <c r="J1185" i="2"/>
  <c r="J1157" i="2"/>
  <c r="H1132" i="2"/>
  <c r="J1137" i="2"/>
  <c r="H1112" i="2"/>
  <c r="J1129" i="2"/>
  <c r="H1104" i="2"/>
  <c r="J1101" i="2"/>
  <c r="H1076" i="2"/>
  <c r="J1057" i="2"/>
  <c r="H1032" i="2"/>
  <c r="J1037" i="2"/>
  <c r="H1012" i="2"/>
  <c r="J1029" i="2"/>
  <c r="H1004" i="2"/>
  <c r="J1021" i="2"/>
  <c r="H996" i="2"/>
  <c r="J1013" i="2"/>
  <c r="H988" i="2"/>
  <c r="J973" i="2"/>
  <c r="H948" i="2"/>
  <c r="J949" i="2"/>
  <c r="H924" i="2"/>
  <c r="J889" i="2"/>
  <c r="H864" i="2"/>
  <c r="J877" i="2"/>
  <c r="H852" i="2"/>
  <c r="J849" i="2"/>
  <c r="H824" i="2"/>
  <c r="J841" i="2"/>
  <c r="H816" i="2"/>
  <c r="J825" i="2"/>
  <c r="H800" i="2"/>
  <c r="J797" i="2"/>
  <c r="H772" i="2"/>
  <c r="J781" i="2"/>
  <c r="H756" i="2"/>
  <c r="J761" i="2"/>
  <c r="H736" i="2"/>
  <c r="J721" i="2"/>
  <c r="H696" i="2"/>
  <c r="J693" i="2"/>
  <c r="H668" i="2"/>
  <c r="J681" i="2"/>
  <c r="H656" i="2"/>
  <c r="J661" i="2"/>
  <c r="H636" i="2"/>
  <c r="J641" i="2"/>
  <c r="H616" i="2"/>
  <c r="J601" i="2"/>
  <c r="H576" i="2"/>
  <c r="J581" i="2"/>
  <c r="H556" i="2"/>
  <c r="J525" i="2"/>
  <c r="H500" i="2"/>
  <c r="L500" i="2" s="1"/>
  <c r="J521" i="2"/>
  <c r="H496" i="2"/>
  <c r="J513" i="2"/>
  <c r="H488" i="2"/>
  <c r="J505" i="2"/>
  <c r="H480" i="2"/>
  <c r="J497" i="2"/>
  <c r="H472" i="2"/>
  <c r="J485" i="2"/>
  <c r="H460" i="2"/>
  <c r="J469" i="2"/>
  <c r="H444" i="2"/>
  <c r="L444" i="2" s="1"/>
  <c r="J465" i="2"/>
  <c r="H440" i="2"/>
  <c r="L440" i="2" s="1"/>
  <c r="J457" i="2"/>
  <c r="H432" i="2"/>
  <c r="J445" i="2"/>
  <c r="H420" i="2"/>
  <c r="J437" i="2"/>
  <c r="H412" i="2"/>
  <c r="J429" i="2"/>
  <c r="H404" i="2"/>
  <c r="J421" i="2"/>
  <c r="H396" i="2"/>
  <c r="J405" i="2"/>
  <c r="H380" i="2"/>
  <c r="J527" i="2"/>
  <c r="H502" i="2"/>
  <c r="J519" i="2"/>
  <c r="H494" i="2"/>
  <c r="J511" i="2"/>
  <c r="H486" i="2"/>
  <c r="J503" i="2"/>
  <c r="H478" i="2"/>
  <c r="J483" i="2"/>
  <c r="H458" i="2"/>
  <c r="J447" i="2"/>
  <c r="H422" i="2"/>
  <c r="J439" i="2"/>
  <c r="H414" i="2"/>
  <c r="J431" i="2"/>
  <c r="H406" i="2"/>
  <c r="H398" i="2"/>
  <c r="J423" i="2"/>
  <c r="H390" i="2"/>
  <c r="J415" i="2"/>
  <c r="J395" i="2"/>
  <c r="H370" i="2"/>
  <c r="J387" i="2"/>
  <c r="H362" i="2"/>
  <c r="J379" i="2"/>
  <c r="H354" i="2"/>
  <c r="J315" i="2"/>
  <c r="H290" i="2"/>
  <c r="J299" i="2"/>
  <c r="H274" i="2"/>
  <c r="H246" i="2"/>
  <c r="J271" i="2"/>
  <c r="J247" i="2"/>
  <c r="H222" i="2"/>
  <c r="J223" i="2"/>
  <c r="H198" i="2"/>
  <c r="J195" i="2"/>
  <c r="H170" i="2"/>
  <c r="H162" i="2"/>
  <c r="J187" i="2"/>
  <c r="H146" i="2"/>
  <c r="J171" i="2"/>
  <c r="J163" i="2"/>
  <c r="H138" i="2"/>
  <c r="H110" i="2"/>
  <c r="J135" i="2"/>
  <c r="J115" i="2"/>
  <c r="H90" i="2"/>
  <c r="H74" i="2"/>
  <c r="J99" i="2"/>
  <c r="H54" i="2"/>
  <c r="J79" i="2"/>
  <c r="H38" i="2"/>
  <c r="J63" i="2"/>
  <c r="J14" i="2"/>
  <c r="J43" i="2"/>
  <c r="H18" i="2"/>
  <c r="J2" i="2"/>
  <c r="H6" i="2"/>
  <c r="H2" i="2"/>
  <c r="J31" i="2"/>
  <c r="H1500" i="2"/>
  <c r="H1492" i="2"/>
  <c r="H1420" i="2"/>
  <c r="J1445" i="2"/>
  <c r="H1388" i="2"/>
  <c r="J1413" i="2"/>
  <c r="J1401" i="2"/>
  <c r="H1376" i="2"/>
  <c r="H1368" i="2"/>
  <c r="J1393" i="2"/>
  <c r="H1348" i="2"/>
  <c r="J1373" i="2"/>
  <c r="H1320" i="2"/>
  <c r="J1345" i="2"/>
  <c r="H1316" i="2"/>
  <c r="J1341" i="2"/>
  <c r="H1304" i="2"/>
  <c r="J1329" i="2"/>
  <c r="H1280" i="2"/>
  <c r="J1305" i="2"/>
  <c r="H1236" i="2"/>
  <c r="J1261" i="2"/>
  <c r="H1196" i="2"/>
  <c r="J1221" i="2"/>
  <c r="J1197" i="2"/>
  <c r="H1172" i="2"/>
  <c r="J1189" i="2"/>
  <c r="H1164" i="2"/>
  <c r="H1156" i="2"/>
  <c r="J1181" i="2"/>
  <c r="J1173" i="2"/>
  <c r="H1148" i="2"/>
  <c r="J1161" i="2"/>
  <c r="H1136" i="2"/>
  <c r="J1153" i="2"/>
  <c r="H1128" i="2"/>
  <c r="J1141" i="2"/>
  <c r="H1116" i="2"/>
  <c r="J1125" i="2"/>
  <c r="H1100" i="2"/>
  <c r="J1077" i="2"/>
  <c r="H1052" i="2"/>
  <c r="J1065" i="2"/>
  <c r="H1040" i="2"/>
  <c r="J1045" i="2"/>
  <c r="H1020" i="2"/>
  <c r="J1005" i="2"/>
  <c r="H980" i="2"/>
  <c r="J989" i="2"/>
  <c r="H964" i="2"/>
  <c r="J953" i="2"/>
  <c r="H928" i="2"/>
  <c r="J933" i="2"/>
  <c r="H908" i="2"/>
  <c r="J925" i="2"/>
  <c r="H900" i="2"/>
  <c r="J917" i="2"/>
  <c r="H892" i="2"/>
  <c r="J893" i="2"/>
  <c r="H868" i="2"/>
  <c r="J873" i="2"/>
  <c r="H848" i="2"/>
  <c r="J853" i="2"/>
  <c r="H828" i="2"/>
  <c r="J845" i="2"/>
  <c r="H820" i="2"/>
  <c r="J837" i="2"/>
  <c r="H812" i="2"/>
  <c r="J829" i="2"/>
  <c r="H804" i="2"/>
  <c r="J801" i="2"/>
  <c r="H776" i="2"/>
  <c r="J777" i="2"/>
  <c r="H752" i="2"/>
  <c r="J749" i="2"/>
  <c r="H724" i="2"/>
  <c r="J741" i="2"/>
  <c r="H716" i="2"/>
  <c r="J697" i="2"/>
  <c r="H672" i="2"/>
  <c r="J685" i="2"/>
  <c r="H660" i="2"/>
  <c r="J673" i="2"/>
  <c r="H648" i="2"/>
  <c r="J665" i="2"/>
  <c r="H640" i="2"/>
  <c r="J637" i="2"/>
  <c r="H612" i="2"/>
  <c r="J629" i="2"/>
  <c r="H604" i="2"/>
  <c r="J621" i="2"/>
  <c r="H596" i="2"/>
  <c r="J597" i="2"/>
  <c r="H572" i="2"/>
  <c r="J593" i="2"/>
  <c r="H568" i="2"/>
  <c r="J585" i="2"/>
  <c r="H560" i="2"/>
  <c r="J573" i="2"/>
  <c r="H548" i="2"/>
  <c r="J565" i="2"/>
  <c r="H540" i="2"/>
  <c r="J557" i="2"/>
  <c r="H532" i="2"/>
  <c r="J549" i="2"/>
  <c r="H524" i="2"/>
  <c r="J545" i="2"/>
  <c r="H520" i="2"/>
  <c r="J529" i="2"/>
  <c r="H504" i="2"/>
  <c r="J509" i="2"/>
  <c r="H484" i="2"/>
  <c r="J534" i="2"/>
  <c r="H509" i="2"/>
  <c r="J526" i="2"/>
  <c r="H501" i="2"/>
  <c r="H489" i="2"/>
  <c r="J514" i="2"/>
  <c r="H481" i="2"/>
  <c r="J506" i="2"/>
  <c r="J494" i="2"/>
  <c r="H469" i="2"/>
  <c r="J478" i="2"/>
  <c r="H453" i="2"/>
  <c r="H449" i="2"/>
  <c r="J474" i="2"/>
  <c r="H441" i="2"/>
  <c r="J466" i="2"/>
  <c r="J454" i="2"/>
  <c r="H429" i="2"/>
  <c r="H425" i="2"/>
  <c r="J450" i="2"/>
  <c r="J446" i="2"/>
  <c r="H421" i="2"/>
  <c r="H417" i="2"/>
  <c r="L417" i="2" s="1"/>
  <c r="J442" i="2"/>
  <c r="J438" i="2"/>
  <c r="H413" i="2"/>
  <c r="J434" i="2"/>
  <c r="H409" i="2"/>
  <c r="J430" i="2"/>
  <c r="H405" i="2"/>
  <c r="J426" i="2"/>
  <c r="H401" i="2"/>
  <c r="H397" i="2"/>
  <c r="J422" i="2"/>
  <c r="J418" i="2"/>
  <c r="H393" i="2"/>
  <c r="H389" i="2"/>
  <c r="J414" i="2"/>
  <c r="J410" i="2"/>
  <c r="H385" i="2"/>
  <c r="H381" i="2"/>
  <c r="J406" i="2"/>
  <c r="J402" i="2"/>
  <c r="H377" i="2"/>
  <c r="H373" i="2"/>
  <c r="J398" i="2"/>
  <c r="J394" i="2"/>
  <c r="H369" i="2"/>
  <c r="H365" i="2"/>
  <c r="J390" i="2"/>
  <c r="J386" i="2"/>
  <c r="H361" i="2"/>
  <c r="H357" i="2"/>
  <c r="J382" i="2"/>
  <c r="J378" i="2"/>
  <c r="H353" i="2"/>
  <c r="H349" i="2"/>
  <c r="J374" i="2"/>
  <c r="J370" i="2"/>
  <c r="H345" i="2"/>
  <c r="H341" i="2"/>
  <c r="J366" i="2"/>
  <c r="J362" i="2"/>
  <c r="H337" i="2"/>
  <c r="H333" i="2"/>
  <c r="J358" i="2"/>
  <c r="J354" i="2"/>
  <c r="H329" i="2"/>
  <c r="H325" i="2"/>
  <c r="J350" i="2"/>
  <c r="J346" i="2"/>
  <c r="H321" i="2"/>
  <c r="H317" i="2"/>
  <c r="J342" i="2"/>
  <c r="J338" i="2"/>
  <c r="H313" i="2"/>
  <c r="H309" i="2"/>
  <c r="J334" i="2"/>
  <c r="J330" i="2"/>
  <c r="H305" i="2"/>
  <c r="H301" i="2"/>
  <c r="J326" i="2"/>
  <c r="J322" i="2"/>
  <c r="H297" i="2"/>
  <c r="H293" i="2"/>
  <c r="J318" i="2"/>
  <c r="J314" i="2"/>
  <c r="H289" i="2"/>
  <c r="H285" i="2"/>
  <c r="J310" i="2"/>
  <c r="H281" i="2"/>
  <c r="J306" i="2"/>
  <c r="H277" i="2"/>
  <c r="J302" i="2"/>
  <c r="J298" i="2"/>
  <c r="H273" i="2"/>
  <c r="J294" i="2"/>
  <c r="H269" i="2"/>
  <c r="H265" i="2"/>
  <c r="J290" i="2"/>
  <c r="J286" i="2"/>
  <c r="H261" i="2"/>
  <c r="J282" i="2"/>
  <c r="H257" i="2"/>
  <c r="J278" i="2"/>
  <c r="H253" i="2"/>
  <c r="J274" i="2"/>
  <c r="H249" i="2"/>
  <c r="H245" i="2"/>
  <c r="J270" i="2"/>
  <c r="J266" i="2"/>
  <c r="H241" i="2"/>
  <c r="J262" i="2"/>
  <c r="H237" i="2"/>
  <c r="J258" i="2"/>
  <c r="H233" i="2"/>
  <c r="J254" i="2"/>
  <c r="H229" i="2"/>
  <c r="H225" i="2"/>
  <c r="J250" i="2"/>
  <c r="J246" i="2"/>
  <c r="H221" i="2"/>
  <c r="J242" i="2"/>
  <c r="H217" i="2"/>
  <c r="H213" i="2"/>
  <c r="J238" i="2"/>
  <c r="J234" i="2"/>
  <c r="H209" i="2"/>
  <c r="J230" i="2"/>
  <c r="H205" i="2"/>
  <c r="H201" i="2"/>
  <c r="J226" i="2"/>
  <c r="J222" i="2"/>
  <c r="H197" i="2"/>
  <c r="H193" i="2"/>
  <c r="J218" i="2"/>
  <c r="H189" i="2"/>
  <c r="J214" i="2"/>
  <c r="H185" i="2"/>
  <c r="J210" i="2"/>
  <c r="J206" i="2"/>
  <c r="H181" i="2"/>
  <c r="H177" i="2"/>
  <c r="J202" i="2"/>
  <c r="H173" i="2"/>
  <c r="J198" i="2"/>
  <c r="H169" i="2"/>
  <c r="J194" i="2"/>
  <c r="J190" i="2"/>
  <c r="H165" i="2"/>
  <c r="H161" i="2"/>
  <c r="J186" i="2"/>
  <c r="H157" i="2"/>
  <c r="J182" i="2"/>
  <c r="H153" i="2"/>
  <c r="J178" i="2"/>
  <c r="J174" i="2"/>
  <c r="H149" i="2"/>
  <c r="H145" i="2"/>
  <c r="J170" i="2"/>
  <c r="H141" i="2"/>
  <c r="J166" i="2"/>
  <c r="J162" i="2"/>
  <c r="H137" i="2"/>
  <c r="J158" i="2"/>
  <c r="H133" i="2"/>
  <c r="H129" i="2"/>
  <c r="J154" i="2"/>
  <c r="J150" i="2"/>
  <c r="H125" i="2"/>
  <c r="J146" i="2"/>
  <c r="H121" i="2"/>
  <c r="J142" i="2"/>
  <c r="H117" i="2"/>
  <c r="J138" i="2"/>
  <c r="H113" i="2"/>
  <c r="H109" i="2"/>
  <c r="J134" i="2"/>
  <c r="H105" i="2"/>
  <c r="J130" i="2"/>
  <c r="H101" i="2"/>
  <c r="J126" i="2"/>
  <c r="H97" i="2"/>
  <c r="J122" i="2"/>
  <c r="J118" i="2"/>
  <c r="H93" i="2"/>
  <c r="J114" i="2"/>
  <c r="H89" i="2"/>
  <c r="J110" i="2"/>
  <c r="H85" i="2"/>
  <c r="J106" i="2"/>
  <c r="H81" i="2"/>
  <c r="J102" i="2"/>
  <c r="H77" i="2"/>
  <c r="H73" i="2"/>
  <c r="J98" i="2"/>
  <c r="H69" i="2"/>
  <c r="J94" i="2"/>
  <c r="J90" i="2"/>
  <c r="H65" i="2"/>
  <c r="H61" i="2"/>
  <c r="J86" i="2"/>
  <c r="J82" i="2"/>
  <c r="H57" i="2"/>
  <c r="J78" i="2"/>
  <c r="H53" i="2"/>
  <c r="J74" i="2"/>
  <c r="H49" i="2"/>
  <c r="J70" i="2"/>
  <c r="H45" i="2"/>
  <c r="J66" i="2"/>
  <c r="H41" i="2"/>
  <c r="J62" i="2"/>
  <c r="H37" i="2"/>
  <c r="J58" i="2"/>
  <c r="J29" i="2"/>
  <c r="H33" i="2"/>
  <c r="J54" i="2"/>
  <c r="H29" i="2"/>
  <c r="J25" i="2"/>
  <c r="J50" i="2"/>
  <c r="H25" i="2"/>
  <c r="J21" i="2"/>
  <c r="J46" i="2"/>
  <c r="H21" i="2"/>
  <c r="J17" i="2"/>
  <c r="J42" i="2"/>
  <c r="J13" i="2"/>
  <c r="H17" i="2"/>
  <c r="J38" i="2"/>
  <c r="H13" i="2"/>
  <c r="J9" i="2"/>
  <c r="J34" i="2"/>
  <c r="H5" i="2"/>
  <c r="J5" i="2"/>
  <c r="H9" i="2"/>
  <c r="H1511" i="2"/>
  <c r="H1507" i="2"/>
  <c r="H1503" i="2"/>
  <c r="H1499" i="2"/>
  <c r="H1495" i="2"/>
  <c r="H1491" i="2"/>
  <c r="H1487" i="2"/>
  <c r="J1508" i="2"/>
  <c r="H1483" i="2"/>
  <c r="J1504" i="2"/>
  <c r="H1479" i="2"/>
  <c r="J1500" i="2"/>
  <c r="H1475" i="2"/>
  <c r="J1496" i="2"/>
  <c r="H1471" i="2"/>
  <c r="J1492" i="2"/>
  <c r="H1467" i="2"/>
  <c r="J1488" i="2"/>
  <c r="H1463" i="2"/>
  <c r="J1484" i="2"/>
  <c r="H1459" i="2"/>
  <c r="J1480" i="2"/>
  <c r="H1455" i="2"/>
  <c r="J1476" i="2"/>
  <c r="H1451" i="2"/>
  <c r="J1472" i="2"/>
  <c r="H1447" i="2"/>
  <c r="J1468" i="2"/>
  <c r="H1443" i="2"/>
  <c r="J1464" i="2"/>
  <c r="H1439" i="2"/>
  <c r="J1460" i="2"/>
  <c r="H1435" i="2"/>
  <c r="J1456" i="2"/>
  <c r="H1431" i="2"/>
  <c r="J1452" i="2"/>
  <c r="H1427" i="2"/>
  <c r="J1448" i="2"/>
  <c r="H1423" i="2"/>
  <c r="J1444" i="2"/>
  <c r="H1419" i="2"/>
  <c r="J1440" i="2"/>
  <c r="H1415" i="2"/>
  <c r="J1436" i="2"/>
  <c r="H1411" i="2"/>
  <c r="J1432" i="2"/>
  <c r="H1407" i="2"/>
  <c r="J1428" i="2"/>
  <c r="H1403" i="2"/>
  <c r="J1424" i="2"/>
  <c r="H1399" i="2"/>
  <c r="J1420" i="2"/>
  <c r="H1395" i="2"/>
  <c r="J1416" i="2"/>
  <c r="H1391" i="2"/>
  <c r="J1412" i="2"/>
  <c r="H1387" i="2"/>
  <c r="J1408" i="2"/>
  <c r="H1383" i="2"/>
  <c r="H1379" i="2"/>
  <c r="J1404" i="2"/>
  <c r="J1400" i="2"/>
  <c r="H1375" i="2"/>
  <c r="J1396" i="2"/>
  <c r="H1371" i="2"/>
  <c r="J1392" i="2"/>
  <c r="H1367" i="2"/>
  <c r="J1388" i="2"/>
  <c r="H1363" i="2"/>
  <c r="J1384" i="2"/>
  <c r="H1359" i="2"/>
  <c r="J1380" i="2"/>
  <c r="H1355" i="2"/>
  <c r="J1376" i="2"/>
  <c r="H1351" i="2"/>
  <c r="J1372" i="2"/>
  <c r="H1347" i="2"/>
  <c r="J1368" i="2"/>
  <c r="H1343" i="2"/>
  <c r="J1364" i="2"/>
  <c r="H1339" i="2"/>
  <c r="J1360" i="2"/>
  <c r="H1335" i="2"/>
  <c r="J1356" i="2"/>
  <c r="H1331" i="2"/>
  <c r="J1352" i="2"/>
  <c r="H1327" i="2"/>
  <c r="J1348" i="2"/>
  <c r="H1323" i="2"/>
  <c r="J1344" i="2"/>
  <c r="H1319" i="2"/>
  <c r="J1340" i="2"/>
  <c r="H1315" i="2"/>
  <c r="J1336" i="2"/>
  <c r="H1311" i="2"/>
  <c r="J1332" i="2"/>
  <c r="H1307" i="2"/>
  <c r="J1328" i="2"/>
  <c r="H1303" i="2"/>
  <c r="J1324" i="2"/>
  <c r="H1299" i="2"/>
  <c r="J1320" i="2"/>
  <c r="H1295" i="2"/>
  <c r="J1316" i="2"/>
  <c r="H1291" i="2"/>
  <c r="J1312" i="2"/>
  <c r="H1287" i="2"/>
  <c r="J1308" i="2"/>
  <c r="H1283" i="2"/>
  <c r="J1304" i="2"/>
  <c r="H1279" i="2"/>
  <c r="J1300" i="2"/>
  <c r="H1275" i="2"/>
  <c r="J1296" i="2"/>
  <c r="H1271" i="2"/>
  <c r="J1292" i="2"/>
  <c r="H1267" i="2"/>
  <c r="J1288" i="2"/>
  <c r="H1263" i="2"/>
  <c r="J1284" i="2"/>
  <c r="H1259" i="2"/>
  <c r="J1280" i="2"/>
  <c r="H1255" i="2"/>
  <c r="J1276" i="2"/>
  <c r="H1251" i="2"/>
  <c r="J1272" i="2"/>
  <c r="H1247" i="2"/>
  <c r="J1268" i="2"/>
  <c r="H1243" i="2"/>
  <c r="J1264" i="2"/>
  <c r="H1239" i="2"/>
  <c r="J1260" i="2"/>
  <c r="H1235" i="2"/>
  <c r="J1256" i="2"/>
  <c r="H1231" i="2"/>
  <c r="J1252" i="2"/>
  <c r="H1227" i="2"/>
  <c r="J1248" i="2"/>
  <c r="H1223" i="2"/>
  <c r="J1244" i="2"/>
  <c r="H1219" i="2"/>
  <c r="J1240" i="2"/>
  <c r="H1215" i="2"/>
  <c r="J1236" i="2"/>
  <c r="H1211" i="2"/>
  <c r="J1232" i="2"/>
  <c r="H1207" i="2"/>
  <c r="J1228" i="2"/>
  <c r="H1203" i="2"/>
  <c r="J1224" i="2"/>
  <c r="H1199" i="2"/>
  <c r="J1220" i="2"/>
  <c r="H1195" i="2"/>
  <c r="J1216" i="2"/>
  <c r="H1191" i="2"/>
  <c r="J1212" i="2"/>
  <c r="H1187" i="2"/>
  <c r="J1208" i="2"/>
  <c r="H1183" i="2"/>
  <c r="J1204" i="2"/>
  <c r="H1179" i="2"/>
  <c r="J1200" i="2"/>
  <c r="H1175" i="2"/>
  <c r="J1196" i="2"/>
  <c r="H1171" i="2"/>
  <c r="J1192" i="2"/>
  <c r="H1167" i="2"/>
  <c r="J1188" i="2"/>
  <c r="H1163" i="2"/>
  <c r="J1184" i="2"/>
  <c r="H1159" i="2"/>
  <c r="H1155" i="2"/>
  <c r="L1155" i="2" s="1"/>
  <c r="J1180" i="2"/>
  <c r="H1151" i="2"/>
  <c r="L1151" i="2" s="1"/>
  <c r="J1176" i="2"/>
  <c r="H1147" i="2"/>
  <c r="J1172" i="2"/>
  <c r="H1143" i="2"/>
  <c r="J1168" i="2"/>
  <c r="H1139" i="2"/>
  <c r="L1139" i="2" s="1"/>
  <c r="J1164" i="2"/>
  <c r="H1135" i="2"/>
  <c r="J1160" i="2"/>
  <c r="H1131" i="2"/>
  <c r="J1156" i="2"/>
  <c r="H1127" i="2"/>
  <c r="J1152" i="2"/>
  <c r="H1123" i="2"/>
  <c r="J1148" i="2"/>
  <c r="H1119" i="2"/>
  <c r="J1144" i="2"/>
  <c r="H1115" i="2"/>
  <c r="J1140" i="2"/>
  <c r="H1111" i="2"/>
  <c r="L1111" i="2" s="1"/>
  <c r="J1136" i="2"/>
  <c r="H1107" i="2"/>
  <c r="J1132" i="2"/>
  <c r="H1103" i="2"/>
  <c r="J1128" i="2"/>
  <c r="H1099" i="2"/>
  <c r="J1124" i="2"/>
  <c r="H1095" i="2"/>
  <c r="L1095" i="2" s="1"/>
  <c r="J1120" i="2"/>
  <c r="H1091" i="2"/>
  <c r="J1116" i="2"/>
  <c r="H1087" i="2"/>
  <c r="J1112" i="2"/>
  <c r="H1083" i="2"/>
  <c r="J1108" i="2"/>
  <c r="H1079" i="2"/>
  <c r="L1079" i="2" s="1"/>
  <c r="J1104" i="2"/>
  <c r="H1075" i="2"/>
  <c r="L1075" i="2" s="1"/>
  <c r="J1100" i="2"/>
  <c r="H1071" i="2"/>
  <c r="J1096" i="2"/>
  <c r="H1067" i="2"/>
  <c r="J1092" i="2"/>
  <c r="H1063" i="2"/>
  <c r="J1088" i="2"/>
  <c r="H1059" i="2"/>
  <c r="L1059" i="2" s="1"/>
  <c r="J1084" i="2"/>
  <c r="H1055" i="2"/>
  <c r="J1080" i="2"/>
  <c r="H1051" i="2"/>
  <c r="J1076" i="2"/>
  <c r="H1047" i="2"/>
  <c r="L1047" i="2" s="1"/>
  <c r="J1072" i="2"/>
  <c r="H1043" i="2"/>
  <c r="J1068" i="2"/>
  <c r="H1039" i="2"/>
  <c r="J1064" i="2"/>
  <c r="H1035" i="2"/>
  <c r="J1060" i="2"/>
  <c r="H1031" i="2"/>
  <c r="J1056" i="2"/>
  <c r="H1027" i="2"/>
  <c r="L1027" i="2" s="1"/>
  <c r="J1052" i="2"/>
  <c r="H1023" i="2"/>
  <c r="J1048" i="2"/>
  <c r="H1019" i="2"/>
  <c r="J1044" i="2"/>
  <c r="H1015" i="2"/>
  <c r="J1040" i="2"/>
  <c r="H1011" i="2"/>
  <c r="J1036" i="2"/>
  <c r="H1007" i="2"/>
  <c r="J1032" i="2"/>
  <c r="H1003" i="2"/>
  <c r="J1028" i="2"/>
  <c r="H999" i="2"/>
  <c r="L999" i="2" s="1"/>
  <c r="J1024" i="2"/>
  <c r="H995" i="2"/>
  <c r="J1020" i="2"/>
  <c r="H991" i="2"/>
  <c r="J1016" i="2"/>
  <c r="H987" i="2"/>
  <c r="J1012" i="2"/>
  <c r="H983" i="2"/>
  <c r="J1008" i="2"/>
  <c r="H979" i="2"/>
  <c r="J1004" i="2"/>
  <c r="H975" i="2"/>
  <c r="J1000" i="2"/>
  <c r="H971" i="2"/>
  <c r="J996" i="2"/>
  <c r="H967" i="2"/>
  <c r="J992" i="2"/>
  <c r="H963" i="2"/>
  <c r="J988" i="2"/>
  <c r="J984" i="2"/>
  <c r="H959" i="2"/>
  <c r="J980" i="2"/>
  <c r="H955" i="2"/>
  <c r="J976" i="2"/>
  <c r="H951" i="2"/>
  <c r="J972" i="2"/>
  <c r="H947" i="2"/>
  <c r="J968" i="2"/>
  <c r="H943" i="2"/>
  <c r="J964" i="2"/>
  <c r="H939" i="2"/>
  <c r="J960" i="2"/>
  <c r="H935" i="2"/>
  <c r="J956" i="2"/>
  <c r="H931" i="2"/>
  <c r="J952" i="2"/>
  <c r="H927" i="2"/>
  <c r="J948" i="2"/>
  <c r="H923" i="2"/>
  <c r="J944" i="2"/>
  <c r="H919" i="2"/>
  <c r="J940" i="2"/>
  <c r="H915" i="2"/>
  <c r="J936" i="2"/>
  <c r="H911" i="2"/>
  <c r="J932" i="2"/>
  <c r="H907" i="2"/>
  <c r="J928" i="2"/>
  <c r="H903" i="2"/>
  <c r="J924" i="2"/>
  <c r="H899" i="2"/>
  <c r="J920" i="2"/>
  <c r="H895" i="2"/>
  <c r="J916" i="2"/>
  <c r="H891" i="2"/>
  <c r="J912" i="2"/>
  <c r="H887" i="2"/>
  <c r="J908" i="2"/>
  <c r="H883" i="2"/>
  <c r="J904" i="2"/>
  <c r="H879" i="2"/>
  <c r="J900" i="2"/>
  <c r="H875" i="2"/>
  <c r="J896" i="2"/>
  <c r="H871" i="2"/>
  <c r="J892" i="2"/>
  <c r="H867" i="2"/>
  <c r="J888" i="2"/>
  <c r="H863" i="2"/>
  <c r="J884" i="2"/>
  <c r="H859" i="2"/>
  <c r="J880" i="2"/>
  <c r="H855" i="2"/>
  <c r="J876" i="2"/>
  <c r="H851" i="2"/>
  <c r="J872" i="2"/>
  <c r="H847" i="2"/>
  <c r="J868" i="2"/>
  <c r="H843" i="2"/>
  <c r="J864" i="2"/>
  <c r="H839" i="2"/>
  <c r="J860" i="2"/>
  <c r="H835" i="2"/>
  <c r="J856" i="2"/>
  <c r="H831" i="2"/>
  <c r="J852" i="2"/>
  <c r="H827" i="2"/>
  <c r="J848" i="2"/>
  <c r="H823" i="2"/>
  <c r="J844" i="2"/>
  <c r="H819" i="2"/>
  <c r="J840" i="2"/>
  <c r="H815" i="2"/>
  <c r="J836" i="2"/>
  <c r="H811" i="2"/>
  <c r="J832" i="2"/>
  <c r="H807" i="2"/>
  <c r="J828" i="2"/>
  <c r="H803" i="2"/>
  <c r="J824" i="2"/>
  <c r="H799" i="2"/>
  <c r="J820" i="2"/>
  <c r="H795" i="2"/>
  <c r="J816" i="2"/>
  <c r="H791" i="2"/>
  <c r="J812" i="2"/>
  <c r="H787" i="2"/>
  <c r="J808" i="2"/>
  <c r="H783" i="2"/>
  <c r="J804" i="2"/>
  <c r="H779" i="2"/>
  <c r="J800" i="2"/>
  <c r="H775" i="2"/>
  <c r="J796" i="2"/>
  <c r="H771" i="2"/>
  <c r="J792" i="2"/>
  <c r="H767" i="2"/>
  <c r="J788" i="2"/>
  <c r="H763" i="2"/>
  <c r="J784" i="2"/>
  <c r="H759" i="2"/>
  <c r="J780" i="2"/>
  <c r="H755" i="2"/>
  <c r="J776" i="2"/>
  <c r="H751" i="2"/>
  <c r="J772" i="2"/>
  <c r="H747" i="2"/>
  <c r="J768" i="2"/>
  <c r="H743" i="2"/>
  <c r="J764" i="2"/>
  <c r="H739" i="2"/>
  <c r="J760" i="2"/>
  <c r="H735" i="2"/>
  <c r="J756" i="2"/>
  <c r="H731" i="2"/>
  <c r="J752" i="2"/>
  <c r="H727" i="2"/>
  <c r="J748" i="2"/>
  <c r="H723" i="2"/>
  <c r="J744" i="2"/>
  <c r="H719" i="2"/>
  <c r="J740" i="2"/>
  <c r="H715" i="2"/>
  <c r="J736" i="2"/>
  <c r="H711" i="2"/>
  <c r="J732" i="2"/>
  <c r="H707" i="2"/>
  <c r="J728" i="2"/>
  <c r="H703" i="2"/>
  <c r="J724" i="2"/>
  <c r="H699" i="2"/>
  <c r="J720" i="2"/>
  <c r="H695" i="2"/>
  <c r="J716" i="2"/>
  <c r="H691" i="2"/>
  <c r="J712" i="2"/>
  <c r="H687" i="2"/>
  <c r="J708" i="2"/>
  <c r="H683" i="2"/>
  <c r="J704" i="2"/>
  <c r="H679" i="2"/>
  <c r="J700" i="2"/>
  <c r="H675" i="2"/>
  <c r="J696" i="2"/>
  <c r="H671" i="2"/>
  <c r="J692" i="2"/>
  <c r="H667" i="2"/>
  <c r="J688" i="2"/>
  <c r="H663" i="2"/>
  <c r="J684" i="2"/>
  <c r="H659" i="2"/>
  <c r="J680" i="2"/>
  <c r="H655" i="2"/>
  <c r="J676" i="2"/>
  <c r="H651" i="2"/>
  <c r="J672" i="2"/>
  <c r="H647" i="2"/>
  <c r="J668" i="2"/>
  <c r="H643" i="2"/>
  <c r="J664" i="2"/>
  <c r="H639" i="2"/>
  <c r="J660" i="2"/>
  <c r="H635" i="2"/>
  <c r="J656" i="2"/>
  <c r="H631" i="2"/>
  <c r="J652" i="2"/>
  <c r="H627" i="2"/>
  <c r="J648" i="2"/>
  <c r="H623" i="2"/>
  <c r="J644" i="2"/>
  <c r="H619" i="2"/>
  <c r="J640" i="2"/>
  <c r="H615" i="2"/>
  <c r="J636" i="2"/>
  <c r="H611" i="2"/>
  <c r="J632" i="2"/>
  <c r="H607" i="2"/>
  <c r="J628" i="2"/>
  <c r="H603" i="2"/>
  <c r="J624" i="2"/>
  <c r="H599" i="2"/>
  <c r="J620" i="2"/>
  <c r="H595" i="2"/>
  <c r="J616" i="2"/>
  <c r="H591" i="2"/>
  <c r="J612" i="2"/>
  <c r="H587" i="2"/>
  <c r="J608" i="2"/>
  <c r="H583" i="2"/>
  <c r="J604" i="2"/>
  <c r="H579" i="2"/>
  <c r="J600" i="2"/>
  <c r="H575" i="2"/>
  <c r="J596" i="2"/>
  <c r="H571" i="2"/>
  <c r="J592" i="2"/>
  <c r="H567" i="2"/>
  <c r="J588" i="2"/>
  <c r="H563" i="2"/>
  <c r="J584" i="2"/>
  <c r="H559" i="2"/>
  <c r="J580" i="2"/>
  <c r="H555" i="2"/>
  <c r="J576" i="2"/>
  <c r="H551" i="2"/>
  <c r="J572" i="2"/>
  <c r="H547" i="2"/>
  <c r="J568" i="2"/>
  <c r="H543" i="2"/>
  <c r="J564" i="2"/>
  <c r="H539" i="2"/>
  <c r="J560" i="2"/>
  <c r="H535" i="2"/>
  <c r="J556" i="2"/>
  <c r="H531" i="2"/>
  <c r="J552" i="2"/>
  <c r="H527" i="2"/>
  <c r="J548" i="2"/>
  <c r="H523" i="2"/>
  <c r="J544" i="2"/>
  <c r="H519" i="2"/>
  <c r="J540" i="2"/>
  <c r="H515" i="2"/>
  <c r="J487" i="2"/>
  <c r="H462" i="2"/>
  <c r="J475" i="2"/>
  <c r="H450" i="2"/>
  <c r="J463" i="2"/>
  <c r="H438" i="2"/>
  <c r="J455" i="2"/>
  <c r="H430" i="2"/>
  <c r="J435" i="2"/>
  <c r="H410" i="2"/>
  <c r="J411" i="2"/>
  <c r="H386" i="2"/>
  <c r="J403" i="2"/>
  <c r="H378" i="2"/>
  <c r="H350" i="2"/>
  <c r="J375" i="2"/>
  <c r="H342" i="2"/>
  <c r="J367" i="2"/>
  <c r="H334" i="2"/>
  <c r="J359" i="2"/>
  <c r="J335" i="2"/>
  <c r="H310" i="2"/>
  <c r="H278" i="2"/>
  <c r="J303" i="2"/>
  <c r="J287" i="2"/>
  <c r="H262" i="2"/>
  <c r="J279" i="2"/>
  <c r="H254" i="2"/>
  <c r="J267" i="2"/>
  <c r="H242" i="2"/>
  <c r="J263" i="2"/>
  <c r="H238" i="2"/>
  <c r="H226" i="2"/>
  <c r="J251" i="2"/>
  <c r="H214" i="2"/>
  <c r="J239" i="2"/>
  <c r="J227" i="2"/>
  <c r="H202" i="2"/>
  <c r="H194" i="2"/>
  <c r="J219" i="2"/>
  <c r="H166" i="2"/>
  <c r="J191" i="2"/>
  <c r="J179" i="2"/>
  <c r="H154" i="2"/>
  <c r="H150" i="2"/>
  <c r="J175" i="2"/>
  <c r="J167" i="2"/>
  <c r="H142" i="2"/>
  <c r="H134" i="2"/>
  <c r="J159" i="2"/>
  <c r="J147" i="2"/>
  <c r="H122" i="2"/>
  <c r="H106" i="2"/>
  <c r="J131" i="2"/>
  <c r="J123" i="2"/>
  <c r="H98" i="2"/>
  <c r="J119" i="2"/>
  <c r="H94" i="2"/>
  <c r="H82" i="2"/>
  <c r="J107" i="2"/>
  <c r="H78" i="2"/>
  <c r="J103" i="2"/>
  <c r="H66" i="2"/>
  <c r="J91" i="2"/>
  <c r="J83" i="2"/>
  <c r="H58" i="2"/>
  <c r="J30" i="2"/>
  <c r="H34" i="2"/>
  <c r="J59" i="2"/>
  <c r="H1504" i="2"/>
  <c r="H1496" i="2"/>
  <c r="H1484" i="2"/>
  <c r="J1509" i="2"/>
  <c r="H1468" i="2"/>
  <c r="J1493" i="2"/>
  <c r="H1448" i="2"/>
  <c r="J1473" i="2"/>
  <c r="H1436" i="2"/>
  <c r="J1461" i="2"/>
  <c r="H1408" i="2"/>
  <c r="J1433" i="2"/>
  <c r="H1396" i="2"/>
  <c r="J1421" i="2"/>
  <c r="J1389" i="2"/>
  <c r="H1364" i="2"/>
  <c r="H1340" i="2"/>
  <c r="J1365" i="2"/>
  <c r="H1324" i="2"/>
  <c r="J1349" i="2"/>
  <c r="H1308" i="2"/>
  <c r="J1333" i="2"/>
  <c r="H1284" i="2"/>
  <c r="J1309" i="2"/>
  <c r="H1260" i="2"/>
  <c r="J1285" i="2"/>
  <c r="H1248" i="2"/>
  <c r="J1273" i="2"/>
  <c r="H1240" i="2"/>
  <c r="J1265" i="2"/>
  <c r="H1184" i="2"/>
  <c r="J1209" i="2"/>
  <c r="J1201" i="2"/>
  <c r="H1176" i="2"/>
  <c r="J1193" i="2"/>
  <c r="H1168" i="2"/>
  <c r="J1169" i="2"/>
  <c r="H1144" i="2"/>
  <c r="J1149" i="2"/>
  <c r="H1124" i="2"/>
  <c r="J1113" i="2"/>
  <c r="H1088" i="2"/>
  <c r="J1109" i="2"/>
  <c r="H1084" i="2"/>
  <c r="J1097" i="2"/>
  <c r="H1072" i="2"/>
  <c r="J1081" i="2"/>
  <c r="H1056" i="2"/>
  <c r="J1061" i="2"/>
  <c r="H1036" i="2"/>
  <c r="J1053" i="2"/>
  <c r="H1028" i="2"/>
  <c r="J1025" i="2"/>
  <c r="H1000" i="2"/>
  <c r="J1017" i="2"/>
  <c r="H992" i="2"/>
  <c r="J997" i="2"/>
  <c r="H972" i="2"/>
  <c r="J985" i="2"/>
  <c r="H960" i="2"/>
  <c r="J965" i="2"/>
  <c r="H940" i="2"/>
  <c r="J937" i="2"/>
  <c r="H912" i="2"/>
  <c r="J929" i="2"/>
  <c r="H904" i="2"/>
  <c r="J921" i="2"/>
  <c r="H896" i="2"/>
  <c r="J913" i="2"/>
  <c r="H888" i="2"/>
  <c r="J905" i="2"/>
  <c r="H880" i="2"/>
  <c r="J869" i="2"/>
  <c r="H844" i="2"/>
  <c r="J813" i="2"/>
  <c r="H788" i="2"/>
  <c r="J789" i="2"/>
  <c r="H764" i="2"/>
  <c r="J753" i="2"/>
  <c r="H728" i="2"/>
  <c r="J713" i="2"/>
  <c r="H688" i="2"/>
  <c r="J701" i="2"/>
  <c r="H676" i="2"/>
  <c r="J657" i="2"/>
  <c r="H632" i="2"/>
  <c r="J649" i="2"/>
  <c r="H624" i="2"/>
  <c r="J609" i="2"/>
  <c r="H584" i="2"/>
  <c r="J541" i="2"/>
  <c r="H516" i="2"/>
  <c r="J537" i="2"/>
  <c r="H512" i="2"/>
  <c r="J533" i="2"/>
  <c r="H508" i="2"/>
  <c r="J517" i="2"/>
  <c r="H492" i="2"/>
  <c r="H505" i="2"/>
  <c r="J530" i="2"/>
  <c r="H497" i="2"/>
  <c r="J522" i="2"/>
  <c r="J518" i="2"/>
  <c r="H493" i="2"/>
  <c r="J510" i="2"/>
  <c r="H485" i="2"/>
  <c r="J502" i="2"/>
  <c r="H477" i="2"/>
  <c r="H473" i="2"/>
  <c r="J498" i="2"/>
  <c r="H465" i="2"/>
  <c r="J490" i="2"/>
  <c r="J486" i="2"/>
  <c r="H461" i="2"/>
  <c r="H457" i="2"/>
  <c r="J482" i="2"/>
  <c r="J470" i="2"/>
  <c r="H445" i="2"/>
  <c r="J462" i="2"/>
  <c r="H437" i="2"/>
  <c r="H433" i="2"/>
  <c r="J458" i="2"/>
  <c r="L1103" i="2" l="1"/>
  <c r="L1233" i="2"/>
  <c r="L1015" i="2"/>
  <c r="L757" i="2"/>
  <c r="L1498" i="2"/>
  <c r="L1051" i="2"/>
  <c r="L1087" i="2"/>
  <c r="L901" i="2"/>
  <c r="L1091" i="2"/>
  <c r="L1011" i="2"/>
  <c r="L709" i="2"/>
  <c r="L134" i="2"/>
  <c r="L1055" i="2"/>
  <c r="L1123" i="2"/>
  <c r="L496" i="2"/>
  <c r="L1147" i="2"/>
  <c r="L1035" i="2"/>
  <c r="L342" i="2"/>
  <c r="L1063" i="2"/>
  <c r="L412" i="2"/>
  <c r="L1143" i="2"/>
  <c r="L291" i="2"/>
  <c r="L1119" i="2"/>
  <c r="L1099" i="2"/>
  <c r="L1043" i="2"/>
  <c r="L1083" i="2"/>
  <c r="L880" i="2"/>
  <c r="L912" i="2"/>
  <c r="L1071" i="2"/>
  <c r="L624" i="2"/>
  <c r="L166" i="2"/>
  <c r="L1135" i="2"/>
  <c r="L1019" i="2"/>
  <c r="L972" i="2"/>
  <c r="L254" i="2"/>
  <c r="L1023" i="2"/>
  <c r="L45" i="2"/>
  <c r="L1127" i="2"/>
  <c r="L1039" i="2"/>
  <c r="L18" i="2"/>
  <c r="L12" i="2"/>
  <c r="L19" i="2"/>
  <c r="L20" i="2"/>
  <c r="L14" i="2"/>
  <c r="L15" i="2"/>
  <c r="L13" i="2"/>
  <c r="L16" i="2"/>
  <c r="L11" i="2"/>
  <c r="L17" i="2"/>
  <c r="L1007" i="2"/>
  <c r="L1031" i="2"/>
  <c r="L844" i="2"/>
  <c r="L87" i="2"/>
  <c r="L347" i="2"/>
  <c r="L1477" i="2"/>
  <c r="L1213" i="2"/>
  <c r="L1131" i="2"/>
  <c r="L1003" i="2"/>
  <c r="L408" i="2"/>
  <c r="L993" i="2"/>
  <c r="L785" i="2"/>
  <c r="L945" i="2"/>
  <c r="L520" i="2"/>
  <c r="L472" i="2"/>
  <c r="L1093" i="2"/>
  <c r="L392" i="2"/>
  <c r="L424" i="2"/>
  <c r="L504" i="2"/>
  <c r="L344" i="2"/>
  <c r="L360" i="2"/>
  <c r="L376" i="2"/>
  <c r="L456" i="2"/>
  <c r="L488" i="2"/>
  <c r="L605" i="2"/>
  <c r="L653" i="2"/>
  <c r="L717" i="2"/>
  <c r="L1133" i="2"/>
  <c r="L41" i="2"/>
  <c r="L453" i="2"/>
  <c r="L60" i="2"/>
  <c r="L76" i="2"/>
  <c r="L92" i="2"/>
  <c r="L124" i="2"/>
  <c r="L156" i="2"/>
  <c r="L236" i="2"/>
  <c r="L316" i="2"/>
  <c r="L332" i="2"/>
  <c r="L333" i="2" s="1"/>
  <c r="L348" i="2"/>
  <c r="L364" i="2"/>
  <c r="L425" i="2"/>
  <c r="L380" i="2"/>
  <c r="L460" i="2"/>
  <c r="L961" i="2"/>
  <c r="L1105" i="2"/>
  <c r="L1028" i="2"/>
  <c r="L524" i="2"/>
  <c r="L1206" i="2"/>
  <c r="L1207" i="2" s="1"/>
  <c r="L1222" i="2"/>
  <c r="L1238" i="2"/>
  <c r="L1254" i="2"/>
  <c r="L1270" i="2"/>
  <c r="L1286" i="2"/>
  <c r="L1302" i="2"/>
  <c r="L1318" i="2"/>
  <c r="L1334" i="2"/>
  <c r="L1350" i="2"/>
  <c r="L1366" i="2"/>
  <c r="L1382" i="2"/>
  <c r="L48" i="2"/>
  <c r="L142" i="2"/>
  <c r="L430" i="2"/>
  <c r="L531" i="2"/>
  <c r="L396" i="2"/>
  <c r="L1398" i="2"/>
  <c r="L677" i="2"/>
  <c r="L492" i="2"/>
  <c r="L65" i="2"/>
  <c r="L81" i="2"/>
  <c r="L113" i="2"/>
  <c r="L209" i="2"/>
  <c r="L241" i="2"/>
  <c r="L257" i="2"/>
  <c r="L273" i="2"/>
  <c r="L289" i="2"/>
  <c r="L305" i="2"/>
  <c r="L321" i="2"/>
  <c r="L337" i="2"/>
  <c r="L353" i="2"/>
  <c r="L369" i="2"/>
  <c r="L385" i="2"/>
  <c r="L401" i="2"/>
  <c r="L476" i="2"/>
  <c r="L551" i="2"/>
  <c r="L567" i="2"/>
  <c r="L583" i="2"/>
  <c r="L599" i="2"/>
  <c r="L615" i="2"/>
  <c r="L631" i="2"/>
  <c r="L647" i="2"/>
  <c r="L663" i="2"/>
  <c r="L679" i="2"/>
  <c r="L695" i="2"/>
  <c r="L711" i="2"/>
  <c r="L727" i="2"/>
  <c r="L743" i="2"/>
  <c r="L759" i="2"/>
  <c r="L775" i="2"/>
  <c r="L791" i="2"/>
  <c r="L807" i="2"/>
  <c r="L823" i="2"/>
  <c r="L839" i="2"/>
  <c r="L855" i="2"/>
  <c r="L871" i="2"/>
  <c r="L887" i="2"/>
  <c r="L903" i="2"/>
  <c r="L919" i="2"/>
  <c r="L935" i="2"/>
  <c r="L951" i="2"/>
  <c r="L1191" i="2"/>
  <c r="L1223" i="2"/>
  <c r="L1239" i="2"/>
  <c r="L1255" i="2"/>
  <c r="L1271" i="2"/>
  <c r="L1287" i="2"/>
  <c r="L1303" i="2"/>
  <c r="L1319" i="2"/>
  <c r="L1335" i="2"/>
  <c r="L1351" i="2"/>
  <c r="L1367" i="2"/>
  <c r="L1383" i="2"/>
  <c r="L1399" i="2"/>
  <c r="L97" i="2"/>
  <c r="L129" i="2"/>
  <c r="L145" i="2"/>
  <c r="L161" i="2"/>
  <c r="L177" i="2"/>
  <c r="L193" i="2"/>
  <c r="L225" i="2"/>
  <c r="L481" i="2"/>
  <c r="L1049" i="2"/>
  <c r="L111" i="2"/>
  <c r="L508" i="2"/>
  <c r="L1124" i="2"/>
  <c r="L78" i="2"/>
  <c r="L967" i="2"/>
  <c r="L983" i="2"/>
  <c r="L428" i="2"/>
  <c r="L553" i="2"/>
  <c r="L617" i="2"/>
  <c r="L729" i="2"/>
  <c r="L809" i="2"/>
  <c r="L1177" i="2"/>
  <c r="L307" i="2"/>
  <c r="L1067" i="2"/>
  <c r="L1107" i="2"/>
  <c r="L1115" i="2"/>
  <c r="L378" i="2"/>
  <c r="L473" i="2"/>
  <c r="L420" i="2"/>
  <c r="L977" i="2"/>
  <c r="L1089" i="2"/>
  <c r="L1121" i="2"/>
  <c r="L516" i="2"/>
  <c r="L283" i="2"/>
  <c r="L484" i="2"/>
  <c r="L532" i="2"/>
  <c r="L404" i="2"/>
  <c r="L1214" i="2"/>
  <c r="L1230" i="2"/>
  <c r="L1246" i="2"/>
  <c r="L1262" i="2"/>
  <c r="L1278" i="2"/>
  <c r="L1294" i="2"/>
  <c r="L1310" i="2"/>
  <c r="L1326" i="2"/>
  <c r="L1342" i="2"/>
  <c r="L1358" i="2"/>
  <c r="L1374" i="2"/>
  <c r="L493" i="2"/>
  <c r="L58" i="2"/>
  <c r="L410" i="2"/>
  <c r="L978" i="2"/>
  <c r="L1362" i="2"/>
  <c r="L1378" i="2"/>
  <c r="L1394" i="2"/>
  <c r="L77" i="2"/>
  <c r="L477" i="2"/>
  <c r="L72" i="2"/>
  <c r="L88" i="2"/>
  <c r="L152" i="2"/>
  <c r="L184" i="2"/>
  <c r="L200" i="2"/>
  <c r="L216" i="2"/>
  <c r="L232" i="2"/>
  <c r="L312" i="2"/>
  <c r="L328" i="2"/>
  <c r="L203" i="2"/>
  <c r="L764" i="2"/>
  <c r="L940" i="2"/>
  <c r="L22" i="2"/>
  <c r="L1245" i="2"/>
  <c r="L1277" i="2"/>
  <c r="L497" i="2"/>
  <c r="L1308" i="2"/>
  <c r="L1468" i="2"/>
  <c r="L29" i="2"/>
  <c r="L27" i="2"/>
  <c r="L151" i="2"/>
  <c r="L1491" i="2"/>
  <c r="L459" i="2"/>
  <c r="L457" i="2"/>
  <c r="L1324" i="2"/>
  <c r="L1484" i="2"/>
  <c r="L515" i="2"/>
  <c r="L1171" i="2"/>
  <c r="L1187" i="2"/>
  <c r="L1411" i="2"/>
  <c r="L1427" i="2"/>
  <c r="L1443" i="2"/>
  <c r="L1459" i="2"/>
  <c r="L1475" i="2"/>
  <c r="L1502" i="2"/>
  <c r="L1260" i="2"/>
  <c r="L1340" i="2"/>
  <c r="L1436" i="2"/>
  <c r="L202" i="2"/>
  <c r="L1507" i="2"/>
  <c r="L37" i="2"/>
  <c r="L421" i="2"/>
  <c r="L542" i="2"/>
  <c r="L558" i="2"/>
  <c r="L574" i="2"/>
  <c r="L590" i="2"/>
  <c r="L606" i="2"/>
  <c r="L622" i="2"/>
  <c r="L638" i="2"/>
  <c r="L654" i="2"/>
  <c r="L670" i="2"/>
  <c r="L686" i="2"/>
  <c r="L702" i="2"/>
  <c r="L718" i="2"/>
  <c r="L734" i="2"/>
  <c r="L750" i="2"/>
  <c r="L766" i="2"/>
  <c r="L782" i="2"/>
  <c r="L798" i="2"/>
  <c r="L814" i="2"/>
  <c r="L830" i="2"/>
  <c r="L846" i="2"/>
  <c r="L862" i="2"/>
  <c r="L878" i="2"/>
  <c r="L894" i="2"/>
  <c r="L910" i="2"/>
  <c r="L926" i="2"/>
  <c r="L942" i="2"/>
  <c r="L958" i="2"/>
  <c r="L1166" i="2"/>
  <c r="L1182" i="2"/>
  <c r="L1198" i="2"/>
  <c r="L104" i="2"/>
  <c r="L120" i="2"/>
  <c r="L136" i="2"/>
  <c r="L168" i="2"/>
  <c r="L248" i="2"/>
  <c r="L264" i="2"/>
  <c r="L280" i="2"/>
  <c r="L296" i="2"/>
  <c r="L339" i="2"/>
  <c r="L122" i="2"/>
  <c r="L154" i="2"/>
  <c r="L974" i="2"/>
  <c r="L990" i="2"/>
  <c r="L1006" i="2"/>
  <c r="L1022" i="2"/>
  <c r="L1038" i="2"/>
  <c r="L1054" i="2"/>
  <c r="L1070" i="2"/>
  <c r="L1086" i="2"/>
  <c r="L1102" i="2"/>
  <c r="L1118" i="2"/>
  <c r="L1134" i="2"/>
  <c r="L1150" i="2"/>
  <c r="L1390" i="2"/>
  <c r="L1406" i="2"/>
  <c r="L1422" i="2"/>
  <c r="L1438" i="2"/>
  <c r="L1454" i="2"/>
  <c r="L1470" i="2"/>
  <c r="L1486" i="2"/>
  <c r="L1405" i="2"/>
  <c r="L1469" i="2"/>
  <c r="L436" i="2"/>
  <c r="L388" i="2"/>
  <c r="L468" i="2"/>
  <c r="L372" i="2"/>
  <c r="L452" i="2"/>
  <c r="L56" i="2"/>
  <c r="L569" i="2"/>
  <c r="L231" i="2"/>
  <c r="L1056" i="2"/>
  <c r="L106" i="2"/>
  <c r="L1072" i="2"/>
  <c r="L501" i="2"/>
  <c r="L546" i="2"/>
  <c r="L562" i="2"/>
  <c r="L578" i="2"/>
  <c r="L594" i="2"/>
  <c r="L610" i="2"/>
  <c r="L626" i="2"/>
  <c r="L642" i="2"/>
  <c r="L658" i="2"/>
  <c r="L674" i="2"/>
  <c r="L690" i="2"/>
  <c r="L706" i="2"/>
  <c r="L722" i="2"/>
  <c r="L738" i="2"/>
  <c r="L754" i="2"/>
  <c r="L770" i="2"/>
  <c r="L786" i="2"/>
  <c r="L802" i="2"/>
  <c r="L818" i="2"/>
  <c r="L834" i="2"/>
  <c r="L850" i="2"/>
  <c r="L866" i="2"/>
  <c r="L882" i="2"/>
  <c r="L898" i="2"/>
  <c r="L914" i="2"/>
  <c r="L930" i="2"/>
  <c r="L946" i="2"/>
  <c r="L962" i="2"/>
  <c r="L1186" i="2"/>
  <c r="L1202" i="2"/>
  <c r="L1218" i="2"/>
  <c r="L1234" i="2"/>
  <c r="L1250" i="2"/>
  <c r="L1266" i="2"/>
  <c r="L1282" i="2"/>
  <c r="L1298" i="2"/>
  <c r="L1314" i="2"/>
  <c r="L1330" i="2"/>
  <c r="L1346" i="2"/>
  <c r="L1168" i="2"/>
  <c r="L93" i="2"/>
  <c r="L125" i="2"/>
  <c r="L205" i="2"/>
  <c r="L221" i="2"/>
  <c r="L237" i="2"/>
  <c r="L253" i="2"/>
  <c r="L269" i="2"/>
  <c r="L547" i="2"/>
  <c r="L563" i="2"/>
  <c r="L579" i="2"/>
  <c r="L595" i="2"/>
  <c r="L611" i="2"/>
  <c r="L627" i="2"/>
  <c r="L643" i="2"/>
  <c r="L659" i="2"/>
  <c r="L675" i="2"/>
  <c r="L691" i="2"/>
  <c r="L707" i="2"/>
  <c r="L723" i="2"/>
  <c r="L739" i="2"/>
  <c r="L755" i="2"/>
  <c r="L771" i="2"/>
  <c r="L787" i="2"/>
  <c r="L803" i="2"/>
  <c r="L819" i="2"/>
  <c r="L835" i="2"/>
  <c r="L851" i="2"/>
  <c r="L867" i="2"/>
  <c r="L883" i="2"/>
  <c r="L899" i="2"/>
  <c r="L915" i="2"/>
  <c r="L931" i="2"/>
  <c r="L947" i="2"/>
  <c r="L1203" i="2"/>
  <c r="L1219" i="2"/>
  <c r="L1235" i="2"/>
  <c r="L1251" i="2"/>
  <c r="L1267" i="2"/>
  <c r="L1283" i="2"/>
  <c r="L1299" i="2"/>
  <c r="L1315" i="2"/>
  <c r="L1331" i="2"/>
  <c r="L1347" i="2"/>
  <c r="L1363" i="2"/>
  <c r="L1395" i="2"/>
  <c r="L61" i="2"/>
  <c r="L109" i="2"/>
  <c r="L141" i="2"/>
  <c r="L157" i="2"/>
  <c r="L173" i="2"/>
  <c r="L189" i="2"/>
  <c r="L285" i="2"/>
  <c r="L301" i="2"/>
  <c r="L317" i="2"/>
  <c r="L349" i="2"/>
  <c r="L365" i="2"/>
  <c r="L381" i="2"/>
  <c r="L397" i="2"/>
  <c r="L963" i="2"/>
  <c r="L979" i="2"/>
  <c r="L995" i="2"/>
  <c r="L1379" i="2"/>
  <c r="L49" i="2"/>
  <c r="L992" i="2"/>
  <c r="L449" i="2"/>
  <c r="L1248" i="2"/>
  <c r="L1495" i="2"/>
  <c r="L505" i="2"/>
  <c r="L1408" i="2"/>
  <c r="L238" i="2"/>
  <c r="L1396" i="2"/>
  <c r="L527" i="2"/>
  <c r="L1494" i="2"/>
  <c r="L32" i="2"/>
  <c r="L226" i="2"/>
  <c r="L550" i="2"/>
  <c r="L566" i="2"/>
  <c r="L582" i="2"/>
  <c r="L598" i="2"/>
  <c r="L614" i="2"/>
  <c r="L630" i="2"/>
  <c r="L646" i="2"/>
  <c r="L662" i="2"/>
  <c r="L678" i="2"/>
  <c r="L694" i="2"/>
  <c r="L710" i="2"/>
  <c r="L726" i="2"/>
  <c r="L742" i="2"/>
  <c r="L758" i="2"/>
  <c r="L774" i="2"/>
  <c r="L790" i="2"/>
  <c r="L806" i="2"/>
  <c r="L822" i="2"/>
  <c r="L838" i="2"/>
  <c r="L854" i="2"/>
  <c r="L870" i="2"/>
  <c r="L886" i="2"/>
  <c r="L902" i="2"/>
  <c r="L918" i="2"/>
  <c r="L934" i="2"/>
  <c r="L950" i="2"/>
  <c r="L966" i="2"/>
  <c r="L1158" i="2"/>
  <c r="L1174" i="2"/>
  <c r="L1190" i="2"/>
  <c r="L80" i="2"/>
  <c r="L112" i="2"/>
  <c r="L144" i="2"/>
  <c r="L176" i="2"/>
  <c r="L192" i="2"/>
  <c r="L208" i="2"/>
  <c r="L240" i="2"/>
  <c r="L256" i="2"/>
  <c r="L272" i="2"/>
  <c r="L288" i="2"/>
  <c r="L788" i="2"/>
  <c r="L98" i="2"/>
  <c r="L982" i="2"/>
  <c r="L998" i="2"/>
  <c r="L1014" i="2"/>
  <c r="L1030" i="2"/>
  <c r="L1046" i="2"/>
  <c r="L1062" i="2"/>
  <c r="L1078" i="2"/>
  <c r="M1079" i="2" s="1"/>
  <c r="N1080" i="2" s="1"/>
  <c r="L1094" i="2"/>
  <c r="L1110" i="2"/>
  <c r="L1126" i="2"/>
  <c r="L1142" i="2"/>
  <c r="L1414" i="2"/>
  <c r="L1430" i="2"/>
  <c r="L1446" i="2"/>
  <c r="L1462" i="2"/>
  <c r="L1478" i="2"/>
  <c r="L194" i="2"/>
  <c r="L1499" i="2"/>
  <c r="L52" i="2"/>
  <c r="L1501" i="2"/>
  <c r="L535" i="2"/>
  <c r="L1510" i="2"/>
  <c r="L53" i="2"/>
  <c r="L40" i="2"/>
  <c r="L1257" i="2"/>
  <c r="L1321" i="2"/>
  <c r="L437" i="2"/>
  <c r="L1364" i="2"/>
  <c r="L1284" i="2"/>
  <c r="L450" i="2"/>
  <c r="L1163" i="2"/>
  <c r="L1179" i="2"/>
  <c r="L1387" i="2"/>
  <c r="L1403" i="2"/>
  <c r="L1419" i="2"/>
  <c r="L1435" i="2"/>
  <c r="L1451" i="2"/>
  <c r="L1467" i="2"/>
  <c r="L1483" i="2"/>
  <c r="L1437" i="2"/>
  <c r="L469" i="2"/>
  <c r="L676" i="2"/>
  <c r="L495" i="2"/>
  <c r="L211" i="2"/>
  <c r="L371" i="2"/>
  <c r="L150" i="2"/>
  <c r="L896" i="2"/>
  <c r="L960" i="2"/>
  <c r="L1084" i="2"/>
  <c r="L975" i="2"/>
  <c r="L991" i="2"/>
  <c r="L413" i="2"/>
  <c r="L509" i="2"/>
  <c r="L21" i="2"/>
  <c r="L1088" i="2"/>
  <c r="L1167" i="2"/>
  <c r="L1423" i="2"/>
  <c r="L1439" i="2"/>
  <c r="L1455" i="2"/>
  <c r="L1471" i="2"/>
  <c r="L1487" i="2"/>
  <c r="L604" i="2"/>
  <c r="L820" i="2"/>
  <c r="L892" i="2"/>
  <c r="L964" i="2"/>
  <c r="L1136" i="2"/>
  <c r="L1172" i="2"/>
  <c r="L1492" i="2"/>
  <c r="L1228" i="2"/>
  <c r="L1460" i="2"/>
  <c r="L306" i="2"/>
  <c r="L577" i="2"/>
  <c r="L833" i="2"/>
  <c r="L881" i="2"/>
  <c r="L1281" i="2"/>
  <c r="L1313" i="2"/>
  <c r="L334" i="2"/>
  <c r="L1240" i="2"/>
  <c r="L94" i="2"/>
  <c r="L262" i="2"/>
  <c r="L462" i="2"/>
  <c r="L543" i="2"/>
  <c r="L559" i="2"/>
  <c r="L575" i="2"/>
  <c r="L591" i="2"/>
  <c r="L607" i="2"/>
  <c r="L623" i="2"/>
  <c r="L639" i="2"/>
  <c r="L655" i="2"/>
  <c r="L671" i="2"/>
  <c r="L687" i="2"/>
  <c r="L703" i="2"/>
  <c r="L719" i="2"/>
  <c r="L735" i="2"/>
  <c r="L751" i="2"/>
  <c r="L767" i="2"/>
  <c r="L783" i="2"/>
  <c r="L799" i="2"/>
  <c r="L815" i="2"/>
  <c r="L831" i="2"/>
  <c r="L847" i="2"/>
  <c r="L863" i="2"/>
  <c r="L879" i="2"/>
  <c r="L429" i="2"/>
  <c r="L560" i="2"/>
  <c r="L660" i="2"/>
  <c r="L688" i="2"/>
  <c r="L1036" i="2"/>
  <c r="L278" i="2"/>
  <c r="L350" i="2"/>
  <c r="L1504" i="2"/>
  <c r="L438" i="2"/>
  <c r="L519" i="2"/>
  <c r="L465" i="2"/>
  <c r="L1184" i="2"/>
  <c r="L34" i="2"/>
  <c r="L523" i="2"/>
  <c r="L57" i="2"/>
  <c r="L89" i="2"/>
  <c r="L121" i="2"/>
  <c r="L137" i="2"/>
  <c r="L217" i="2"/>
  <c r="L233" i="2"/>
  <c r="L249" i="2"/>
  <c r="L297" i="2"/>
  <c r="L313" i="2"/>
  <c r="L329" i="2"/>
  <c r="L345" i="2"/>
  <c r="L361" i="2"/>
  <c r="L377" i="2"/>
  <c r="L393" i="2"/>
  <c r="L1170" i="2"/>
  <c r="L1490" i="2"/>
  <c r="L108" i="2"/>
  <c r="L140" i="2"/>
  <c r="L172" i="2"/>
  <c r="L188" i="2"/>
  <c r="L204" i="2"/>
  <c r="L220" i="2"/>
  <c r="L252" i="2"/>
  <c r="L268" i="2"/>
  <c r="L284" i="2"/>
  <c r="L300" i="2"/>
  <c r="L1293" i="2"/>
  <c r="L536" i="2"/>
  <c r="L895" i="2"/>
  <c r="L911" i="2"/>
  <c r="L927" i="2"/>
  <c r="L943" i="2"/>
  <c r="L959" i="2"/>
  <c r="L1183" i="2"/>
  <c r="L1199" i="2"/>
  <c r="L1215" i="2"/>
  <c r="L1231" i="2"/>
  <c r="L1247" i="2"/>
  <c r="L1263" i="2"/>
  <c r="L1279" i="2"/>
  <c r="L1295" i="2"/>
  <c r="L1311" i="2"/>
  <c r="L1327" i="2"/>
  <c r="L1343" i="2"/>
  <c r="L1359" i="2"/>
  <c r="L1375" i="2"/>
  <c r="L1391" i="2"/>
  <c r="L1407" i="2"/>
  <c r="L73" i="2"/>
  <c r="L105" i="2"/>
  <c r="L153" i="2"/>
  <c r="L169" i="2"/>
  <c r="L185" i="2"/>
  <c r="L201" i="2"/>
  <c r="L265" i="2"/>
  <c r="L281" i="2"/>
  <c r="L1280" i="2"/>
  <c r="L1348" i="2"/>
  <c r="L1420" i="2"/>
  <c r="L90" i="2"/>
  <c r="L362" i="2"/>
  <c r="L406" i="2"/>
  <c r="L616" i="2"/>
  <c r="L696" i="2"/>
  <c r="L800" i="2"/>
  <c r="L864" i="2"/>
  <c r="L996" i="2"/>
  <c r="L1076" i="2"/>
  <c r="M1076" i="2" s="1"/>
  <c r="N1077" i="2" s="1"/>
  <c r="L102" i="2"/>
  <c r="L182" i="2"/>
  <c r="L294" i="2"/>
  <c r="L358" i="2"/>
  <c r="L994" i="2"/>
  <c r="L1010" i="2"/>
  <c r="L1026" i="2"/>
  <c r="L1042" i="2"/>
  <c r="L1058" i="2"/>
  <c r="L1074" i="2"/>
  <c r="M1075" i="2" s="1"/>
  <c r="N1076" i="2" s="1"/>
  <c r="L1090" i="2"/>
  <c r="L1106" i="2"/>
  <c r="L1122" i="2"/>
  <c r="L1138" i="2"/>
  <c r="L1154" i="2"/>
  <c r="L1410" i="2"/>
  <c r="L1426" i="2"/>
  <c r="L1442" i="2"/>
  <c r="L1458" i="2"/>
  <c r="L1474" i="2"/>
  <c r="L1256" i="2"/>
  <c r="L1328" i="2"/>
  <c r="L1464" i="2"/>
  <c r="L270" i="2"/>
  <c r="L466" i="2"/>
  <c r="L1009" i="2"/>
  <c r="L1057" i="2"/>
  <c r="L1073" i="2"/>
  <c r="L1137" i="2"/>
  <c r="L1393" i="2"/>
  <c r="L1441" i="2"/>
  <c r="L1457" i="2"/>
  <c r="L1473" i="2"/>
  <c r="L1489" i="2"/>
  <c r="L119" i="2"/>
  <c r="L167" i="2"/>
  <c r="L183" i="2"/>
  <c r="L247" i="2"/>
  <c r="L263" i="2"/>
  <c r="L1188" i="2"/>
  <c r="L1232" i="2"/>
  <c r="L1296" i="2"/>
  <c r="L1412" i="2"/>
  <c r="L1476" i="2"/>
  <c r="L298" i="2"/>
  <c r="L752" i="2"/>
  <c r="L1052" i="2"/>
  <c r="L246" i="2"/>
  <c r="L1312" i="2"/>
  <c r="L30" i="2"/>
  <c r="L230" i="2"/>
  <c r="L474" i="2"/>
  <c r="L518" i="2"/>
  <c r="L534" i="2"/>
  <c r="L588" i="2"/>
  <c r="L700" i="2"/>
  <c r="L836" i="2"/>
  <c r="L884" i="2"/>
  <c r="L976" i="2"/>
  <c r="L1180" i="2"/>
  <c r="L190" i="2"/>
  <c r="L513" i="2"/>
  <c r="L529" i="2"/>
  <c r="L593" i="2"/>
  <c r="L609" i="2"/>
  <c r="L753" i="2"/>
  <c r="L769" i="2"/>
  <c r="L801" i="2"/>
  <c r="L817" i="2"/>
  <c r="L849" i="2"/>
  <c r="L929" i="2"/>
  <c r="L1201" i="2"/>
  <c r="L1217" i="2"/>
  <c r="L1249" i="2"/>
  <c r="L1265" i="2"/>
  <c r="L1345" i="2"/>
  <c r="L1377" i="2"/>
  <c r="L1493" i="2"/>
  <c r="L75" i="2"/>
  <c r="L107" i="2"/>
  <c r="L171" i="2"/>
  <c r="L299" i="2"/>
  <c r="L315" i="2"/>
  <c r="L331" i="2"/>
  <c r="L363" i="2"/>
  <c r="L379" i="2"/>
  <c r="L395" i="2"/>
  <c r="L411" i="2"/>
  <c r="L427" i="2"/>
  <c r="L443" i="2"/>
  <c r="L475" i="2"/>
  <c r="L507" i="2"/>
  <c r="L544" i="2"/>
  <c r="L620" i="2"/>
  <c r="L684" i="2"/>
  <c r="L732" i="2"/>
  <c r="L876" i="2"/>
  <c r="L118" i="2"/>
  <c r="L206" i="2"/>
  <c r="L382" i="2"/>
  <c r="L1429" i="2"/>
  <c r="L1506" i="2"/>
  <c r="L24" i="2"/>
  <c r="L100" i="2"/>
  <c r="L132" i="2"/>
  <c r="L196" i="2"/>
  <c r="L212" i="2"/>
  <c r="L228" i="2"/>
  <c r="L308" i="2"/>
  <c r="L324" i="2"/>
  <c r="L340" i="2"/>
  <c r="L356" i="2"/>
  <c r="L1159" i="2"/>
  <c r="L1175" i="2"/>
  <c r="L1415" i="2"/>
  <c r="L1431" i="2"/>
  <c r="L1447" i="2"/>
  <c r="L1463" i="2"/>
  <c r="L1479" i="2"/>
  <c r="L441" i="2"/>
  <c r="L1511" i="2"/>
  <c r="L55" i="2"/>
  <c r="L215" i="2"/>
  <c r="L162" i="2"/>
  <c r="L744" i="2"/>
  <c r="L673" i="2"/>
  <c r="L1096" i="2"/>
  <c r="L445" i="2"/>
  <c r="L512" i="2"/>
  <c r="L632" i="2"/>
  <c r="L888" i="2"/>
  <c r="L1000" i="2"/>
  <c r="L1144" i="2"/>
  <c r="L82" i="2"/>
  <c r="L214" i="2"/>
  <c r="L971" i="2"/>
  <c r="L987" i="2"/>
  <c r="L409" i="2"/>
  <c r="L548" i="2"/>
  <c r="L596" i="2"/>
  <c r="L648" i="2"/>
  <c r="L724" i="2"/>
  <c r="L812" i="2"/>
  <c r="L868" i="2"/>
  <c r="L928" i="2"/>
  <c r="L1040" i="2"/>
  <c r="L1128" i="2"/>
  <c r="L1164" i="2"/>
  <c r="L74" i="2"/>
  <c r="L146" i="2"/>
  <c r="L398" i="2"/>
  <c r="L1212" i="2"/>
  <c r="L1292" i="2"/>
  <c r="L1360" i="2"/>
  <c r="L1440" i="2"/>
  <c r="L454" i="2"/>
  <c r="L514" i="2"/>
  <c r="L530" i="2"/>
  <c r="L478" i="2"/>
  <c r="L160" i="2"/>
  <c r="L448" i="2"/>
  <c r="L33" i="2"/>
  <c r="L1304" i="2"/>
  <c r="L1368" i="2"/>
  <c r="L1500" i="2"/>
  <c r="L170" i="2"/>
  <c r="L274" i="2"/>
  <c r="L370" i="2"/>
  <c r="L414" i="2"/>
  <c r="L486" i="2"/>
  <c r="L432" i="2"/>
  <c r="L636" i="2"/>
  <c r="L736" i="2"/>
  <c r="L816" i="2"/>
  <c r="L924" i="2"/>
  <c r="L1004" i="2"/>
  <c r="L1104" i="2"/>
  <c r="L114" i="2"/>
  <c r="L366" i="2"/>
  <c r="L1025" i="2"/>
  <c r="L64" i="2"/>
  <c r="L352" i="2"/>
  <c r="L657" i="2"/>
  <c r="L737" i="2"/>
  <c r="L897" i="2"/>
  <c r="L1361" i="2"/>
  <c r="L1064" i="2"/>
  <c r="L485" i="2"/>
  <c r="L904" i="2"/>
  <c r="L66" i="2"/>
  <c r="L568" i="2"/>
  <c r="L612" i="2"/>
  <c r="L672" i="2"/>
  <c r="L776" i="2"/>
  <c r="L828" i="2"/>
  <c r="L900" i="2"/>
  <c r="L980" i="2"/>
  <c r="L1100" i="2"/>
  <c r="L1148" i="2"/>
  <c r="L1376" i="2"/>
  <c r="L38" i="2"/>
  <c r="L110" i="2"/>
  <c r="L1192" i="2"/>
  <c r="L1264" i="2"/>
  <c r="L1332" i="2"/>
  <c r="L1416" i="2"/>
  <c r="L1480" i="2"/>
  <c r="L130" i="2"/>
  <c r="L234" i="2"/>
  <c r="L318" i="2"/>
  <c r="L394" i="2"/>
  <c r="L482" i="2"/>
  <c r="L522" i="2"/>
  <c r="L538" i="2"/>
  <c r="L554" i="2"/>
  <c r="L570" i="2"/>
  <c r="L586" i="2"/>
  <c r="L602" i="2"/>
  <c r="L618" i="2"/>
  <c r="L634" i="2"/>
  <c r="L650" i="2"/>
  <c r="L666" i="2"/>
  <c r="L682" i="2"/>
  <c r="L698" i="2"/>
  <c r="L714" i="2"/>
  <c r="L730" i="2"/>
  <c r="L746" i="2"/>
  <c r="L762" i="2"/>
  <c r="L778" i="2"/>
  <c r="L794" i="2"/>
  <c r="L810" i="2"/>
  <c r="L1153" i="2"/>
  <c r="L1425" i="2"/>
  <c r="L1400" i="2"/>
  <c r="L96" i="2"/>
  <c r="L336" i="2"/>
  <c r="L416" i="2"/>
  <c r="L792" i="2"/>
  <c r="L1048" i="2"/>
  <c r="L374" i="2"/>
  <c r="L545" i="2"/>
  <c r="L641" i="2"/>
  <c r="L721" i="2"/>
  <c r="L865" i="2"/>
  <c r="L1185" i="2"/>
  <c r="L491" i="2"/>
  <c r="L433" i="2"/>
  <c r="L242" i="2"/>
  <c r="L310" i="2"/>
  <c r="L1503" i="2"/>
  <c r="L1196" i="2"/>
  <c r="L1316" i="2"/>
  <c r="L138" i="2"/>
  <c r="L198" i="2"/>
  <c r="L290" i="2"/>
  <c r="L422" i="2"/>
  <c r="L494" i="2"/>
  <c r="L480" i="2"/>
  <c r="L556" i="2"/>
  <c r="L656" i="2"/>
  <c r="L756" i="2"/>
  <c r="L824" i="2"/>
  <c r="L948" i="2"/>
  <c r="L1012" i="2"/>
  <c r="L1112" i="2"/>
  <c r="L1488" i="2"/>
  <c r="L42" i="2"/>
  <c r="L1169" i="2"/>
  <c r="L1160" i="2"/>
  <c r="L128" i="2"/>
  <c r="L224" i="2"/>
  <c r="L304" i="2"/>
  <c r="L368" i="2"/>
  <c r="L689" i="2"/>
  <c r="L913" i="2"/>
  <c r="L1297" i="2"/>
  <c r="L187" i="2"/>
  <c r="L952" i="2"/>
  <c r="L461" i="2"/>
  <c r="L584" i="2"/>
  <c r="L1176" i="2"/>
  <c r="L1496" i="2"/>
  <c r="L728" i="2"/>
  <c r="L25" i="2"/>
  <c r="L85" i="2"/>
  <c r="L117" i="2"/>
  <c r="L133" i="2"/>
  <c r="L149" i="2"/>
  <c r="L165" i="2"/>
  <c r="L181" i="2"/>
  <c r="L197" i="2"/>
  <c r="L229" i="2"/>
  <c r="L261" i="2"/>
  <c r="L405" i="2"/>
  <c r="L540" i="2"/>
  <c r="L572" i="2"/>
  <c r="L640" i="2"/>
  <c r="L716" i="2"/>
  <c r="L804" i="2"/>
  <c r="L848" i="2"/>
  <c r="L908" i="2"/>
  <c r="L1020" i="2"/>
  <c r="L1116" i="2"/>
  <c r="L54" i="2"/>
  <c r="L390" i="2"/>
  <c r="L1204" i="2"/>
  <c r="L1276" i="2"/>
  <c r="L1352" i="2"/>
  <c r="L1428" i="2"/>
  <c r="L330" i="2"/>
  <c r="L418" i="2"/>
  <c r="L506" i="2"/>
  <c r="L526" i="2"/>
  <c r="L1041" i="2"/>
  <c r="L1409" i="2"/>
  <c r="L320" i="2"/>
  <c r="L561" i="2"/>
  <c r="L625" i="2"/>
  <c r="L705" i="2"/>
  <c r="L1329" i="2"/>
  <c r="L1448" i="2"/>
  <c r="L386" i="2"/>
  <c r="L539" i="2"/>
  <c r="L555" i="2"/>
  <c r="L571" i="2"/>
  <c r="L587" i="2"/>
  <c r="L603" i="2"/>
  <c r="L619" i="2"/>
  <c r="L635" i="2"/>
  <c r="L651" i="2"/>
  <c r="L667" i="2"/>
  <c r="L683" i="2"/>
  <c r="L699" i="2"/>
  <c r="L715" i="2"/>
  <c r="L731" i="2"/>
  <c r="L747" i="2"/>
  <c r="L763" i="2"/>
  <c r="L779" i="2"/>
  <c r="L795" i="2"/>
  <c r="L811" i="2"/>
  <c r="L827" i="2"/>
  <c r="L843" i="2"/>
  <c r="L859" i="2"/>
  <c r="L875" i="2"/>
  <c r="L891" i="2"/>
  <c r="L907" i="2"/>
  <c r="L923" i="2"/>
  <c r="L939" i="2"/>
  <c r="L955" i="2"/>
  <c r="L1195" i="2"/>
  <c r="L1211" i="2"/>
  <c r="L1227" i="2"/>
  <c r="L1243" i="2"/>
  <c r="L1259" i="2"/>
  <c r="L1275" i="2"/>
  <c r="L1291" i="2"/>
  <c r="L1307" i="2"/>
  <c r="L1323" i="2"/>
  <c r="L1339" i="2"/>
  <c r="L1355" i="2"/>
  <c r="L1371" i="2"/>
  <c r="L69" i="2"/>
  <c r="L101" i="2"/>
  <c r="L213" i="2"/>
  <c r="L245" i="2"/>
  <c r="L277" i="2"/>
  <c r="L293" i="2"/>
  <c r="L309" i="2"/>
  <c r="L325" i="2"/>
  <c r="L341" i="2"/>
  <c r="L357" i="2"/>
  <c r="L373" i="2"/>
  <c r="L389" i="2"/>
  <c r="L489" i="2"/>
  <c r="L1156" i="2"/>
  <c r="L1236" i="2"/>
  <c r="L1320" i="2"/>
  <c r="L1388" i="2"/>
  <c r="L222" i="2"/>
  <c r="L354" i="2"/>
  <c r="L458" i="2"/>
  <c r="L502" i="2"/>
  <c r="L576" i="2"/>
  <c r="L668" i="2"/>
  <c r="L772" i="2"/>
  <c r="L852" i="2"/>
  <c r="L988" i="2"/>
  <c r="L1032" i="2"/>
  <c r="L1132" i="2"/>
  <c r="L46" i="2"/>
  <c r="L174" i="2"/>
  <c r="L286" i="2"/>
  <c r="L44" i="2"/>
  <c r="L384" i="2"/>
  <c r="L464" i="2"/>
  <c r="L564" i="2"/>
  <c r="L680" i="2"/>
  <c r="L740" i="2"/>
  <c r="L780" i="2"/>
  <c r="L832" i="2"/>
  <c r="L872" i="2"/>
  <c r="L956" i="2"/>
  <c r="L1016" i="2"/>
  <c r="L1140" i="2"/>
  <c r="M1140" i="2" s="1"/>
  <c r="N1141" i="2" s="1"/>
  <c r="L1384" i="2"/>
  <c r="L158" i="2"/>
  <c r="L1181" i="2"/>
  <c r="L1197" i="2"/>
  <c r="L1229" i="2"/>
  <c r="L1261" i="2"/>
  <c r="L1309" i="2"/>
  <c r="L1325" i="2"/>
  <c r="L1341" i="2"/>
  <c r="L1357" i="2"/>
  <c r="L1373" i="2"/>
  <c r="L39" i="2"/>
  <c r="L103" i="2"/>
  <c r="L135" i="2"/>
  <c r="L199" i="2"/>
  <c r="L279" i="2"/>
  <c r="L295" i="2"/>
  <c r="L311" i="2"/>
  <c r="L327" i="2"/>
  <c r="L343" i="2"/>
  <c r="L359" i="2"/>
  <c r="L375" i="2"/>
  <c r="L391" i="2"/>
  <c r="L407" i="2"/>
  <c r="L423" i="2"/>
  <c r="L439" i="2"/>
  <c r="L455" i="2"/>
  <c r="L471" i="2"/>
  <c r="L487" i="2"/>
  <c r="L503" i="2"/>
  <c r="L600" i="2"/>
  <c r="L664" i="2"/>
  <c r="L712" i="2"/>
  <c r="L840" i="2"/>
  <c r="L944" i="2"/>
  <c r="L1044" i="2"/>
  <c r="L1092" i="2"/>
  <c r="L86" i="2"/>
  <c r="L282" i="2"/>
  <c r="L1272" i="2"/>
  <c r="L1336" i="2"/>
  <c r="L1392" i="2"/>
  <c r="L1472" i="2"/>
  <c r="L210" i="2"/>
  <c r="L402" i="2"/>
  <c r="L490" i="2"/>
  <c r="L517" i="2"/>
  <c r="L533" i="2"/>
  <c r="L549" i="2"/>
  <c r="L565" i="2"/>
  <c r="L581" i="2"/>
  <c r="L597" i="2"/>
  <c r="L613" i="2"/>
  <c r="L629" i="2"/>
  <c r="L661" i="2"/>
  <c r="L693" i="2"/>
  <c r="L725" i="2"/>
  <c r="L741" i="2"/>
  <c r="L773" i="2"/>
  <c r="L789" i="2"/>
  <c r="L805" i="2"/>
  <c r="L821" i="2"/>
  <c r="L837" i="2"/>
  <c r="L853" i="2"/>
  <c r="L869" i="2"/>
  <c r="L885" i="2"/>
  <c r="L917" i="2"/>
  <c r="L933" i="2"/>
  <c r="L949" i="2"/>
  <c r="L965" i="2"/>
  <c r="L981" i="2"/>
  <c r="L997" i="2"/>
  <c r="L1013" i="2"/>
  <c r="L1029" i="2"/>
  <c r="L1045" i="2"/>
  <c r="L1061" i="2"/>
  <c r="L1077" i="2"/>
  <c r="L1109" i="2"/>
  <c r="L1125" i="2"/>
  <c r="L1141" i="2"/>
  <c r="L1157" i="2"/>
  <c r="L1173" i="2"/>
  <c r="L1365" i="2"/>
  <c r="L1381" i="2"/>
  <c r="L1397" i="2"/>
  <c r="L1413" i="2"/>
  <c r="L1445" i="2"/>
  <c r="L1461" i="2"/>
  <c r="L1497" i="2"/>
  <c r="L43" i="2"/>
  <c r="L59" i="2"/>
  <c r="L91" i="2"/>
  <c r="L123" i="2"/>
  <c r="L139" i="2"/>
  <c r="L155" i="2"/>
  <c r="L219" i="2"/>
  <c r="L235" i="2"/>
  <c r="L251" i="2"/>
  <c r="L267" i="2"/>
  <c r="L1208" i="2"/>
  <c r="L1244" i="2"/>
  <c r="L1356" i="2"/>
  <c r="L1432" i="2"/>
  <c r="L26" i="2"/>
  <c r="L126" i="2"/>
  <c r="L314" i="2"/>
  <c r="L434" i="2"/>
  <c r="L826" i="2"/>
  <c r="L842" i="2"/>
  <c r="L858" i="2"/>
  <c r="L874" i="2"/>
  <c r="L890" i="2"/>
  <c r="L906" i="2"/>
  <c r="L922" i="2"/>
  <c r="L938" i="2"/>
  <c r="L954" i="2"/>
  <c r="L970" i="2"/>
  <c r="L1178" i="2"/>
  <c r="L1194" i="2"/>
  <c r="L1210" i="2"/>
  <c r="L1226" i="2"/>
  <c r="L1242" i="2"/>
  <c r="L1258" i="2"/>
  <c r="L1274" i="2"/>
  <c r="L1290" i="2"/>
  <c r="L1306" i="2"/>
  <c r="L1322" i="2"/>
  <c r="L1338" i="2"/>
  <c r="L1354" i="2"/>
  <c r="L1370" i="2"/>
  <c r="L68" i="2"/>
  <c r="L84" i="2"/>
  <c r="L116" i="2"/>
  <c r="L148" i="2"/>
  <c r="L164" i="2"/>
  <c r="L180" i="2"/>
  <c r="L244" i="2"/>
  <c r="L260" i="2"/>
  <c r="L276" i="2"/>
  <c r="L292" i="2"/>
  <c r="L608" i="2"/>
  <c r="L708" i="2"/>
  <c r="L748" i="2"/>
  <c r="L796" i="2"/>
  <c r="L856" i="2"/>
  <c r="L916" i="2"/>
  <c r="L984" i="2"/>
  <c r="L1060" i="2"/>
  <c r="L1508" i="2"/>
  <c r="L50" i="2"/>
  <c r="L302" i="2"/>
  <c r="L1189" i="2"/>
  <c r="L1205" i="2"/>
  <c r="L1221" i="2"/>
  <c r="L1237" i="2"/>
  <c r="L1253" i="2"/>
  <c r="L1269" i="2"/>
  <c r="L1285" i="2"/>
  <c r="L1301" i="2"/>
  <c r="L1317" i="2"/>
  <c r="L1333" i="2"/>
  <c r="L1349" i="2"/>
  <c r="L47" i="2"/>
  <c r="L63" i="2"/>
  <c r="L127" i="2"/>
  <c r="L159" i="2"/>
  <c r="L175" i="2"/>
  <c r="L191" i="2"/>
  <c r="L207" i="2"/>
  <c r="L287" i="2"/>
  <c r="L303" i="2"/>
  <c r="L319" i="2"/>
  <c r="L335" i="2"/>
  <c r="L351" i="2"/>
  <c r="L367" i="2"/>
  <c r="L383" i="2"/>
  <c r="L399" i="2"/>
  <c r="L415" i="2"/>
  <c r="L431" i="2"/>
  <c r="L447" i="2"/>
  <c r="L463" i="2"/>
  <c r="L479" i="2"/>
  <c r="L511" i="2"/>
  <c r="L580" i="2"/>
  <c r="L628" i="2"/>
  <c r="L692" i="2"/>
  <c r="L760" i="2"/>
  <c r="L920" i="2"/>
  <c r="L968" i="2"/>
  <c r="L1068" i="2"/>
  <c r="L1108" i="2"/>
  <c r="L258" i="2"/>
  <c r="L986" i="2"/>
  <c r="L1002" i="2"/>
  <c r="L1018" i="2"/>
  <c r="L1034" i="2"/>
  <c r="L1050" i="2"/>
  <c r="L1066" i="2"/>
  <c r="L1082" i="2"/>
  <c r="L1098" i="2"/>
  <c r="L1114" i="2"/>
  <c r="L1130" i="2"/>
  <c r="L1146" i="2"/>
  <c r="L1162" i="2"/>
  <c r="L1386" i="2"/>
  <c r="L1402" i="2"/>
  <c r="L1418" i="2"/>
  <c r="L1434" i="2"/>
  <c r="L1450" i="2"/>
  <c r="L1466" i="2"/>
  <c r="L1482" i="2"/>
  <c r="L1200" i="2"/>
  <c r="L1288" i="2"/>
  <c r="L1344" i="2"/>
  <c r="L1424" i="2"/>
  <c r="L218" i="2"/>
  <c r="L426" i="2"/>
  <c r="L498" i="2"/>
  <c r="L969" i="2"/>
  <c r="L985" i="2"/>
  <c r="L1001" i="2"/>
  <c r="L1017" i="2"/>
  <c r="L1033" i="2"/>
  <c r="L1065" i="2"/>
  <c r="L1081" i="2"/>
  <c r="L1097" i="2"/>
  <c r="L1113" i="2"/>
  <c r="L1129" i="2"/>
  <c r="L1145" i="2"/>
  <c r="L1385" i="2"/>
  <c r="L1401" i="2"/>
  <c r="L1417" i="2"/>
  <c r="L1433" i="2"/>
  <c r="L1449" i="2"/>
  <c r="L1465" i="2"/>
  <c r="L1481" i="2"/>
  <c r="L1505" i="2"/>
  <c r="L23" i="2"/>
  <c r="L31" i="2"/>
  <c r="L79" i="2"/>
  <c r="L95" i="2"/>
  <c r="L143" i="2"/>
  <c r="L223" i="2"/>
  <c r="L239" i="2"/>
  <c r="L255" i="2"/>
  <c r="L271" i="2"/>
  <c r="L1220" i="2"/>
  <c r="L1252" i="2"/>
  <c r="L1380" i="2"/>
  <c r="L1444" i="2"/>
  <c r="L62" i="2"/>
  <c r="L266" i="2"/>
  <c r="L322" i="2"/>
  <c r="L442" i="2"/>
  <c r="L400" i="2"/>
  <c r="L552" i="2"/>
  <c r="L644" i="2"/>
  <c r="L720" i="2"/>
  <c r="L768" i="2"/>
  <c r="L808" i="2"/>
  <c r="L860" i="2"/>
  <c r="L932" i="2"/>
  <c r="L1008" i="2"/>
  <c r="L1120" i="2"/>
  <c r="L70" i="2"/>
  <c r="L71" i="2" s="1"/>
  <c r="L326" i="2"/>
  <c r="L521" i="2"/>
  <c r="L537" i="2"/>
  <c r="L585" i="2"/>
  <c r="L601" i="2"/>
  <c r="L633" i="2"/>
  <c r="L649" i="2"/>
  <c r="L665" i="2"/>
  <c r="L681" i="2"/>
  <c r="L697" i="2"/>
  <c r="L713" i="2"/>
  <c r="L745" i="2"/>
  <c r="L761" i="2"/>
  <c r="L777" i="2"/>
  <c r="L793" i="2"/>
  <c r="L825" i="2"/>
  <c r="L841" i="2"/>
  <c r="L857" i="2"/>
  <c r="L873" i="2"/>
  <c r="L889" i="2"/>
  <c r="L905" i="2"/>
  <c r="L921" i="2"/>
  <c r="L937" i="2"/>
  <c r="L953" i="2"/>
  <c r="L1161" i="2"/>
  <c r="L1193" i="2"/>
  <c r="L1209" i="2"/>
  <c r="L1225" i="2"/>
  <c r="L1241" i="2"/>
  <c r="L1273" i="2"/>
  <c r="L1289" i="2"/>
  <c r="L1305" i="2"/>
  <c r="L1337" i="2"/>
  <c r="L1353" i="2"/>
  <c r="L1369" i="2"/>
  <c r="L1509" i="2"/>
  <c r="L35" i="2"/>
  <c r="L51" i="2"/>
  <c r="L67" i="2"/>
  <c r="L99" i="2"/>
  <c r="L131" i="2"/>
  <c r="L323" i="2"/>
  <c r="L355" i="2"/>
  <c r="L387" i="2"/>
  <c r="L403" i="2"/>
  <c r="L419" i="2"/>
  <c r="L435" i="2"/>
  <c r="L451" i="2"/>
  <c r="L483" i="2"/>
  <c r="L499" i="2"/>
  <c r="L528" i="2"/>
  <c r="L592" i="2"/>
  <c r="L652" i="2"/>
  <c r="L704" i="2"/>
  <c r="L784" i="2"/>
  <c r="L936" i="2"/>
  <c r="L1024" i="2"/>
  <c r="L1080" i="2"/>
  <c r="M1080" i="2" s="1"/>
  <c r="N1081" i="2" s="1"/>
  <c r="L1152" i="2"/>
  <c r="L178" i="2"/>
  <c r="L28" i="2"/>
  <c r="L1216" i="2"/>
  <c r="L1300" i="2"/>
  <c r="L1372" i="2"/>
  <c r="L1456" i="2"/>
  <c r="L250" i="2"/>
  <c r="L338" i="2"/>
  <c r="L446" i="2"/>
  <c r="L510" i="2"/>
  <c r="L525" i="2"/>
  <c r="L541" i="2"/>
  <c r="L557" i="2"/>
  <c r="L573" i="2"/>
  <c r="L589" i="2"/>
  <c r="L621" i="2"/>
  <c r="L637" i="2"/>
  <c r="L669" i="2"/>
  <c r="L685" i="2"/>
  <c r="L701" i="2"/>
  <c r="L733" i="2"/>
  <c r="L749" i="2"/>
  <c r="L765" i="2"/>
  <c r="L781" i="2"/>
  <c r="L797" i="2"/>
  <c r="L813" i="2"/>
  <c r="L829" i="2"/>
  <c r="L845" i="2"/>
  <c r="L861" i="2"/>
  <c r="L877" i="2"/>
  <c r="L893" i="2"/>
  <c r="L909" i="2"/>
  <c r="L925" i="2"/>
  <c r="L941" i="2"/>
  <c r="L957" i="2"/>
  <c r="L973" i="2"/>
  <c r="L989" i="2"/>
  <c r="L1005" i="2"/>
  <c r="L1021" i="2"/>
  <c r="L1037" i="2"/>
  <c r="L1053" i="2"/>
  <c r="L1069" i="2"/>
  <c r="L1085" i="2"/>
  <c r="L1101" i="2"/>
  <c r="L1117" i="2"/>
  <c r="L1149" i="2"/>
  <c r="L1165" i="2"/>
  <c r="L1389" i="2"/>
  <c r="L1421" i="2"/>
  <c r="L1453" i="2"/>
  <c r="L1485" i="2"/>
  <c r="L83" i="2"/>
  <c r="L115" i="2"/>
  <c r="L147" i="2"/>
  <c r="L163" i="2"/>
  <c r="L179" i="2"/>
  <c r="L195" i="2"/>
  <c r="L227" i="2"/>
  <c r="L243" i="2"/>
  <c r="L259" i="2"/>
  <c r="L275" i="2"/>
  <c r="L1224" i="2"/>
  <c r="L1268" i="2"/>
  <c r="L1404" i="2"/>
  <c r="L1452" i="2"/>
  <c r="L186" i="2"/>
  <c r="L346" i="2"/>
  <c r="L470" i="2"/>
  <c r="M413" i="2" l="1"/>
  <c r="N414" i="2" s="1"/>
  <c r="M1151" i="2"/>
  <c r="N1152" i="2" s="1"/>
  <c r="M1139" i="2"/>
  <c r="N1140" i="2" s="1"/>
  <c r="M1072" i="2"/>
  <c r="N1073" i="2" s="1"/>
  <c r="M1155" i="2"/>
  <c r="N1156" i="2" s="1"/>
  <c r="M1112" i="2"/>
  <c r="N1113" i="2" s="1"/>
  <c r="M1104" i="2"/>
  <c r="N1105" i="2" s="1"/>
  <c r="M1152" i="2"/>
  <c r="N1153" i="2" s="1"/>
  <c r="M1095" i="2"/>
  <c r="N1096" i="2" s="1"/>
  <c r="M1096" i="2"/>
  <c r="N1097" i="2" s="1"/>
  <c r="M1088" i="2"/>
  <c r="N1089" i="2" s="1"/>
  <c r="M1087" i="2"/>
  <c r="N1088" i="2" s="1"/>
  <c r="M1148" i="2"/>
  <c r="N1149" i="2" s="1"/>
  <c r="M1099" i="2"/>
  <c r="N1100" i="2" s="1"/>
  <c r="M1100" i="2"/>
  <c r="N1101" i="2" s="1"/>
  <c r="M1116" i="2"/>
  <c r="N1117" i="2" s="1"/>
  <c r="M1115" i="2"/>
  <c r="N1116" i="2" s="1"/>
  <c r="M606" i="2"/>
  <c r="N607" i="2" s="1"/>
  <c r="M1067" i="2"/>
  <c r="N1068" i="2" s="1"/>
  <c r="M1068" i="2"/>
  <c r="N1069" i="2" s="1"/>
  <c r="M1119" i="2"/>
  <c r="N1120" i="2" s="1"/>
  <c r="M381" i="2"/>
  <c r="N382" i="2" s="1"/>
  <c r="M477" i="2"/>
  <c r="N478" i="2" s="1"/>
  <c r="M1207" i="2"/>
  <c r="N1208" i="2" s="1"/>
  <c r="M1138" i="2"/>
  <c r="N1139" i="2" s="1"/>
  <c r="M40" i="2"/>
  <c r="N41" i="2" s="1"/>
  <c r="M1286" i="2"/>
  <c r="N1287" i="2" s="1"/>
  <c r="M1249" i="2"/>
  <c r="N1250" i="2" s="1"/>
  <c r="M1250" i="2"/>
  <c r="N1251" i="2" s="1"/>
  <c r="M935" i="2"/>
  <c r="N936" i="2" s="1"/>
  <c r="M1255" i="2"/>
  <c r="N1256" i="2" s="1"/>
  <c r="M1254" i="2"/>
  <c r="N1255" i="2" s="1"/>
  <c r="M437" i="2"/>
  <c r="N438" i="2" s="1"/>
  <c r="M41" i="2"/>
  <c r="N42" i="2" s="1"/>
  <c r="M498" i="2"/>
  <c r="N499" i="2" s="1"/>
  <c r="M497" i="2"/>
  <c r="N498" i="2" s="1"/>
  <c r="M478" i="2"/>
  <c r="N479" i="2" s="1"/>
  <c r="M1222" i="2"/>
  <c r="N1223" i="2" s="1"/>
  <c r="M1223" i="2"/>
  <c r="N1224" i="2" s="1"/>
  <c r="M1282" i="2"/>
  <c r="N1283" i="2" s="1"/>
  <c r="M1287" i="2"/>
  <c r="N1288" i="2" s="1"/>
  <c r="M1335" i="2"/>
  <c r="N1336" i="2" s="1"/>
  <c r="M1363" i="2"/>
  <c r="N1364" i="2" s="1"/>
  <c r="M1511" i="2"/>
  <c r="M1179" i="2"/>
  <c r="N1180" i="2" s="1"/>
  <c r="M1180" i="2"/>
  <c r="N1181" i="2" s="1"/>
  <c r="M205" i="2"/>
  <c r="N206" i="2" s="1"/>
  <c r="M206" i="2"/>
  <c r="N207" i="2" s="1"/>
  <c r="M1283" i="2"/>
  <c r="N1284" i="2" s="1"/>
  <c r="M1315" i="2"/>
  <c r="N1316" i="2" s="1"/>
  <c r="M50" i="2"/>
  <c r="N51" i="2" s="1"/>
  <c r="M1316" i="2"/>
  <c r="N1317" i="2" s="1"/>
  <c r="M1085" i="2"/>
  <c r="N1086" i="2" s="1"/>
  <c r="M1171" i="2"/>
  <c r="N1172" i="2" s="1"/>
  <c r="M301" i="2"/>
  <c r="N302" i="2" s="1"/>
  <c r="M90" i="2"/>
  <c r="N91" i="2" s="1"/>
  <c r="M1383" i="2"/>
  <c r="N1384" i="2" s="1"/>
  <c r="M1364" i="2"/>
  <c r="N1365" i="2" s="1"/>
  <c r="M659" i="2"/>
  <c r="N660" i="2" s="1"/>
  <c r="M1362" i="2"/>
  <c r="N1363" i="2" s="1"/>
  <c r="M1185" i="2"/>
  <c r="N1186" i="2" s="1"/>
  <c r="M218" i="2"/>
  <c r="N219" i="2" s="1"/>
  <c r="M385" i="2"/>
  <c r="N386" i="2" s="1"/>
  <c r="M1172" i="2"/>
  <c r="N1173" i="2" s="1"/>
  <c r="M402" i="2"/>
  <c r="N403" i="2" s="1"/>
  <c r="M278" i="2"/>
  <c r="N279" i="2" s="1"/>
  <c r="M198" i="2"/>
  <c r="N199" i="2" s="1"/>
  <c r="M1203" i="2"/>
  <c r="N1204" i="2" s="1"/>
  <c r="M302" i="2"/>
  <c r="N303" i="2" s="1"/>
  <c r="M1379" i="2"/>
  <c r="N1380" i="2" s="1"/>
  <c r="M265" i="2"/>
  <c r="N266" i="2" s="1"/>
  <c r="M266" i="2"/>
  <c r="N267" i="2" s="1"/>
  <c r="M1243" i="2"/>
  <c r="N1244" i="2" s="1"/>
  <c r="M1242" i="2"/>
  <c r="N1243" i="2" s="1"/>
  <c r="M928" i="2"/>
  <c r="N929" i="2" s="1"/>
  <c r="M1351" i="2"/>
  <c r="N1352" i="2" s="1"/>
  <c r="M282" i="2"/>
  <c r="N283" i="2" s="1"/>
  <c r="M1395" i="2"/>
  <c r="N1396" i="2" s="1"/>
  <c r="M1219" i="2"/>
  <c r="N1220" i="2" s="1"/>
  <c r="M77" i="2"/>
  <c r="N78" i="2" s="1"/>
  <c r="M401" i="2"/>
  <c r="N402" i="2" s="1"/>
  <c r="M1118" i="2"/>
  <c r="N1119" i="2" s="1"/>
  <c r="M1247" i="2"/>
  <c r="N1248" i="2" s="1"/>
  <c r="M944" i="2"/>
  <c r="N945" i="2" s="1"/>
  <c r="M78" i="2"/>
  <c r="N79" i="2" s="1"/>
  <c r="M1394" i="2"/>
  <c r="N1395" i="2" s="1"/>
  <c r="M49" i="2"/>
  <c r="N50" i="2" s="1"/>
  <c r="M334" i="2"/>
  <c r="N335" i="2" s="1"/>
  <c r="M887" i="2"/>
  <c r="N888" i="2" s="1"/>
  <c r="M943" i="2"/>
  <c r="N944" i="2" s="1"/>
  <c r="M960" i="2"/>
  <c r="N961" i="2" s="1"/>
  <c r="M883" i="2"/>
  <c r="N884" i="2" s="1"/>
  <c r="M920" i="2"/>
  <c r="N921" i="2" s="1"/>
  <c r="M1135" i="2"/>
  <c r="N1136" i="2" s="1"/>
  <c r="M919" i="2"/>
  <c r="N920" i="2" s="1"/>
  <c r="M350" i="2"/>
  <c r="N351" i="2" s="1"/>
  <c r="M314" i="2"/>
  <c r="N315" i="2" s="1"/>
  <c r="M82" i="2"/>
  <c r="N83" i="2" s="1"/>
  <c r="M884" i="2"/>
  <c r="N885" i="2" s="1"/>
  <c r="M1251" i="2"/>
  <c r="N1252" i="2" s="1"/>
  <c r="M81" i="2"/>
  <c r="N82" i="2" s="1"/>
  <c r="M210" i="2"/>
  <c r="N211" i="2" s="1"/>
  <c r="M1266" i="2"/>
  <c r="N1267" i="2" s="1"/>
  <c r="M1312" i="2"/>
  <c r="N1313" i="2" s="1"/>
  <c r="M931" i="2"/>
  <c r="N932" i="2" s="1"/>
  <c r="M1267" i="2"/>
  <c r="N1268" i="2" s="1"/>
  <c r="M932" i="2"/>
  <c r="N933" i="2" s="1"/>
  <c r="M996" i="2"/>
  <c r="N997" i="2" s="1"/>
  <c r="M506" i="2"/>
  <c r="N507" i="2" s="1"/>
  <c r="M1347" i="2"/>
  <c r="N1348" i="2" s="1"/>
  <c r="M1348" i="2"/>
  <c r="N1349" i="2" s="1"/>
  <c r="M546" i="2"/>
  <c r="N547" i="2" s="1"/>
  <c r="M547" i="2"/>
  <c r="N548" i="2" s="1"/>
  <c r="M1332" i="2"/>
  <c r="N1333" i="2" s="1"/>
  <c r="M1089" i="2"/>
  <c r="N1090" i="2" s="1"/>
  <c r="M73" i="2"/>
  <c r="N74" i="2" s="1"/>
  <c r="M72" i="2"/>
  <c r="N73" i="2" s="1"/>
  <c r="M1331" i="2"/>
  <c r="N1332" i="2" s="1"/>
  <c r="M378" i="2"/>
  <c r="N379" i="2" s="1"/>
  <c r="M209" i="2"/>
  <c r="N210" i="2" s="1"/>
  <c r="M936" i="2"/>
  <c r="N937" i="2" s="1"/>
  <c r="M1311" i="2"/>
  <c r="N1312" i="2" s="1"/>
  <c r="M1246" i="2"/>
  <c r="N1247" i="2" s="1"/>
  <c r="M1343" i="2"/>
  <c r="N1344" i="2" s="1"/>
  <c r="M1320" i="2"/>
  <c r="N1321" i="2" s="1"/>
  <c r="M1319" i="2"/>
  <c r="N1320" i="2" s="1"/>
  <c r="M1344" i="2"/>
  <c r="N1345" i="2" s="1"/>
  <c r="M322" i="2"/>
  <c r="N323" i="2" s="1"/>
  <c r="M306" i="2"/>
  <c r="N307" i="2" s="1"/>
  <c r="M393" i="2"/>
  <c r="N394" i="2" s="1"/>
  <c r="M952" i="2"/>
  <c r="N953" i="2" s="1"/>
  <c r="M394" i="2"/>
  <c r="N395" i="2" s="1"/>
  <c r="M1327" i="2"/>
  <c r="N1328" i="2" s="1"/>
  <c r="M1328" i="2"/>
  <c r="N1329" i="2" s="1"/>
  <c r="M951" i="2"/>
  <c r="N952" i="2" s="1"/>
  <c r="M305" i="2"/>
  <c r="N306" i="2" s="1"/>
  <c r="M888" i="2"/>
  <c r="N889" i="2" s="1"/>
  <c r="M1359" i="2"/>
  <c r="N1360" i="2" s="1"/>
  <c r="M1360" i="2"/>
  <c r="N1361" i="2" s="1"/>
  <c r="M1168" i="2"/>
  <c r="N1169" i="2" s="1"/>
  <c r="M1167" i="2"/>
  <c r="N1168" i="2" s="1"/>
  <c r="M1352" i="2"/>
  <c r="N1353" i="2" s="1"/>
  <c r="M370" i="2"/>
  <c r="N371" i="2" s="1"/>
  <c r="M386" i="2"/>
  <c r="N387" i="2" s="1"/>
  <c r="M1376" i="2"/>
  <c r="N1377" i="2" s="1"/>
  <c r="M1375" i="2"/>
  <c r="N1376" i="2" s="1"/>
  <c r="M369" i="2"/>
  <c r="N370" i="2" s="1"/>
  <c r="M1384" i="2"/>
  <c r="N1385" i="2" s="1"/>
  <c r="M1270" i="2"/>
  <c r="N1271" i="2" s="1"/>
  <c r="M357" i="2"/>
  <c r="N358" i="2" s="1"/>
  <c r="M1308" i="2"/>
  <c r="N1309" i="2" s="1"/>
  <c r="M358" i="2"/>
  <c r="N359" i="2" s="1"/>
  <c r="M1307" i="2"/>
  <c r="N1308" i="2" s="1"/>
  <c r="M1263" i="2"/>
  <c r="N1264" i="2" s="1"/>
  <c r="M277" i="2"/>
  <c r="N278" i="2" s="1"/>
  <c r="M197" i="2"/>
  <c r="N198" i="2" s="1"/>
  <c r="M1084" i="2"/>
  <c r="N1085" i="2" s="1"/>
  <c r="M1342" i="2"/>
  <c r="N1343" i="2" s="1"/>
  <c r="M1227" i="2"/>
  <c r="N1228" i="2" s="1"/>
  <c r="M143" i="2"/>
  <c r="N144" i="2" s="1"/>
  <c r="M1492" i="2"/>
  <c r="N1493" i="2" s="1"/>
  <c r="M1134" i="2"/>
  <c r="N1135" i="2" s="1"/>
  <c r="M1226" i="2"/>
  <c r="N1227" i="2" s="1"/>
  <c r="M1491" i="2"/>
  <c r="N1492" i="2" s="1"/>
  <c r="M246" i="2"/>
  <c r="N247" i="2" s="1"/>
  <c r="M1083" i="2"/>
  <c r="N1084" i="2" s="1"/>
  <c r="M1275" i="2"/>
  <c r="N1276" i="2" s="1"/>
  <c r="M142" i="2"/>
  <c r="N143" i="2" s="1"/>
  <c r="M245" i="2"/>
  <c r="N246" i="2" s="1"/>
  <c r="M889" i="2"/>
  <c r="N890" i="2" s="1"/>
  <c r="M555" i="2"/>
  <c r="N556" i="2" s="1"/>
  <c r="M1403" i="2"/>
  <c r="N1404" i="2" s="1"/>
  <c r="M554" i="2"/>
  <c r="N555" i="2" s="1"/>
  <c r="M1323" i="2"/>
  <c r="N1324" i="2" s="1"/>
  <c r="M1324" i="2"/>
  <c r="N1325" i="2" s="1"/>
  <c r="M988" i="2"/>
  <c r="N989" i="2" s="1"/>
  <c r="M1131" i="2"/>
  <c r="N1132" i="2" s="1"/>
  <c r="M1340" i="2"/>
  <c r="N1341" i="2" s="1"/>
  <c r="M667" i="2"/>
  <c r="N668" i="2" s="1"/>
  <c r="M666" i="2"/>
  <c r="N667" i="2" s="1"/>
  <c r="M1211" i="2"/>
  <c r="N1212" i="2" s="1"/>
  <c r="M539" i="2"/>
  <c r="N540" i="2" s="1"/>
  <c r="M44" i="2"/>
  <c r="N45" i="2" s="1"/>
  <c r="M70" i="2"/>
  <c r="N71" i="2" s="1"/>
  <c r="M987" i="2"/>
  <c r="N988" i="2" s="1"/>
  <c r="M1210" i="2"/>
  <c r="N1211" i="2" s="1"/>
  <c r="M69" i="2"/>
  <c r="N70" i="2" s="1"/>
  <c r="M45" i="2"/>
  <c r="N46" i="2" s="1"/>
  <c r="M1387" i="2"/>
  <c r="N1388" i="2" s="1"/>
  <c r="M1120" i="2"/>
  <c r="N1121" i="2" s="1"/>
  <c r="M940" i="2"/>
  <c r="N941" i="2" s="1"/>
  <c r="M294" i="2"/>
  <c r="N295" i="2" s="1"/>
  <c r="M342" i="2"/>
  <c r="N343" i="2" s="1"/>
  <c r="M1355" i="2"/>
  <c r="N1356" i="2" s="1"/>
  <c r="M1339" i="2"/>
  <c r="N1340" i="2" s="1"/>
  <c r="M1276" i="2"/>
  <c r="N1277" i="2" s="1"/>
  <c r="M1354" i="2"/>
  <c r="N1355" i="2" s="1"/>
  <c r="M939" i="2"/>
  <c r="N940" i="2" s="1"/>
  <c r="M956" i="2"/>
  <c r="N957" i="2" s="1"/>
  <c r="M215" i="2"/>
  <c r="N216" i="2" s="1"/>
  <c r="M1487" i="2"/>
  <c r="N1488" i="2" s="1"/>
  <c r="M955" i="2"/>
  <c r="N956" i="2" s="1"/>
  <c r="M1176" i="2"/>
  <c r="N1177" i="2" s="1"/>
  <c r="M195" i="2"/>
  <c r="N196" i="2" s="1"/>
  <c r="M1290" i="2"/>
  <c r="N1291" i="2" s="1"/>
  <c r="M1291" i="2"/>
  <c r="N1292" i="2" s="1"/>
  <c r="M62" i="2"/>
  <c r="N63" i="2" s="1"/>
  <c r="M1175" i="2"/>
  <c r="N1176" i="2" s="1"/>
  <c r="M651" i="2"/>
  <c r="N652" i="2" s="1"/>
  <c r="M1122" i="2"/>
  <c r="N1123" i="2" s="1"/>
  <c r="M1123" i="2"/>
  <c r="N1124" i="2" s="1"/>
  <c r="M1488" i="2"/>
  <c r="N1489" i="2" s="1"/>
  <c r="M222" i="2"/>
  <c r="N223" i="2" s="1"/>
  <c r="M221" i="2"/>
  <c r="N222" i="2" s="1"/>
  <c r="M86" i="2"/>
  <c r="N87" i="2" s="1"/>
  <c r="M1124" i="2"/>
  <c r="N1125" i="2" s="1"/>
  <c r="M1215" i="2"/>
  <c r="N1216" i="2" s="1"/>
  <c r="M1214" i="2"/>
  <c r="N1215" i="2" s="1"/>
  <c r="M891" i="2"/>
  <c r="N892" i="2" s="1"/>
  <c r="M892" i="2"/>
  <c r="N893" i="2" s="1"/>
  <c r="M286" i="2"/>
  <c r="N287" i="2" s="1"/>
  <c r="M285" i="2"/>
  <c r="N286" i="2" s="1"/>
  <c r="M1336" i="2"/>
  <c r="N1337" i="2" s="1"/>
  <c r="M924" i="2"/>
  <c r="N925" i="2" s="1"/>
  <c r="M923" i="2"/>
  <c r="N924" i="2" s="1"/>
  <c r="M1235" i="2"/>
  <c r="N1236" i="2" s="1"/>
  <c r="M1091" i="2"/>
  <c r="N1092" i="2" s="1"/>
  <c r="M1092" i="2"/>
  <c r="N1093" i="2" s="1"/>
  <c r="M1234" i="2"/>
  <c r="N1235" i="2" s="1"/>
  <c r="M54" i="2"/>
  <c r="N55" i="2" s="1"/>
  <c r="M531" i="2"/>
  <c r="N532" i="2" s="1"/>
  <c r="M759" i="2"/>
  <c r="N760" i="2" s="1"/>
  <c r="M33" i="2"/>
  <c r="N34" i="2" s="1"/>
  <c r="M48" i="2"/>
  <c r="N49" i="2" s="1"/>
  <c r="M1278" i="2"/>
  <c r="N1279" i="2" s="1"/>
  <c r="M532" i="2"/>
  <c r="N533" i="2" s="1"/>
  <c r="M201" i="2"/>
  <c r="N202" i="2" s="1"/>
  <c r="M232" i="2"/>
  <c r="N233" i="2" s="1"/>
  <c r="M233" i="2"/>
  <c r="N234" i="2" s="1"/>
  <c r="M646" i="2"/>
  <c r="N647" i="2" s="1"/>
  <c r="M169" i="2"/>
  <c r="N170" i="2" s="1"/>
  <c r="M1435" i="2"/>
  <c r="N1436" i="2" s="1"/>
  <c r="M488" i="2"/>
  <c r="N489" i="2" s="1"/>
  <c r="M607" i="2"/>
  <c r="N608" i="2" s="1"/>
  <c r="M1070" i="2"/>
  <c r="N1071" i="2" s="1"/>
  <c r="M1187" i="2"/>
  <c r="N1188" i="2" s="1"/>
  <c r="M1188" i="2"/>
  <c r="N1189" i="2" s="1"/>
  <c r="M1467" i="2"/>
  <c r="N1468" i="2" s="1"/>
  <c r="M587" i="2"/>
  <c r="N588" i="2" s="1"/>
  <c r="M521" i="2"/>
  <c r="N522" i="2" s="1"/>
  <c r="M65" i="2"/>
  <c r="N66" i="2" s="1"/>
  <c r="M639" i="2"/>
  <c r="N640" i="2" s="1"/>
  <c r="M543" i="2"/>
  <c r="N544" i="2" s="1"/>
  <c r="M791" i="2"/>
  <c r="N792" i="2" s="1"/>
  <c r="M496" i="2"/>
  <c r="N497" i="2" s="1"/>
  <c r="M758" i="2"/>
  <c r="N759" i="2" s="1"/>
  <c r="M284" i="2"/>
  <c r="N285" i="2" s="1"/>
  <c r="M6" i="2"/>
  <c r="N7" i="2" s="1"/>
  <c r="M7" i="2"/>
  <c r="N8" i="2" s="1"/>
  <c r="M189" i="2"/>
  <c r="N190" i="2" s="1"/>
  <c r="M238" i="2"/>
  <c r="N239" i="2" s="1"/>
  <c r="M835" i="2"/>
  <c r="N836" i="2" s="1"/>
  <c r="M433" i="2"/>
  <c r="N434" i="2" s="1"/>
  <c r="M738" i="2"/>
  <c r="N739" i="2" s="1"/>
  <c r="M57" i="2"/>
  <c r="N58" i="2" s="1"/>
  <c r="M434" i="2"/>
  <c r="N435" i="2" s="1"/>
  <c r="M803" i="2"/>
  <c r="N804" i="2" s="1"/>
  <c r="M739" i="2"/>
  <c r="N740" i="2" s="1"/>
  <c r="M678" i="2"/>
  <c r="N679" i="2" s="1"/>
  <c r="M975" i="2"/>
  <c r="N976" i="2" s="1"/>
  <c r="M121" i="2"/>
  <c r="N122" i="2" s="1"/>
  <c r="M1195" i="2"/>
  <c r="N1196" i="2" s="1"/>
  <c r="M253" i="2"/>
  <c r="N254" i="2" s="1"/>
  <c r="M425" i="2"/>
  <c r="N426" i="2" s="1"/>
  <c r="M141" i="2"/>
  <c r="N142" i="2" s="1"/>
  <c r="M340" i="2"/>
  <c r="N341" i="2" s="1"/>
  <c r="M345" i="2"/>
  <c r="N346" i="2" s="1"/>
  <c r="M346" i="2"/>
  <c r="N347" i="2" s="1"/>
  <c r="M390" i="2"/>
  <c r="N391" i="2" s="1"/>
  <c r="M575" i="2"/>
  <c r="N576" i="2" s="1"/>
  <c r="M1415" i="2"/>
  <c r="N1416" i="2" s="1"/>
  <c r="M490" i="2"/>
  <c r="N491" i="2" s="1"/>
  <c r="M244" i="2"/>
  <c r="N245" i="2" s="1"/>
  <c r="M574" i="2"/>
  <c r="N575" i="2" s="1"/>
  <c r="M1414" i="2"/>
  <c r="N1415" i="2" s="1"/>
  <c r="M389" i="2"/>
  <c r="N390" i="2" s="1"/>
  <c r="M489" i="2"/>
  <c r="N490" i="2" s="1"/>
  <c r="M270" i="2"/>
  <c r="N271" i="2" s="1"/>
  <c r="M771" i="2"/>
  <c r="N772" i="2" s="1"/>
  <c r="M618" i="2"/>
  <c r="N619" i="2" s="1"/>
  <c r="M1031" i="2"/>
  <c r="N1032" i="2" s="1"/>
  <c r="M822" i="2"/>
  <c r="N823" i="2" s="1"/>
  <c r="M619" i="2"/>
  <c r="N620" i="2" s="1"/>
  <c r="M823" i="2"/>
  <c r="N824" i="2" s="1"/>
  <c r="M269" i="2"/>
  <c r="N270" i="2" s="1"/>
  <c r="M520" i="2"/>
  <c r="N521" i="2" s="1"/>
  <c r="M329" i="2"/>
  <c r="N330" i="2" s="1"/>
  <c r="M59" i="2"/>
  <c r="N60" i="2" s="1"/>
  <c r="M948" i="2"/>
  <c r="N949" i="2" s="1"/>
  <c r="M1232" i="2"/>
  <c r="N1233" i="2" s="1"/>
  <c r="M947" i="2"/>
  <c r="N948" i="2" s="1"/>
  <c r="M76" i="2"/>
  <c r="N77" i="2" s="1"/>
  <c r="M612" i="2"/>
  <c r="N613" i="2" s="1"/>
  <c r="M896" i="2"/>
  <c r="N897" i="2" s="1"/>
  <c r="M807" i="2"/>
  <c r="N808" i="2" s="1"/>
  <c r="M1231" i="2"/>
  <c r="N1232" i="2" s="1"/>
  <c r="M1496" i="2"/>
  <c r="N1497" i="2" s="1"/>
  <c r="M810" i="2"/>
  <c r="N811" i="2" s="1"/>
  <c r="M984" i="2"/>
  <c r="N985" i="2" s="1"/>
  <c r="M643" i="2"/>
  <c r="N644" i="2" s="1"/>
  <c r="M1236" i="2"/>
  <c r="N1237" i="2" s="1"/>
  <c r="M644" i="2"/>
  <c r="N645" i="2" s="1"/>
  <c r="M1497" i="2"/>
  <c r="N1498" i="2" s="1"/>
  <c r="M1502" i="2"/>
  <c r="N1503" i="2" s="1"/>
  <c r="M676" i="2"/>
  <c r="N677" i="2" s="1"/>
  <c r="M1028" i="2"/>
  <c r="N1029" i="2" s="1"/>
  <c r="M1476" i="2"/>
  <c r="N1477" i="2" s="1"/>
  <c r="M775" i="2"/>
  <c r="N776" i="2" s="1"/>
  <c r="M732" i="2"/>
  <c r="N733" i="2" s="1"/>
  <c r="M1443" i="2"/>
  <c r="N1444" i="2" s="1"/>
  <c r="M457" i="2"/>
  <c r="N458" i="2" s="1"/>
  <c r="M1200" i="2"/>
  <c r="N1201" i="2" s="1"/>
  <c r="M611" i="2"/>
  <c r="N612" i="2" s="1"/>
  <c r="M1199" i="2"/>
  <c r="N1200" i="2" s="1"/>
  <c r="M763" i="2"/>
  <c r="N764" i="2" s="1"/>
  <c r="M764" i="2"/>
  <c r="N765" i="2" s="1"/>
  <c r="M1060" i="2"/>
  <c r="N1061" i="2" s="1"/>
  <c r="M1388" i="2"/>
  <c r="N1389" i="2" s="1"/>
  <c r="M1059" i="2"/>
  <c r="N1060" i="2" s="1"/>
  <c r="M675" i="2"/>
  <c r="N676" i="2" s="1"/>
  <c r="M1444" i="2"/>
  <c r="N1445" i="2" s="1"/>
  <c r="M174" i="2"/>
  <c r="N175" i="2" s="1"/>
  <c r="M173" i="2"/>
  <c r="N174" i="2" s="1"/>
  <c r="M109" i="2"/>
  <c r="N110" i="2" s="1"/>
  <c r="M110" i="2"/>
  <c r="N111" i="2" s="1"/>
  <c r="M458" i="2"/>
  <c r="N459" i="2" s="1"/>
  <c r="M731" i="2"/>
  <c r="N732" i="2" s="1"/>
  <c r="M348" i="2"/>
  <c r="N349" i="2" s="1"/>
  <c r="M808" i="2"/>
  <c r="N809" i="2" s="1"/>
  <c r="M1499" i="2"/>
  <c r="N1500" i="2" s="1"/>
  <c r="M776" i="2"/>
  <c r="N777" i="2" s="1"/>
  <c r="M568" i="2"/>
  <c r="N569" i="2" s="1"/>
  <c r="M567" i="2"/>
  <c r="N568" i="2" s="1"/>
  <c r="M840" i="2"/>
  <c r="N841" i="2" s="1"/>
  <c r="M839" i="2"/>
  <c r="N840" i="2" s="1"/>
  <c r="M304" i="2"/>
  <c r="N305" i="2" s="1"/>
  <c r="M289" i="2"/>
  <c r="N290" i="2" s="1"/>
  <c r="M366" i="2"/>
  <c r="N367" i="2" s="1"/>
  <c r="M67" i="2"/>
  <c r="N68" i="2" s="1"/>
  <c r="M1063" i="2"/>
  <c r="N1064" i="2" s="1"/>
  <c r="M533" i="2"/>
  <c r="N534" i="2" s="1"/>
  <c r="M1356" i="2"/>
  <c r="N1357" i="2" s="1"/>
  <c r="M212" i="2"/>
  <c r="N213" i="2" s="1"/>
  <c r="M623" i="2"/>
  <c r="N624" i="2" s="1"/>
  <c r="M1064" i="2"/>
  <c r="N1065" i="2" s="1"/>
  <c r="M309" i="2"/>
  <c r="N310" i="2" s="1"/>
  <c r="M213" i="2"/>
  <c r="N214" i="2" s="1"/>
  <c r="M990" i="2"/>
  <c r="N991" i="2" s="1"/>
  <c r="M624" i="2"/>
  <c r="N625" i="2" s="1"/>
  <c r="M465" i="2"/>
  <c r="N466" i="2" s="1"/>
  <c r="M1407" i="2"/>
  <c r="N1408" i="2" s="1"/>
  <c r="M460" i="2"/>
  <c r="N461" i="2" s="1"/>
  <c r="M290" i="2"/>
  <c r="N291" i="2" s="1"/>
  <c r="M572" i="2"/>
  <c r="N573" i="2" s="1"/>
  <c r="M1471" i="2"/>
  <c r="N1472" i="2" s="1"/>
  <c r="M1458" i="2"/>
  <c r="N1459" i="2" s="1"/>
  <c r="M1397" i="2"/>
  <c r="N1398" i="2" s="1"/>
  <c r="M263" i="2"/>
  <c r="N264" i="2" s="1"/>
  <c r="M1050" i="2"/>
  <c r="N1051" i="2" s="1"/>
  <c r="M262" i="2"/>
  <c r="N263" i="2" s="1"/>
  <c r="M456" i="2"/>
  <c r="N457" i="2" s="1"/>
  <c r="M1230" i="2"/>
  <c r="N1231" i="2" s="1"/>
  <c r="M864" i="2"/>
  <c r="N865" i="2" s="1"/>
  <c r="M1274" i="2"/>
  <c r="N1275" i="2" s="1"/>
  <c r="M1409" i="2"/>
  <c r="N1410" i="2" s="1"/>
  <c r="M337" i="2"/>
  <c r="N338" i="2" s="1"/>
  <c r="M408" i="2"/>
  <c r="N409" i="2" s="1"/>
  <c r="M1447" i="2"/>
  <c r="N1448" i="2" s="1"/>
  <c r="M372" i="2"/>
  <c r="N373" i="2" s="1"/>
  <c r="M1144" i="2"/>
  <c r="N1145" i="2" s="1"/>
  <c r="M1365" i="2"/>
  <c r="N1366" i="2" s="1"/>
  <c r="M571" i="2"/>
  <c r="N572" i="2" s="1"/>
  <c r="M1479" i="2"/>
  <c r="N1480" i="2" s="1"/>
  <c r="M341" i="2"/>
  <c r="N342" i="2" s="1"/>
  <c r="M1470" i="2"/>
  <c r="N1471" i="2" s="1"/>
  <c r="M318" i="2"/>
  <c r="N319" i="2" s="1"/>
  <c r="M1143" i="2"/>
  <c r="N1144" i="2" s="1"/>
  <c r="M1032" i="2"/>
  <c r="N1033" i="2" s="1"/>
  <c r="M317" i="2"/>
  <c r="N318" i="2" s="1"/>
  <c r="M1480" i="2"/>
  <c r="N1481" i="2" s="1"/>
  <c r="M991" i="2"/>
  <c r="N992" i="2" s="1"/>
  <c r="M556" i="2"/>
  <c r="N557" i="2" s="1"/>
  <c r="M536" i="2"/>
  <c r="N537" i="2" s="1"/>
  <c r="M165" i="2"/>
  <c r="N166" i="2" s="1"/>
  <c r="M242" i="2"/>
  <c r="N243" i="2" s="1"/>
  <c r="M373" i="2"/>
  <c r="N374" i="2" s="1"/>
  <c r="M241" i="2"/>
  <c r="N242" i="2" s="1"/>
  <c r="M88" i="2"/>
  <c r="N89" i="2" s="1"/>
  <c r="M1439" i="2"/>
  <c r="N1440" i="2" s="1"/>
  <c r="M735" i="2"/>
  <c r="N736" i="2" s="1"/>
  <c r="M782" i="2"/>
  <c r="N783" i="2" s="1"/>
  <c r="M1381" i="2"/>
  <c r="N1382" i="2" s="1"/>
  <c r="M1220" i="2"/>
  <c r="N1221" i="2" s="1"/>
  <c r="M1404" i="2"/>
  <c r="N1405" i="2" s="1"/>
  <c r="M1448" i="2"/>
  <c r="N1449" i="2" s="1"/>
  <c r="M720" i="2"/>
  <c r="N721" i="2" s="1"/>
  <c r="M1256" i="2"/>
  <c r="N1257" i="2" s="1"/>
  <c r="M274" i="2"/>
  <c r="N275" i="2" s="1"/>
  <c r="M273" i="2"/>
  <c r="N274" i="2" s="1"/>
  <c r="M1279" i="2"/>
  <c r="N1280" i="2" s="1"/>
  <c r="M466" i="2"/>
  <c r="N467" i="2" s="1"/>
  <c r="M1423" i="2"/>
  <c r="N1424" i="2" s="1"/>
  <c r="M1424" i="2"/>
  <c r="N1425" i="2" s="1"/>
  <c r="M683" i="2"/>
  <c r="N684" i="2" s="1"/>
  <c r="M736" i="2"/>
  <c r="N737" i="2" s="1"/>
  <c r="M779" i="2"/>
  <c r="N780" i="2" s="1"/>
  <c r="M494" i="2"/>
  <c r="N495" i="2" s="1"/>
  <c r="M812" i="2"/>
  <c r="N813" i="2" s="1"/>
  <c r="M113" i="2"/>
  <c r="N114" i="2" s="1"/>
  <c r="M976" i="2"/>
  <c r="N977" i="2" s="1"/>
  <c r="M308" i="2"/>
  <c r="N309" i="2" s="1"/>
  <c r="M1459" i="2"/>
  <c r="N1460" i="2" s="1"/>
  <c r="M114" i="2"/>
  <c r="N115" i="2" s="1"/>
  <c r="M882" i="2"/>
  <c r="N883" i="2" s="1"/>
  <c r="M1503" i="2"/>
  <c r="N1504" i="2" s="1"/>
  <c r="M343" i="2"/>
  <c r="N344" i="2" s="1"/>
  <c r="M1416" i="2"/>
  <c r="N1417" i="2" s="1"/>
  <c r="M192" i="2"/>
  <c r="N193" i="2" s="1"/>
  <c r="M1264" i="2"/>
  <c r="N1265" i="2" s="1"/>
  <c r="M442" i="2"/>
  <c r="N443" i="2" s="1"/>
  <c r="M1322" i="2"/>
  <c r="N1323" i="2" s="1"/>
  <c r="M752" i="2"/>
  <c r="N753" i="2" s="1"/>
  <c r="M1280" i="2"/>
  <c r="N1281" i="2" s="1"/>
  <c r="M718" i="2"/>
  <c r="N719" i="2" s="1"/>
  <c r="M193" i="2"/>
  <c r="N194" i="2" s="1"/>
  <c r="M177" i="2"/>
  <c r="N178" i="2" s="1"/>
  <c r="M719" i="2"/>
  <c r="N720" i="2" s="1"/>
  <c r="M178" i="2"/>
  <c r="N179" i="2" s="1"/>
  <c r="M780" i="2"/>
  <c r="N781" i="2" s="1"/>
  <c r="M870" i="2"/>
  <c r="N871" i="2" s="1"/>
  <c r="M52" i="2"/>
  <c r="N53" i="2" s="1"/>
  <c r="M871" i="2"/>
  <c r="N872" i="2" s="1"/>
  <c r="M615" i="2"/>
  <c r="N616" i="2" s="1"/>
  <c r="M690" i="2"/>
  <c r="N691" i="2" s="1"/>
  <c r="M405" i="2"/>
  <c r="N406" i="2" s="1"/>
  <c r="M137" i="2"/>
  <c r="N138" i="2" s="1"/>
  <c r="M687" i="2"/>
  <c r="N688" i="2" s="1"/>
  <c r="M1204" i="2"/>
  <c r="N1205" i="2" s="1"/>
  <c r="M146" i="2"/>
  <c r="N147" i="2" s="1"/>
  <c r="M501" i="2"/>
  <c r="N502" i="2" s="1"/>
  <c r="M404" i="2"/>
  <c r="N405" i="2" s="1"/>
  <c r="M500" i="2"/>
  <c r="N501" i="2" s="1"/>
  <c r="M866" i="2"/>
  <c r="N867" i="2" s="1"/>
  <c r="M145" i="2"/>
  <c r="N146" i="2" s="1"/>
  <c r="M469" i="2"/>
  <c r="N470" i="2" s="1"/>
  <c r="M1000" i="2"/>
  <c r="N1001" i="2" s="1"/>
  <c r="M795" i="2"/>
  <c r="N796" i="2" s="1"/>
  <c r="M1127" i="2"/>
  <c r="N1128" i="2" s="1"/>
  <c r="M257" i="2"/>
  <c r="N258" i="2" s="1"/>
  <c r="M967" i="2"/>
  <c r="N968" i="2" s="1"/>
  <c r="M1128" i="2"/>
  <c r="N1129" i="2" s="1"/>
  <c r="M256" i="2"/>
  <c r="N257" i="2" s="1"/>
  <c r="M843" i="2"/>
  <c r="N844" i="2" s="1"/>
  <c r="M844" i="2"/>
  <c r="N845" i="2" s="1"/>
  <c r="M616" i="2"/>
  <c r="N617" i="2" s="1"/>
  <c r="M999" i="2"/>
  <c r="N1000" i="2" s="1"/>
  <c r="M258" i="2"/>
  <c r="N259" i="2" s="1"/>
  <c r="M915" i="2"/>
  <c r="N916" i="2" s="1"/>
  <c r="M1382" i="2"/>
  <c r="N1383" i="2" s="1"/>
  <c r="M540" i="2"/>
  <c r="N541" i="2" s="1"/>
  <c r="M916" i="2"/>
  <c r="N917" i="2" s="1"/>
  <c r="M872" i="2"/>
  <c r="N873" i="2" s="1"/>
  <c r="M680" i="2"/>
  <c r="N681" i="2" s="1"/>
  <c r="M900" i="2"/>
  <c r="N901" i="2" s="1"/>
  <c r="M648" i="2"/>
  <c r="N649" i="2" s="1"/>
  <c r="M421" i="2"/>
  <c r="N422" i="2" s="1"/>
  <c r="M899" i="2"/>
  <c r="N900" i="2" s="1"/>
  <c r="M796" i="2"/>
  <c r="N797" i="2" s="1"/>
  <c r="M1034" i="2"/>
  <c r="N1035" i="2" s="1"/>
  <c r="M751" i="2"/>
  <c r="N752" i="2" s="1"/>
  <c r="M783" i="2"/>
  <c r="N784" i="2" s="1"/>
  <c r="M418" i="2"/>
  <c r="N419" i="2" s="1"/>
  <c r="M1035" i="2"/>
  <c r="N1036" i="2" s="1"/>
  <c r="M1239" i="2"/>
  <c r="N1240" i="2" s="1"/>
  <c r="M1094" i="2"/>
  <c r="N1095" i="2" s="1"/>
  <c r="M1295" i="2"/>
  <c r="N1296" i="2" s="1"/>
  <c r="M18" i="2"/>
  <c r="N19" i="2" s="1"/>
  <c r="M1213" i="2"/>
  <c r="N1214" i="2" s="1"/>
  <c r="M815" i="2"/>
  <c r="N816" i="2" s="1"/>
  <c r="M1296" i="2"/>
  <c r="N1297" i="2" s="1"/>
  <c r="M19" i="2"/>
  <c r="N20" i="2" s="1"/>
  <c r="M445" i="2"/>
  <c r="N446" i="2" s="1"/>
  <c r="M827" i="2"/>
  <c r="N828" i="2" s="1"/>
  <c r="M903" i="2"/>
  <c r="N904" i="2" s="1"/>
  <c r="M1166" i="2"/>
  <c r="N1167" i="2" s="1"/>
  <c r="M151" i="2"/>
  <c r="N152" i="2" s="1"/>
  <c r="M828" i="2"/>
  <c r="N829" i="2" s="1"/>
  <c r="M152" i="2"/>
  <c r="N153" i="2" s="1"/>
  <c r="M1429" i="2"/>
  <c r="N1430" i="2" s="1"/>
  <c r="M663" i="2"/>
  <c r="N664" i="2" s="1"/>
  <c r="M860" i="2"/>
  <c r="N861" i="2" s="1"/>
  <c r="M727" i="2"/>
  <c r="N728" i="2" s="1"/>
  <c r="M1298" i="2"/>
  <c r="N1299" i="2" s="1"/>
  <c r="M1299" i="2"/>
  <c r="N1300" i="2" s="1"/>
  <c r="M1183" i="2"/>
  <c r="N1184" i="2" s="1"/>
  <c r="M662" i="2"/>
  <c r="N663" i="2" s="1"/>
  <c r="M859" i="2"/>
  <c r="N860" i="2" s="1"/>
  <c r="M1372" i="2"/>
  <c r="N1373" i="2" s="1"/>
  <c r="M1371" i="2"/>
  <c r="N1372" i="2" s="1"/>
  <c r="M698" i="2"/>
  <c r="N699" i="2" s="1"/>
  <c r="M699" i="2"/>
  <c r="N700" i="2" s="1"/>
  <c r="M1399" i="2"/>
  <c r="N1400" i="2" s="1"/>
  <c r="M1325" i="2"/>
  <c r="N1326" i="2" s="1"/>
  <c r="M439" i="2"/>
  <c r="N440" i="2" s="1"/>
  <c r="M1043" i="2"/>
  <c r="N1044" i="2" s="1"/>
  <c r="M89" i="2"/>
  <c r="N90" i="2" s="1"/>
  <c r="M311" i="2"/>
  <c r="N312" i="2" s="1"/>
  <c r="M180" i="2"/>
  <c r="N181" i="2" s="1"/>
  <c r="M1039" i="2"/>
  <c r="N1040" i="2" s="1"/>
  <c r="M181" i="2"/>
  <c r="N182" i="2" s="1"/>
  <c r="M20" i="2"/>
  <c r="N21" i="2" s="1"/>
  <c r="M992" i="2"/>
  <c r="N993" i="2" s="1"/>
  <c r="M297" i="2"/>
  <c r="N298" i="2" s="1"/>
  <c r="M430" i="2"/>
  <c r="N431" i="2" s="1"/>
  <c r="M655" i="2"/>
  <c r="N656" i="2" s="1"/>
  <c r="M654" i="2"/>
  <c r="N655" i="2" s="1"/>
  <c r="M905" i="2"/>
  <c r="N906" i="2" s="1"/>
  <c r="M946" i="2"/>
  <c r="N947" i="2" s="1"/>
  <c r="M1421" i="2"/>
  <c r="N1422" i="2" s="1"/>
  <c r="M907" i="2"/>
  <c r="N908" i="2" s="1"/>
  <c r="M102" i="2"/>
  <c r="N103" i="2" s="1"/>
  <c r="M588" i="2"/>
  <c r="N589" i="2" s="1"/>
  <c r="M845" i="2"/>
  <c r="N846" i="2" s="1"/>
  <c r="M851" i="2"/>
  <c r="N852" i="2" s="1"/>
  <c r="M310" i="2"/>
  <c r="N311" i="2" s="1"/>
  <c r="M908" i="2"/>
  <c r="N909" i="2" s="1"/>
  <c r="M548" i="2"/>
  <c r="N549" i="2" s="1"/>
  <c r="M509" i="2"/>
  <c r="N510" i="2" s="1"/>
  <c r="M79" i="2"/>
  <c r="N80" i="2" s="1"/>
  <c r="M877" i="2"/>
  <c r="N878" i="2" s="1"/>
  <c r="M485" i="2"/>
  <c r="N486" i="2" s="1"/>
  <c r="M486" i="2"/>
  <c r="N487" i="2" s="1"/>
  <c r="M1102" i="2"/>
  <c r="N1103" i="2" s="1"/>
  <c r="M858" i="2"/>
  <c r="N859" i="2" s="1"/>
  <c r="M1330" i="2"/>
  <c r="N1331" i="2" s="1"/>
  <c r="M642" i="2"/>
  <c r="N643" i="2" s="1"/>
  <c r="M832" i="2"/>
  <c r="N833" i="2" s="1"/>
  <c r="M1011" i="2"/>
  <c r="N1012" i="2" s="1"/>
  <c r="M476" i="2"/>
  <c r="N477" i="2" s="1"/>
  <c r="M1478" i="2"/>
  <c r="N1479" i="2" s="1"/>
  <c r="M668" i="2"/>
  <c r="N669" i="2" s="1"/>
  <c r="M176" i="2"/>
  <c r="N177" i="2" s="1"/>
  <c r="M852" i="2"/>
  <c r="N853" i="2" s="1"/>
  <c r="M750" i="2"/>
  <c r="N751" i="2" s="1"/>
  <c r="M826" i="2"/>
  <c r="N827" i="2" s="1"/>
  <c r="M702" i="2"/>
  <c r="N703" i="2" s="1"/>
  <c r="M1303" i="2"/>
  <c r="N1304" i="2" s="1"/>
  <c r="M133" i="2"/>
  <c r="N134" i="2" s="1"/>
  <c r="M560" i="2"/>
  <c r="N561" i="2" s="1"/>
  <c r="M1244" i="2"/>
  <c r="N1245" i="2" s="1"/>
  <c r="M155" i="2"/>
  <c r="N156" i="2" s="1"/>
  <c r="M695" i="2"/>
  <c r="N696" i="2" s="1"/>
  <c r="M250" i="2"/>
  <c r="N251" i="2" s="1"/>
  <c r="M703" i="2"/>
  <c r="N704" i="2" s="1"/>
  <c r="M901" i="2"/>
  <c r="N902" i="2" s="1"/>
  <c r="M230" i="2"/>
  <c r="N231" i="2" s="1"/>
  <c r="M287" i="2"/>
  <c r="N288" i="2" s="1"/>
  <c r="M229" i="2"/>
  <c r="N230" i="2" s="1"/>
  <c r="M1436" i="2"/>
  <c r="N1437" i="2" s="1"/>
  <c r="M819" i="2"/>
  <c r="N820" i="2" s="1"/>
  <c r="M406" i="2"/>
  <c r="N407" i="2" s="1"/>
  <c r="M12" i="2"/>
  <c r="N13" i="2" s="1"/>
  <c r="M46" i="2"/>
  <c r="N47" i="2" s="1"/>
  <c r="M438" i="2"/>
  <c r="N439" i="2" s="1"/>
  <c r="M794" i="2"/>
  <c r="N795" i="2" s="1"/>
  <c r="M820" i="2"/>
  <c r="N821" i="2" s="1"/>
  <c r="M492" i="2"/>
  <c r="N493" i="2" s="1"/>
  <c r="M879" i="2"/>
  <c r="N880" i="2" s="1"/>
  <c r="M559" i="2"/>
  <c r="N560" i="2" s="1"/>
  <c r="M101" i="2"/>
  <c r="N102" i="2" s="1"/>
  <c r="M706" i="2"/>
  <c r="N707" i="2" s="1"/>
  <c r="M847" i="2"/>
  <c r="N848" i="2" s="1"/>
  <c r="M707" i="2"/>
  <c r="N708" i="2" s="1"/>
  <c r="M349" i="2"/>
  <c r="N350" i="2" s="1"/>
  <c r="M911" i="2"/>
  <c r="N912" i="2" s="1"/>
  <c r="M319" i="2"/>
  <c r="N320" i="2" s="1"/>
  <c r="M157" i="2"/>
  <c r="N158" i="2" s="1"/>
  <c r="M1500" i="2"/>
  <c r="N1501" i="2" s="1"/>
  <c r="M21" i="2"/>
  <c r="N22" i="2" s="1"/>
  <c r="M186" i="2"/>
  <c r="N187" i="2" s="1"/>
  <c r="M633" i="2"/>
  <c r="N634" i="2" s="1"/>
  <c r="M417" i="2"/>
  <c r="N418" i="2" s="1"/>
  <c r="M473" i="2"/>
  <c r="N474" i="2" s="1"/>
  <c r="M243" i="2"/>
  <c r="N244" i="2" s="1"/>
  <c r="M1261" i="2"/>
  <c r="N1262" i="2" s="1"/>
  <c r="M1310" i="2"/>
  <c r="N1311" i="2" s="1"/>
  <c r="M474" i="2"/>
  <c r="N475" i="2" s="1"/>
  <c r="M627" i="2"/>
  <c r="N628" i="2" s="1"/>
  <c r="M1300" i="2"/>
  <c r="N1301" i="2" s="1"/>
  <c r="M1047" i="2"/>
  <c r="N1048" i="2" s="1"/>
  <c r="M941" i="2"/>
  <c r="N942" i="2" s="1"/>
  <c r="M1048" i="2"/>
  <c r="N1049" i="2" s="1"/>
  <c r="M635" i="2"/>
  <c r="N636" i="2" s="1"/>
  <c r="M636" i="2"/>
  <c r="N637" i="2" s="1"/>
  <c r="M603" i="2"/>
  <c r="N604" i="2" s="1"/>
  <c r="M604" i="2"/>
  <c r="N605" i="2" s="1"/>
  <c r="M978" i="2"/>
  <c r="N979" i="2" s="1"/>
  <c r="M979" i="2"/>
  <c r="N980" i="2" s="1"/>
  <c r="M135" i="2"/>
  <c r="N136" i="2" s="1"/>
  <c r="M119" i="2"/>
  <c r="N120" i="2" s="1"/>
  <c r="M580" i="2"/>
  <c r="N581" i="2" s="1"/>
  <c r="M111" i="2"/>
  <c r="N112" i="2" s="1"/>
  <c r="M1192" i="2"/>
  <c r="N1193" i="2" s="1"/>
  <c r="M414" i="2"/>
  <c r="N415" i="2" s="1"/>
  <c r="M1508" i="2"/>
  <c r="N1509" i="2" s="1"/>
  <c r="M579" i="2"/>
  <c r="N580" i="2" s="1"/>
  <c r="M446" i="2"/>
  <c r="N447" i="2" s="1"/>
  <c r="M724" i="2"/>
  <c r="N725" i="2" s="1"/>
  <c r="M1154" i="2"/>
  <c r="N1155" i="2" s="1"/>
  <c r="M855" i="2"/>
  <c r="N856" i="2" s="1"/>
  <c r="M28" i="2"/>
  <c r="N29" i="2" s="1"/>
  <c r="M338" i="2"/>
  <c r="N339" i="2" s="1"/>
  <c r="M994" i="2"/>
  <c r="N995" i="2" s="1"/>
  <c r="M351" i="2"/>
  <c r="N352" i="2" s="1"/>
  <c r="M325" i="2"/>
  <c r="N326" i="2" s="1"/>
  <c r="M326" i="2"/>
  <c r="N327" i="2" s="1"/>
  <c r="M1507" i="2"/>
  <c r="N1508" i="2" s="1"/>
  <c r="M830" i="2"/>
  <c r="N831" i="2" s="1"/>
  <c r="M1136" i="2"/>
  <c r="N1137" i="2" s="1"/>
  <c r="M671" i="2"/>
  <c r="N672" i="2" s="1"/>
  <c r="M656" i="2"/>
  <c r="N657" i="2" s="1"/>
  <c r="M1020" i="2"/>
  <c r="N1021" i="2" s="1"/>
  <c r="M1259" i="2"/>
  <c r="N1260" i="2" s="1"/>
  <c r="M154" i="2"/>
  <c r="N155" i="2" s="1"/>
  <c r="M631" i="2"/>
  <c r="N632" i="2" s="1"/>
  <c r="M123" i="2"/>
  <c r="N124" i="2" s="1"/>
  <c r="M715" i="2"/>
  <c r="N716" i="2" s="1"/>
  <c r="M664" i="2"/>
  <c r="N665" i="2" s="1"/>
  <c r="M1055" i="2"/>
  <c r="N1056" i="2" s="1"/>
  <c r="M37" i="2"/>
  <c r="N38" i="2" s="1"/>
  <c r="M862" i="2"/>
  <c r="N863" i="2" s="1"/>
  <c r="M592" i="2"/>
  <c r="N593" i="2" s="1"/>
  <c r="M867" i="2"/>
  <c r="N868" i="2" s="1"/>
  <c r="M591" i="2"/>
  <c r="N592" i="2" s="1"/>
  <c r="M363" i="2"/>
  <c r="N364" i="2" s="1"/>
  <c r="M688" i="2"/>
  <c r="N689" i="2" s="1"/>
  <c r="M1212" i="2"/>
  <c r="N1213" i="2" s="1"/>
  <c r="M451" i="2"/>
  <c r="N452" i="2" s="1"/>
  <c r="M38" i="2"/>
  <c r="N39" i="2" s="1"/>
  <c r="M972" i="2"/>
  <c r="N973" i="2" s="1"/>
  <c r="M1509" i="2"/>
  <c r="N1510" i="2" s="1"/>
  <c r="M968" i="2"/>
  <c r="N969" i="2" s="1"/>
  <c r="M836" i="2"/>
  <c r="N837" i="2" s="1"/>
  <c r="M431" i="2"/>
  <c r="N432" i="2" s="1"/>
  <c r="M1385" i="2"/>
  <c r="N1386" i="2" s="1"/>
  <c r="M1164" i="2"/>
  <c r="N1165" i="2" s="1"/>
  <c r="M162" i="2"/>
  <c r="N163" i="2" s="1"/>
  <c r="M391" i="2"/>
  <c r="N392" i="2" s="1"/>
  <c r="M897" i="2"/>
  <c r="N898" i="2" s="1"/>
  <c r="M275" i="2"/>
  <c r="N276" i="2" s="1"/>
  <c r="M166" i="2"/>
  <c r="N167" i="2" s="1"/>
  <c r="M981" i="2"/>
  <c r="N982" i="2" s="1"/>
  <c r="M1277" i="2"/>
  <c r="N1278" i="2" s="1"/>
  <c r="M1007" i="2"/>
  <c r="N1008" i="2" s="1"/>
  <c r="M122" i="2"/>
  <c r="N123" i="2" s="1"/>
  <c r="M1337" i="2"/>
  <c r="N1338" i="2" s="1"/>
  <c r="M700" i="2"/>
  <c r="N701" i="2" s="1"/>
  <c r="M964" i="2"/>
  <c r="N965" i="2" s="1"/>
  <c r="M712" i="2"/>
  <c r="N713" i="2" s="1"/>
  <c r="M534" i="2"/>
  <c r="N535" i="2" s="1"/>
  <c r="M963" i="2"/>
  <c r="N964" i="2" s="1"/>
  <c r="M982" i="2"/>
  <c r="N983" i="2" s="1"/>
  <c r="M1400" i="2"/>
  <c r="N1401" i="2" s="1"/>
  <c r="M112" i="2"/>
  <c r="N113" i="2" s="1"/>
  <c r="M272" i="2"/>
  <c r="N273" i="2" s="1"/>
  <c r="M593" i="2"/>
  <c r="N594" i="2" s="1"/>
  <c r="M685" i="2"/>
  <c r="N686" i="2" s="1"/>
  <c r="M1019" i="2"/>
  <c r="N1020" i="2" s="1"/>
  <c r="M768" i="2"/>
  <c r="N769" i="2" s="1"/>
  <c r="M1029" i="2"/>
  <c r="N1030" i="2" s="1"/>
  <c r="M756" i="2"/>
  <c r="N757" i="2" s="1"/>
  <c r="M1008" i="2"/>
  <c r="N1009" i="2" s="1"/>
  <c r="M1427" i="2"/>
  <c r="N1428" i="2" s="1"/>
  <c r="M696" i="2"/>
  <c r="N697" i="2" s="1"/>
  <c r="M788" i="2"/>
  <c r="N789" i="2" s="1"/>
  <c r="M1288" i="2"/>
  <c r="N1289" i="2" s="1"/>
  <c r="M1132" i="2"/>
  <c r="N1133" i="2" s="1"/>
  <c r="M1040" i="2"/>
  <c r="N1041" i="2" s="1"/>
  <c r="M1224" i="2"/>
  <c r="N1225" i="2" s="1"/>
  <c r="M598" i="2"/>
  <c r="N599" i="2" s="1"/>
  <c r="M354" i="2"/>
  <c r="N355" i="2" s="1"/>
  <c r="M1456" i="2"/>
  <c r="N1457" i="2" s="1"/>
  <c r="M361" i="2"/>
  <c r="N362" i="2" s="1"/>
  <c r="M743" i="2"/>
  <c r="N744" i="2" s="1"/>
  <c r="M225" i="2"/>
  <c r="N226" i="2" s="1"/>
  <c r="M453" i="2"/>
  <c r="N454" i="2" s="1"/>
  <c r="M1455" i="2"/>
  <c r="N1456" i="2" s="1"/>
  <c r="M1051" i="2"/>
  <c r="N1052" i="2" s="1"/>
  <c r="M1272" i="2"/>
  <c r="N1273" i="2" s="1"/>
  <c r="M131" i="2"/>
  <c r="N132" i="2" s="1"/>
  <c r="M324" i="2"/>
  <c r="N325" i="2" s="1"/>
  <c r="M428" i="2"/>
  <c r="N429" i="2" s="1"/>
  <c r="M1268" i="2"/>
  <c r="N1269" i="2" s="1"/>
  <c r="M517" i="2"/>
  <c r="N518" i="2" s="1"/>
  <c r="M585" i="2"/>
  <c r="N586" i="2" s="1"/>
  <c r="M1498" i="2"/>
  <c r="N1499" i="2" s="1"/>
  <c r="M353" i="2"/>
  <c r="N354" i="2" s="1"/>
  <c r="M1410" i="2"/>
  <c r="N1411" i="2" s="1"/>
  <c r="M360" i="2"/>
  <c r="N361" i="2" s="1"/>
  <c r="M767" i="2"/>
  <c r="N768" i="2" s="1"/>
  <c r="M516" i="2"/>
  <c r="N517" i="2" s="1"/>
  <c r="M226" i="2"/>
  <c r="N227" i="2" s="1"/>
  <c r="M806" i="2"/>
  <c r="N807" i="2" s="1"/>
  <c r="M787" i="2"/>
  <c r="N788" i="2" s="1"/>
  <c r="M374" i="2"/>
  <c r="N375" i="2" s="1"/>
  <c r="M454" i="2"/>
  <c r="N455" i="2" s="1"/>
  <c r="M744" i="2"/>
  <c r="N745" i="2" s="1"/>
  <c r="M1468" i="2"/>
  <c r="N1469" i="2" s="1"/>
  <c r="M755" i="2"/>
  <c r="N756" i="2" s="1"/>
  <c r="M605" i="2"/>
  <c r="N606" i="2" s="1"/>
  <c r="M578" i="2"/>
  <c r="N579" i="2" s="1"/>
  <c r="M427" i="2"/>
  <c r="N428" i="2" s="1"/>
  <c r="M134" i="2"/>
  <c r="N135" i="2" s="1"/>
  <c r="M1412" i="2"/>
  <c r="N1413" i="2" s="1"/>
  <c r="M130" i="2"/>
  <c r="N131" i="2" s="1"/>
  <c r="M170" i="2"/>
  <c r="N171" i="2" s="1"/>
  <c r="M1374" i="2"/>
  <c r="N1375" i="2" s="1"/>
  <c r="M753" i="2"/>
  <c r="N754" i="2" s="1"/>
  <c r="M760" i="2"/>
  <c r="N761" i="2" s="1"/>
  <c r="M167" i="2"/>
  <c r="N168" i="2" s="1"/>
  <c r="M634" i="2"/>
  <c r="N635" i="2" s="1"/>
  <c r="M1504" i="2"/>
  <c r="N1505" i="2" s="1"/>
  <c r="M626" i="2"/>
  <c r="N627" i="2" s="1"/>
  <c r="M382" i="2"/>
  <c r="N383" i="2" s="1"/>
  <c r="M842" i="2"/>
  <c r="N843" i="2" s="1"/>
  <c r="M566" i="2"/>
  <c r="N567" i="2" s="1"/>
  <c r="M629" i="2"/>
  <c r="N630" i="2" s="1"/>
  <c r="M259" i="2"/>
  <c r="N260" i="2" s="1"/>
  <c r="M483" i="2"/>
  <c r="N484" i="2" s="1"/>
  <c r="M397" i="2"/>
  <c r="N398" i="2" s="1"/>
  <c r="M292" i="2"/>
  <c r="N293" i="2" s="1"/>
  <c r="M463" i="2"/>
  <c r="N464" i="2" s="1"/>
  <c r="M708" i="2"/>
  <c r="N709" i="2" s="1"/>
  <c r="M723" i="2"/>
  <c r="N724" i="2" s="1"/>
  <c r="M1191" i="2"/>
  <c r="N1192" i="2" s="1"/>
  <c r="M416" i="2"/>
  <c r="N417" i="2" s="1"/>
  <c r="M599" i="2"/>
  <c r="N600" i="2" s="1"/>
  <c r="M138" i="2"/>
  <c r="N139" i="2" s="1"/>
  <c r="M1193" i="2"/>
  <c r="N1194" i="2" s="1"/>
  <c r="M74" i="2"/>
  <c r="N75" i="2" s="1"/>
  <c r="M228" i="2"/>
  <c r="N229" i="2" s="1"/>
  <c r="M528" i="2"/>
  <c r="N529" i="2" s="1"/>
  <c r="M1464" i="2"/>
  <c r="N1465" i="2" s="1"/>
  <c r="M1049" i="2"/>
  <c r="N1050" i="2" s="1"/>
  <c r="M762" i="2"/>
  <c r="N763" i="2" s="1"/>
  <c r="M800" i="2"/>
  <c r="N801" i="2" s="1"/>
  <c r="M799" i="2"/>
  <c r="N800" i="2" s="1"/>
  <c r="M1284" i="2"/>
  <c r="N1285" i="2" s="1"/>
  <c r="M600" i="2"/>
  <c r="N601" i="2" s="1"/>
  <c r="M1023" i="2"/>
  <c r="N1024" i="2" s="1"/>
  <c r="M970" i="2"/>
  <c r="N971" i="2" s="1"/>
  <c r="M128" i="2"/>
  <c r="N129" i="2" s="1"/>
  <c r="M1483" i="2"/>
  <c r="N1484" i="2" s="1"/>
  <c r="M1197" i="2"/>
  <c r="N1198" i="2" s="1"/>
  <c r="M912" i="2"/>
  <c r="N913" i="2" s="1"/>
  <c r="M66" i="2"/>
  <c r="N67" i="2" s="1"/>
  <c r="M224" i="2"/>
  <c r="N225" i="2" s="1"/>
  <c r="M507" i="2"/>
  <c r="N508" i="2" s="1"/>
  <c r="M1494" i="2"/>
  <c r="N1495" i="2" s="1"/>
  <c r="M1228" i="2"/>
  <c r="N1229" i="2" s="1"/>
  <c r="M786" i="2"/>
  <c r="N787" i="2" s="1"/>
  <c r="M737" i="2"/>
  <c r="N738" i="2" s="1"/>
  <c r="M1052" i="2"/>
  <c r="N1053" i="2" s="1"/>
  <c r="M880" i="2"/>
  <c r="N881" i="2" s="1"/>
  <c r="M876" i="2"/>
  <c r="N877" i="2" s="1"/>
  <c r="M1001" i="2"/>
  <c r="N1002" i="2" s="1"/>
  <c r="M730" i="2"/>
  <c r="N731" i="2" s="1"/>
  <c r="M107" i="2"/>
  <c r="N108" i="2" s="1"/>
  <c r="M1016" i="2"/>
  <c r="N1017" i="2" s="1"/>
  <c r="M818" i="2"/>
  <c r="N819" i="2" s="1"/>
  <c r="M98" i="2"/>
  <c r="N99" i="2" s="1"/>
  <c r="M300" i="2"/>
  <c r="N301" i="2" s="1"/>
  <c r="M1073" i="2"/>
  <c r="N1074" i="2" s="1"/>
  <c r="M1398" i="2"/>
  <c r="N1399" i="2" s="1"/>
  <c r="M595" i="2"/>
  <c r="N596" i="2" s="1"/>
  <c r="M254" i="2"/>
  <c r="N255" i="2" s="1"/>
  <c r="M1465" i="2"/>
  <c r="N1466" i="2" s="1"/>
  <c r="M894" i="2"/>
  <c r="N895" i="2" s="1"/>
  <c r="M801" i="2"/>
  <c r="N802" i="2" s="1"/>
  <c r="M279" i="2"/>
  <c r="N280" i="2" s="1"/>
  <c r="M1333" i="2"/>
  <c r="N1334" i="2" s="1"/>
  <c r="M26" i="2"/>
  <c r="N27" i="2" s="1"/>
  <c r="M1418" i="2"/>
  <c r="N1419" i="2" s="1"/>
  <c r="M513" i="2"/>
  <c r="N514" i="2" s="1"/>
  <c r="M97" i="2"/>
  <c r="N98" i="2" s="1"/>
  <c r="M1241" i="2"/>
  <c r="N1242" i="2" s="1"/>
  <c r="M514" i="2"/>
  <c r="N515" i="2" s="1"/>
  <c r="M392" i="2"/>
  <c r="N393" i="2" s="1"/>
  <c r="M1208" i="2"/>
  <c r="N1209" i="2" s="1"/>
  <c r="M150" i="2"/>
  <c r="N151" i="2" s="1"/>
  <c r="M1321" i="2"/>
  <c r="N1322" i="2" s="1"/>
  <c r="M93" i="2"/>
  <c r="N94" i="2" s="1"/>
  <c r="M1015" i="2"/>
  <c r="N1016" i="2" s="1"/>
  <c r="M30" i="2"/>
  <c r="N31" i="2" s="1"/>
  <c r="M99" i="2"/>
  <c r="N100" i="2" s="1"/>
  <c r="M962" i="2"/>
  <c r="N963" i="2" s="1"/>
  <c r="M234" i="2"/>
  <c r="N235" i="2" s="1"/>
  <c r="M1432" i="2"/>
  <c r="N1433" i="2" s="1"/>
  <c r="M809" i="2"/>
  <c r="N810" i="2" s="1"/>
  <c r="M80" i="2"/>
  <c r="N81" i="2" s="1"/>
  <c r="M410" i="2"/>
  <c r="N411" i="2" s="1"/>
  <c r="M544" i="2"/>
  <c r="N545" i="2" s="1"/>
  <c r="M848" i="2"/>
  <c r="N849" i="2" s="1"/>
  <c r="M1408" i="2"/>
  <c r="N1409" i="2" s="1"/>
  <c r="M194" i="2"/>
  <c r="N195" i="2" s="1"/>
  <c r="M1002" i="2"/>
  <c r="N1003" i="2" s="1"/>
  <c r="M973" i="2"/>
  <c r="N974" i="2" s="1"/>
  <c r="M734" i="2"/>
  <c r="N735" i="2" s="1"/>
  <c r="M22" i="2"/>
  <c r="N23" i="2" s="1"/>
  <c r="M660" i="2"/>
  <c r="N661" i="2" s="1"/>
  <c r="M1044" i="2"/>
  <c r="N1045" i="2" s="1"/>
  <c r="M347" i="2"/>
  <c r="N348" i="2" s="1"/>
  <c r="M1474" i="2"/>
  <c r="N1475" i="2" s="1"/>
  <c r="M1252" i="2"/>
  <c r="N1253" i="2" s="1"/>
  <c r="M1021" i="2"/>
  <c r="N1022" i="2" s="1"/>
  <c r="M1431" i="2"/>
  <c r="N1432" i="2" s="1"/>
  <c r="M462" i="2"/>
  <c r="N463" i="2" s="1"/>
  <c r="M1396" i="2"/>
  <c r="N1397" i="2" s="1"/>
  <c r="M153" i="2"/>
  <c r="N154" i="2" s="1"/>
  <c r="M777" i="2"/>
  <c r="N778" i="2" s="1"/>
  <c r="M1510" i="2"/>
  <c r="N1511" i="2" s="1"/>
  <c r="M125" i="2"/>
  <c r="N126" i="2" s="1"/>
  <c r="M298" i="2"/>
  <c r="N299" i="2" s="1"/>
  <c r="M1361" i="2"/>
  <c r="N1362" i="2" s="1"/>
  <c r="M1460" i="2"/>
  <c r="N1461" i="2" s="1"/>
  <c r="M443" i="2"/>
  <c r="N444" i="2" s="1"/>
  <c r="M804" i="2"/>
  <c r="N805" i="2" s="1"/>
  <c r="M199" i="2"/>
  <c r="N200" i="2" s="1"/>
  <c r="M1313" i="2"/>
  <c r="N1314" i="2" s="1"/>
  <c r="M1186" i="2"/>
  <c r="N1187" i="2" s="1"/>
  <c r="M379" i="2"/>
  <c r="N380" i="2" s="1"/>
  <c r="M320" i="2"/>
  <c r="N321" i="2" s="1"/>
  <c r="M449" i="2"/>
  <c r="N450" i="2" s="1"/>
  <c r="M1082" i="2"/>
  <c r="N1083" i="2" s="1"/>
  <c r="M276" i="2"/>
  <c r="N277" i="2" s="1"/>
  <c r="M491" i="2"/>
  <c r="N492" i="2" s="1"/>
  <c r="M824" i="2"/>
  <c r="N825" i="2" s="1"/>
  <c r="M632" i="2"/>
  <c r="N633" i="2" s="1"/>
  <c r="M1126" i="2"/>
  <c r="N1127" i="2" s="1"/>
  <c r="M1041" i="2"/>
  <c r="N1042" i="2" s="1"/>
  <c r="M792" i="2"/>
  <c r="N793" i="2" s="1"/>
  <c r="M686" i="2"/>
  <c r="N687" i="2" s="1"/>
  <c r="M576" i="2"/>
  <c r="N577" i="2" s="1"/>
  <c r="M904" i="2"/>
  <c r="N905" i="2" s="1"/>
  <c r="M622" i="2"/>
  <c r="N623" i="2" s="1"/>
  <c r="M525" i="2"/>
  <c r="N526" i="2" s="1"/>
  <c r="M440" i="2"/>
  <c r="N441" i="2" s="1"/>
  <c r="M367" i="2"/>
  <c r="N368" i="2" s="1"/>
  <c r="M1237" i="2"/>
  <c r="N1238" i="2" s="1"/>
  <c r="M997" i="2"/>
  <c r="N998" i="2" s="1"/>
  <c r="M190" i="2"/>
  <c r="N191" i="2" s="1"/>
  <c r="M63" i="2"/>
  <c r="N64" i="2" s="1"/>
  <c r="M1345" i="2"/>
  <c r="N1346" i="2" s="1"/>
  <c r="M1165" i="2"/>
  <c r="N1166" i="2" s="1"/>
  <c r="M526" i="2"/>
  <c r="N527" i="2" s="1"/>
  <c r="M352" i="2"/>
  <c r="N353" i="2" s="1"/>
  <c r="M448" i="2"/>
  <c r="N449" i="2" s="1"/>
  <c r="M551" i="2"/>
  <c r="N552" i="2" s="1"/>
  <c r="M1469" i="2"/>
  <c r="N1470" i="2" s="1"/>
  <c r="M1430" i="2"/>
  <c r="N1431" i="2" s="1"/>
  <c r="M55" i="2"/>
  <c r="N56" i="2" s="1"/>
  <c r="M1301" i="2"/>
  <c r="N1302" i="2" s="1"/>
  <c r="M34" i="2"/>
  <c r="N35" i="2" s="1"/>
  <c r="M1425" i="2"/>
  <c r="N1426" i="2" s="1"/>
  <c r="M1217" i="2"/>
  <c r="N1218" i="2" s="1"/>
  <c r="M204" i="2"/>
  <c r="N205" i="2" s="1"/>
  <c r="M849" i="2"/>
  <c r="N850" i="2" s="1"/>
  <c r="M480" i="2"/>
  <c r="N481" i="2" s="1"/>
  <c r="M742" i="2"/>
  <c r="N743" i="2" s="1"/>
  <c r="M519" i="2"/>
  <c r="N520" i="2" s="1"/>
  <c r="M1401" i="2"/>
  <c r="N1402" i="2" s="1"/>
  <c r="M745" i="2"/>
  <c r="N746" i="2" s="1"/>
  <c r="M856" i="2"/>
  <c r="N857" i="2" s="1"/>
  <c r="M183" i="2"/>
  <c r="N184" i="2" s="1"/>
  <c r="M1125" i="2"/>
  <c r="N1126" i="2" s="1"/>
  <c r="M92" i="2"/>
  <c r="N93" i="2" s="1"/>
  <c r="M219" i="2"/>
  <c r="N220" i="2" s="1"/>
  <c r="M1451" i="2"/>
  <c r="N1452" i="2" s="1"/>
  <c r="M925" i="2"/>
  <c r="N926" i="2" s="1"/>
  <c r="M649" i="2"/>
  <c r="N650" i="2" s="1"/>
  <c r="M312" i="2"/>
  <c r="N313" i="2" s="1"/>
  <c r="M1198" i="2"/>
  <c r="N1199" i="2" s="1"/>
  <c r="M1472" i="2"/>
  <c r="N1473" i="2" s="1"/>
  <c r="M58" i="2"/>
  <c r="N59" i="2" s="1"/>
  <c r="M1450" i="2"/>
  <c r="N1451" i="2" s="1"/>
  <c r="M774" i="2"/>
  <c r="N775" i="2" s="1"/>
  <c r="M537" i="2"/>
  <c r="N538" i="2" s="1"/>
  <c r="M105" i="2"/>
  <c r="N106" i="2" s="1"/>
  <c r="M813" i="2"/>
  <c r="N814" i="2" s="1"/>
  <c r="M248" i="2"/>
  <c r="N249" i="2" s="1"/>
  <c r="M216" i="2"/>
  <c r="N217" i="2" s="1"/>
  <c r="M1178" i="2"/>
  <c r="N1179" i="2" s="1"/>
  <c r="M789" i="2"/>
  <c r="N790" i="2" s="1"/>
  <c r="M784" i="2"/>
  <c r="N785" i="2" s="1"/>
  <c r="M1005" i="2"/>
  <c r="N1006" i="2" s="1"/>
  <c r="M1437" i="2"/>
  <c r="N1438" i="2" s="1"/>
  <c r="M512" i="2"/>
  <c r="N513" i="2" s="1"/>
  <c r="M15" i="2"/>
  <c r="N16" i="2" s="1"/>
  <c r="M816" i="2"/>
  <c r="N817" i="2" s="1"/>
  <c r="M673" i="2"/>
  <c r="N674" i="2" s="1"/>
  <c r="M1046" i="2"/>
  <c r="N1047" i="2" s="1"/>
  <c r="M652" i="2"/>
  <c r="N653" i="2" s="1"/>
  <c r="M1257" i="2"/>
  <c r="N1258" i="2" s="1"/>
  <c r="M563" i="2"/>
  <c r="N564" i="2" s="1"/>
  <c r="M985" i="2"/>
  <c r="N986" i="2" s="1"/>
  <c r="M1481" i="2"/>
  <c r="N1482" i="2" s="1"/>
  <c r="M1014" i="2"/>
  <c r="N1015" i="2" s="1"/>
  <c r="M481" i="2"/>
  <c r="N482" i="2" s="1"/>
  <c r="M529" i="2"/>
  <c r="N530" i="2" s="1"/>
  <c r="M740" i="2"/>
  <c r="N741" i="2" s="1"/>
  <c r="M172" i="2"/>
  <c r="N173" i="2" s="1"/>
  <c r="M330" i="2"/>
  <c r="N331" i="2" s="1"/>
  <c r="M387" i="2"/>
  <c r="N388" i="2" s="1"/>
  <c r="M503" i="2"/>
  <c r="N504" i="2" s="1"/>
  <c r="M1233" i="2"/>
  <c r="N1234" i="2" s="1"/>
  <c r="M601" i="2"/>
  <c r="N602" i="2" s="1"/>
  <c r="M1184" i="2"/>
  <c r="N1185" i="2" s="1"/>
  <c r="M1004" i="2"/>
  <c r="N1005" i="2" s="1"/>
  <c r="M83" i="2"/>
  <c r="N84" i="2" s="1"/>
  <c r="M1201" i="2"/>
  <c r="N1202" i="2" s="1"/>
  <c r="M781" i="2"/>
  <c r="N782" i="2" s="1"/>
  <c r="M1367" i="2"/>
  <c r="N1368" i="2" s="1"/>
  <c r="M716" i="2"/>
  <c r="N717" i="2" s="1"/>
  <c r="M187" i="2"/>
  <c r="N188" i="2" s="1"/>
  <c r="M1445" i="2"/>
  <c r="N1446" i="2" s="1"/>
  <c r="M873" i="2"/>
  <c r="N874" i="2" s="1"/>
  <c r="M625" i="2"/>
  <c r="N626" i="2" s="1"/>
  <c r="M552" i="2"/>
  <c r="N553" i="2" s="1"/>
  <c r="M569" i="2"/>
  <c r="N570" i="2" s="1"/>
  <c r="M364" i="2"/>
  <c r="N365" i="2" s="1"/>
  <c r="M596" i="2"/>
  <c r="N597" i="2" s="1"/>
  <c r="M728" i="2"/>
  <c r="N729" i="2" s="1"/>
  <c r="M865" i="2"/>
  <c r="N866" i="2" s="1"/>
  <c r="M335" i="2"/>
  <c r="N336" i="2" s="1"/>
  <c r="M748" i="2"/>
  <c r="N749" i="2" s="1"/>
  <c r="M384" i="2"/>
  <c r="N385" i="2" s="1"/>
  <c r="M1419" i="2"/>
  <c r="N1420" i="2" s="1"/>
  <c r="M362" i="2"/>
  <c r="N363" i="2" s="1"/>
  <c r="M971" i="2"/>
  <c r="N972" i="2" s="1"/>
  <c r="M965" i="2"/>
  <c r="N966" i="2" s="1"/>
  <c r="M833" i="2"/>
  <c r="N834" i="2" s="1"/>
  <c r="M590" i="2"/>
  <c r="N591" i="2" s="1"/>
  <c r="M236" i="2"/>
  <c r="N237" i="2" s="1"/>
  <c r="M1292" i="2"/>
  <c r="N1293" i="2" s="1"/>
  <c r="M470" i="2"/>
  <c r="N471" i="2" s="1"/>
  <c r="M395" i="2"/>
  <c r="N396" i="2" s="1"/>
  <c r="M1386" i="2"/>
  <c r="N1387" i="2" s="1"/>
  <c r="M1368" i="2"/>
  <c r="N1369" i="2" s="1"/>
  <c r="M495" i="2"/>
  <c r="N496" i="2" s="1"/>
  <c r="M1501" i="2"/>
  <c r="N1502" i="2" s="1"/>
  <c r="M376" i="2"/>
  <c r="N377" i="2" s="1"/>
  <c r="M1380" i="2"/>
  <c r="N1381" i="2" s="1"/>
  <c r="M628" i="2"/>
  <c r="N629" i="2" s="1"/>
  <c r="M857" i="2"/>
  <c r="N858" i="2" s="1"/>
  <c r="M583" i="2"/>
  <c r="N584" i="2" s="1"/>
  <c r="M36" i="2"/>
  <c r="N37" i="2" s="1"/>
  <c r="M640" i="2"/>
  <c r="N641" i="2" s="1"/>
  <c r="M53" i="2"/>
  <c r="N54" i="2" s="1"/>
  <c r="M493" i="2"/>
  <c r="N494" i="2" s="1"/>
  <c r="M126" i="2"/>
  <c r="N127" i="2" s="1"/>
  <c r="M60" i="2"/>
  <c r="N61" i="2" s="1"/>
  <c r="M1026" i="2"/>
  <c r="N1027" i="2" s="1"/>
  <c r="M332" i="2"/>
  <c r="N333" i="2" s="1"/>
  <c r="M825" i="2"/>
  <c r="N826" i="2" s="1"/>
  <c r="M94" i="2"/>
  <c r="N95" i="2" s="1"/>
  <c r="M524" i="2"/>
  <c r="N525" i="2" s="1"/>
  <c r="M1003" i="2"/>
  <c r="N1004" i="2" s="1"/>
  <c r="M1190" i="2"/>
  <c r="N1191" i="2" s="1"/>
  <c r="M747" i="2"/>
  <c r="N748" i="2" s="1"/>
  <c r="M929" i="2"/>
  <c r="N930" i="2" s="1"/>
  <c r="M1505" i="2"/>
  <c r="N1506" i="2" s="1"/>
  <c r="M419" i="2"/>
  <c r="N420" i="2" s="1"/>
  <c r="M669" i="2"/>
  <c r="N670" i="2" s="1"/>
  <c r="M1377" i="2"/>
  <c r="N1378" i="2" s="1"/>
  <c r="M1304" i="2"/>
  <c r="N1305" i="2" s="1"/>
  <c r="M558" i="2"/>
  <c r="N559" i="2" s="1"/>
  <c r="M479" i="2"/>
  <c r="N480" i="2" s="1"/>
  <c r="M1426" i="2"/>
  <c r="N1427" i="2" s="1"/>
  <c r="M713" i="2"/>
  <c r="N714" i="2" s="1"/>
  <c r="M608" i="2"/>
  <c r="N609" i="2" s="1"/>
  <c r="M1024" i="2"/>
  <c r="N1025" i="2" s="1"/>
  <c r="M423" i="2"/>
  <c r="N424" i="2" s="1"/>
  <c r="M564" i="2"/>
  <c r="N565" i="2" s="1"/>
  <c r="M527" i="2"/>
  <c r="N528" i="2" s="1"/>
  <c r="M415" i="2"/>
  <c r="N416" i="2" s="1"/>
  <c r="M396" i="2"/>
  <c r="N397" i="2" s="1"/>
  <c r="M95" i="2"/>
  <c r="N96" i="2" s="1"/>
  <c r="M280" i="2"/>
  <c r="N281" i="2" s="1"/>
  <c r="M958" i="2"/>
  <c r="N959" i="2" s="1"/>
  <c r="M14" i="2"/>
  <c r="N15" i="2" s="1"/>
  <c r="M1056" i="2"/>
  <c r="N1057" i="2" s="1"/>
  <c r="M124" i="2"/>
  <c r="N125" i="2" s="1"/>
  <c r="M255" i="2"/>
  <c r="N256" i="2" s="1"/>
  <c r="M620" i="2"/>
  <c r="N621" i="2" s="1"/>
  <c r="M1149" i="2"/>
  <c r="N1150" i="2" s="1"/>
  <c r="M657" i="2"/>
  <c r="N658" i="2" s="1"/>
  <c r="M115" i="2"/>
  <c r="N116" i="2" s="1"/>
  <c r="M148" i="2"/>
  <c r="N149" i="2" s="1"/>
  <c r="M926" i="2"/>
  <c r="N927" i="2" s="1"/>
  <c r="M144" i="2"/>
  <c r="N145" i="2" s="1"/>
  <c r="M35" i="2"/>
  <c r="N36" i="2" s="1"/>
  <c r="M1305" i="2"/>
  <c r="N1306" i="2" s="1"/>
  <c r="M681" i="2"/>
  <c r="N682" i="2" s="1"/>
  <c r="M930" i="2"/>
  <c r="N931" i="2" s="1"/>
  <c r="M541" i="2"/>
  <c r="N542" i="2" s="1"/>
  <c r="M1357" i="2"/>
  <c r="N1358" i="2" s="1"/>
  <c r="M885" i="2"/>
  <c r="N886" i="2" s="1"/>
  <c r="M637" i="2"/>
  <c r="N638" i="2" s="1"/>
  <c r="M398" i="2"/>
  <c r="N399" i="2" s="1"/>
  <c r="M307" i="2"/>
  <c r="N308" i="2" s="1"/>
  <c r="M1121" i="2"/>
  <c r="N1122" i="2" s="1"/>
  <c r="M609" i="2"/>
  <c r="N610" i="2" s="1"/>
  <c r="M1489" i="2"/>
  <c r="N1490" i="2" s="1"/>
  <c r="M184" i="2"/>
  <c r="N185" i="2" s="1"/>
  <c r="M291" i="2"/>
  <c r="N292" i="2" s="1"/>
  <c r="M160" i="2"/>
  <c r="N161" i="2" s="1"/>
  <c r="M868" i="2"/>
  <c r="N869" i="2" s="1"/>
  <c r="M1392" i="2"/>
  <c r="N1393" i="2" s="1"/>
  <c r="M1405" i="2"/>
  <c r="N1406" i="2" s="1"/>
  <c r="M1065" i="2"/>
  <c r="N1066" i="2" s="1"/>
  <c r="M1145" i="2"/>
  <c r="N1146" i="2" s="1"/>
  <c r="M1196" i="2"/>
  <c r="N1197" i="2" s="1"/>
  <c r="M1484" i="2"/>
  <c r="N1485" i="2" s="1"/>
  <c r="M411" i="2"/>
  <c r="N412" i="2" s="1"/>
  <c r="M239" i="2"/>
  <c r="N240" i="2" s="1"/>
  <c r="M1097" i="2"/>
  <c r="N1098" i="2" s="1"/>
  <c r="M247" i="2"/>
  <c r="N248" i="2" s="1"/>
  <c r="M23" i="2"/>
  <c r="N24" i="2" s="1"/>
  <c r="M1093" i="2"/>
  <c r="N1094" i="2" s="1"/>
  <c r="M641" i="2"/>
  <c r="N642" i="2" s="1"/>
  <c r="M811" i="2"/>
  <c r="N812" i="2" s="1"/>
  <c r="M893" i="2"/>
  <c r="N894" i="2" s="1"/>
  <c r="M447" i="2"/>
  <c r="N448" i="2" s="1"/>
  <c r="M1038" i="2"/>
  <c r="N1039" i="2" s="1"/>
  <c r="M522" i="2"/>
  <c r="N523" i="2" s="1"/>
  <c r="M518" i="2"/>
  <c r="N519" i="2" s="1"/>
  <c r="M3" i="2"/>
  <c r="M561" i="2"/>
  <c r="N562" i="2" s="1"/>
  <c r="M1017" i="2"/>
  <c r="N1018" i="2" s="1"/>
  <c r="M1306" i="2"/>
  <c r="N1307" i="2" s="1"/>
  <c r="M267" i="2"/>
  <c r="N268" i="2" s="1"/>
  <c r="M1490" i="2"/>
  <c r="N1491" i="2" s="1"/>
  <c r="M339" i="2"/>
  <c r="N340" i="2" s="1"/>
  <c r="M886" i="2"/>
  <c r="N887" i="2" s="1"/>
  <c r="M980" i="2"/>
  <c r="N981" i="2" s="1"/>
  <c r="M158" i="2"/>
  <c r="N159" i="2" s="1"/>
  <c r="M1057" i="2"/>
  <c r="N1058" i="2" s="1"/>
  <c r="M589" i="2"/>
  <c r="N590" i="2" s="1"/>
  <c r="M424" i="2"/>
  <c r="N425" i="2" s="1"/>
  <c r="M1077" i="2"/>
  <c r="N1078" i="2" s="1"/>
  <c r="M249" i="2"/>
  <c r="N250" i="2" s="1"/>
  <c r="M1009" i="2"/>
  <c r="N1010" i="2" s="1"/>
  <c r="M510" i="2"/>
  <c r="N511" i="2" s="1"/>
  <c r="M1129" i="2"/>
  <c r="N1130" i="2" s="1"/>
  <c r="M850" i="2"/>
  <c r="N851" i="2" s="1"/>
  <c r="M1485" i="2"/>
  <c r="N1486" i="2" s="1"/>
  <c r="M614" i="2"/>
  <c r="N615" i="2" s="1"/>
  <c r="M441" i="2"/>
  <c r="N442" i="2" s="1"/>
  <c r="M359" i="2"/>
  <c r="N360" i="2" s="1"/>
  <c r="M1285" i="2"/>
  <c r="N1286" i="2" s="1"/>
  <c r="M1103" i="2"/>
  <c r="N1104" i="2" s="1"/>
  <c r="M202" i="2"/>
  <c r="N203" i="2" s="1"/>
  <c r="M557" i="2"/>
  <c r="N558" i="2" s="1"/>
  <c r="M220" i="2"/>
  <c r="N221" i="2" s="1"/>
  <c r="M1271" i="2"/>
  <c r="N1272" i="2" s="1"/>
  <c r="M538" i="2"/>
  <c r="N539" i="2" s="1"/>
  <c r="M821" i="2"/>
  <c r="N822" i="2" s="1"/>
  <c r="M949" i="2"/>
  <c r="N950" i="2" s="1"/>
  <c r="M61" i="2"/>
  <c r="N62" i="2" s="1"/>
  <c r="M921" i="2"/>
  <c r="N922" i="2" s="1"/>
  <c r="M704" i="2"/>
  <c r="N705" i="2" s="1"/>
  <c r="M264" i="2"/>
  <c r="N265" i="2" s="1"/>
  <c r="M1071" i="2"/>
  <c r="N1072" i="2" s="1"/>
  <c r="M1202" i="2"/>
  <c r="N1203" i="2" s="1"/>
  <c r="M523" i="2"/>
  <c r="N524" i="2" s="1"/>
  <c r="M64" i="2"/>
  <c r="N65" i="2" s="1"/>
  <c r="M1205" i="2"/>
  <c r="N1206" i="2" s="1"/>
  <c r="M1173" i="2"/>
  <c r="N1174" i="2" s="1"/>
  <c r="M725" i="2"/>
  <c r="N726" i="2" s="1"/>
  <c r="M1453" i="2"/>
  <c r="N1454" i="2" s="1"/>
  <c r="M1169" i="2"/>
  <c r="N1170" i="2" s="1"/>
  <c r="M116" i="2"/>
  <c r="N117" i="2" s="1"/>
  <c r="M211" i="2"/>
  <c r="N212" i="2" s="1"/>
  <c r="M1417" i="2"/>
  <c r="N1418" i="2" s="1"/>
  <c r="M100" i="2"/>
  <c r="N101" i="2" s="1"/>
  <c r="M1240" i="2"/>
  <c r="N1241" i="2" s="1"/>
  <c r="M25" i="2"/>
  <c r="N26" i="2" s="1"/>
  <c r="M831" i="2"/>
  <c r="N832" i="2" s="1"/>
  <c r="M1461" i="2"/>
  <c r="N1462" i="2" s="1"/>
  <c r="M1036" i="2"/>
  <c r="N1037" i="2" s="1"/>
  <c r="M945" i="2"/>
  <c r="N946" i="2" s="1"/>
  <c r="M672" i="2"/>
  <c r="N673" i="2" s="1"/>
  <c r="M837" i="2"/>
  <c r="N838" i="2" s="1"/>
  <c r="M1033" i="2"/>
  <c r="N1034" i="2" s="1"/>
  <c r="M1053" i="2"/>
  <c r="N1054" i="2" s="1"/>
  <c r="M693" i="2"/>
  <c r="N694" i="2" s="1"/>
  <c r="M1216" i="2"/>
  <c r="N1217" i="2" s="1"/>
  <c r="M754" i="2"/>
  <c r="N755" i="2" s="1"/>
  <c r="M399" i="2"/>
  <c r="N400" i="2" s="1"/>
  <c r="M1369" i="2"/>
  <c r="N1370" i="2" s="1"/>
  <c r="M139" i="2"/>
  <c r="N140" i="2" s="1"/>
  <c r="M1433" i="2"/>
  <c r="N1434" i="2" s="1"/>
  <c r="M917" i="2"/>
  <c r="N918" i="2" s="1"/>
  <c r="M689" i="2"/>
  <c r="N690" i="2" s="1"/>
  <c r="M1438" i="2"/>
  <c r="N1439" i="2" s="1"/>
  <c r="M375" i="2"/>
  <c r="N376" i="2" s="1"/>
  <c r="M1441" i="2"/>
  <c r="N1442" i="2" s="1"/>
  <c r="M1137" i="2"/>
  <c r="N1138" i="2" s="1"/>
  <c r="M1074" i="2"/>
  <c r="N1075" i="2" s="1"/>
  <c r="M650" i="2"/>
  <c r="N651" i="2" s="1"/>
  <c r="M467" i="2"/>
  <c r="N468" i="2" s="1"/>
  <c r="M68" i="2"/>
  <c r="N69" i="2" s="1"/>
  <c r="M1153" i="2"/>
  <c r="N1154" i="2" s="1"/>
  <c r="M565" i="2"/>
  <c r="N566" i="2" s="1"/>
  <c r="M4" i="2"/>
  <c r="N5" i="2" s="1"/>
  <c r="M17" i="2"/>
  <c r="N18" i="2" s="1"/>
  <c r="M772" i="2"/>
  <c r="N773" i="2" s="1"/>
  <c r="M1248" i="2"/>
  <c r="N1249" i="2" s="1"/>
  <c r="M890" i="2"/>
  <c r="N891" i="2" s="1"/>
  <c r="M684" i="2"/>
  <c r="N685" i="2" s="1"/>
  <c r="M103" i="2"/>
  <c r="N104" i="2" s="1"/>
  <c r="M1302" i="2"/>
  <c r="N1303" i="2" s="1"/>
  <c r="M283" i="2"/>
  <c r="N284" i="2" s="1"/>
  <c r="M1141" i="2"/>
  <c r="N1142" i="2" s="1"/>
  <c r="M710" i="2"/>
  <c r="N711" i="2" s="1"/>
  <c r="M163" i="2"/>
  <c r="N164" i="2" s="1"/>
  <c r="M1066" i="2"/>
  <c r="N1067" i="2" s="1"/>
  <c r="M765" i="2"/>
  <c r="N766" i="2" s="1"/>
  <c r="M1010" i="2"/>
  <c r="N1011" i="2" s="1"/>
  <c r="M1457" i="2"/>
  <c r="N1458" i="2" s="1"/>
  <c r="M9" i="2"/>
  <c r="N10" i="2" s="1"/>
  <c r="M647" i="2"/>
  <c r="N648" i="2" s="1"/>
  <c r="M1189" i="2"/>
  <c r="N1190" i="2" s="1"/>
  <c r="M913" i="2"/>
  <c r="N914" i="2" s="1"/>
  <c r="M1309" i="2"/>
  <c r="N1310" i="2" s="1"/>
  <c r="M773" i="2"/>
  <c r="N774" i="2" s="1"/>
  <c r="M1260" i="2"/>
  <c r="N1261" i="2" s="1"/>
  <c r="M691" i="2"/>
  <c r="N692" i="2" s="1"/>
  <c r="M863" i="2"/>
  <c r="N864" i="2" s="1"/>
  <c r="M757" i="2"/>
  <c r="N758" i="2" s="1"/>
  <c r="M610" i="2"/>
  <c r="N611" i="2" s="1"/>
  <c r="M1012" i="2"/>
  <c r="N1013" i="2" s="1"/>
  <c r="M355" i="2"/>
  <c r="N356" i="2" s="1"/>
  <c r="M1262" i="2"/>
  <c r="N1263" i="2" s="1"/>
  <c r="M1022" i="2"/>
  <c r="N1023" i="2" s="1"/>
  <c r="M1389" i="2"/>
  <c r="N1390" i="2" s="1"/>
  <c r="M797" i="2"/>
  <c r="N798" i="2" s="1"/>
  <c r="M581" i="2"/>
  <c r="N582" i="2" s="1"/>
  <c r="M10" i="2"/>
  <c r="N11" i="2" s="1"/>
  <c r="M464" i="2"/>
  <c r="N465" i="2" s="1"/>
  <c r="M333" i="2"/>
  <c r="N334" i="2" s="1"/>
  <c r="M1297" i="2"/>
  <c r="N1298" i="2" s="1"/>
  <c r="M1045" i="2"/>
  <c r="N1046" i="2" s="1"/>
  <c r="M1442" i="2"/>
  <c r="N1443" i="2" s="1"/>
  <c r="M769" i="2"/>
  <c r="N770" i="2" s="1"/>
  <c r="M336" i="2"/>
  <c r="N337" i="2" s="1"/>
  <c r="M16" i="2"/>
  <c r="N17" i="2" s="1"/>
  <c r="M942" i="2"/>
  <c r="N943" i="2" s="1"/>
  <c r="M42" i="2"/>
  <c r="N43" i="2" s="1"/>
  <c r="M1434" i="2"/>
  <c r="N1435" i="2" s="1"/>
  <c r="M482" i="2"/>
  <c r="N483" i="2" s="1"/>
  <c r="M149" i="2"/>
  <c r="N150" i="2" s="1"/>
  <c r="M1030" i="2"/>
  <c r="N1031" i="2" s="1"/>
  <c r="M974" i="2"/>
  <c r="N975" i="2" s="1"/>
  <c r="M1245" i="2"/>
  <c r="N1246" i="2" s="1"/>
  <c r="M1346" i="2"/>
  <c r="N1347" i="2" s="1"/>
  <c r="M511" i="2"/>
  <c r="N512" i="2" s="1"/>
  <c r="M1353" i="2"/>
  <c r="N1354" i="2" s="1"/>
  <c r="M805" i="2"/>
  <c r="N806" i="2" s="1"/>
  <c r="M188" i="2"/>
  <c r="N189" i="2" s="1"/>
  <c r="M1258" i="2"/>
  <c r="N1259" i="2" s="1"/>
  <c r="M790" i="2"/>
  <c r="N791" i="2" s="1"/>
  <c r="M1006" i="2"/>
  <c r="N1007" i="2" s="1"/>
  <c r="M1054" i="2"/>
  <c r="N1055" i="2" s="1"/>
  <c r="M1317" i="2"/>
  <c r="N1318" i="2" s="1"/>
  <c r="M455" i="2"/>
  <c r="N456" i="2" s="1"/>
  <c r="M217" i="2"/>
  <c r="N218" i="2" s="1"/>
  <c r="M638" i="2"/>
  <c r="N639" i="2" s="1"/>
  <c r="M1078" i="2"/>
  <c r="N1079" i="2" s="1"/>
  <c r="M31" i="2"/>
  <c r="N32" i="2" s="1"/>
  <c r="M1413" i="2"/>
  <c r="N1414" i="2" s="1"/>
  <c r="M468" i="2"/>
  <c r="N469" i="2" s="1"/>
  <c r="M120" i="2"/>
  <c r="N121" i="2" s="1"/>
  <c r="M175" i="2"/>
  <c r="N176" i="2" s="1"/>
  <c r="M268" i="2"/>
  <c r="N269" i="2" s="1"/>
  <c r="M1098" i="2"/>
  <c r="N1099" i="2" s="1"/>
  <c r="M838" i="2"/>
  <c r="N839" i="2" s="1"/>
  <c r="M692" i="2"/>
  <c r="N693" i="2" s="1"/>
  <c r="M323" i="2"/>
  <c r="N324" i="2" s="1"/>
  <c r="M1117" i="2"/>
  <c r="N1118" i="2" s="1"/>
  <c r="M1218" i="2"/>
  <c r="N1219" i="2" s="1"/>
  <c r="M504" i="2"/>
  <c r="N505" i="2" s="1"/>
  <c r="M785" i="2"/>
  <c r="N786" i="2" s="1"/>
  <c r="M1446" i="2"/>
  <c r="N1447" i="2" s="1"/>
  <c r="M1042" i="2"/>
  <c r="N1043" i="2" s="1"/>
  <c r="M237" i="2"/>
  <c r="N238" i="2" s="1"/>
  <c r="M13" i="2"/>
  <c r="N14" i="2" s="1"/>
  <c r="M499" i="2"/>
  <c r="N500" i="2" s="1"/>
  <c r="M231" i="2"/>
  <c r="N232" i="2" s="1"/>
  <c r="M1253" i="2"/>
  <c r="N1254" i="2" s="1"/>
  <c r="M934" i="2"/>
  <c r="N935" i="2" s="1"/>
  <c r="M933" i="2"/>
  <c r="N934" i="2" s="1"/>
  <c r="M400" i="2"/>
  <c r="N401" i="2" s="1"/>
  <c r="M1422" i="2"/>
  <c r="N1423" i="2" s="1"/>
  <c r="M1393" i="2"/>
  <c r="N1394" i="2" s="1"/>
  <c r="M749" i="2"/>
  <c r="N750" i="2" s="1"/>
  <c r="M553" i="2"/>
  <c r="N554" i="2" s="1"/>
  <c r="M898" i="2"/>
  <c r="N899" i="2" s="1"/>
  <c r="M1289" i="2"/>
  <c r="N1290" i="2" s="1"/>
  <c r="M1170" i="2"/>
  <c r="N1171" i="2" s="1"/>
  <c r="M461" i="2"/>
  <c r="N462" i="2" s="1"/>
  <c r="M1069" i="2"/>
  <c r="N1070" i="2" s="1"/>
  <c r="M1314" i="2"/>
  <c r="N1315" i="2" s="1"/>
  <c r="M530" i="2"/>
  <c r="N531" i="2" s="1"/>
  <c r="M117" i="2"/>
  <c r="N118" i="2" s="1"/>
  <c r="M711" i="2"/>
  <c r="N712" i="2" s="1"/>
  <c r="M168" i="2"/>
  <c r="N169" i="2" s="1"/>
  <c r="M902" i="2"/>
  <c r="N903" i="2" s="1"/>
  <c r="M1025" i="2"/>
  <c r="N1026" i="2" s="1"/>
  <c r="M47" i="2"/>
  <c r="N48" i="2" s="1"/>
  <c r="M1341" i="2"/>
  <c r="N1342" i="2" s="1"/>
  <c r="M1101" i="2"/>
  <c r="N1102" i="2" s="1"/>
  <c r="M793" i="2"/>
  <c r="N794" i="2" s="1"/>
  <c r="M577" i="2"/>
  <c r="N578" i="2" s="1"/>
  <c r="M156" i="2"/>
  <c r="N157" i="2" s="1"/>
  <c r="M1114" i="2"/>
  <c r="N1115" i="2" s="1"/>
  <c r="M714" i="2"/>
  <c r="N715" i="2" s="1"/>
  <c r="M182" i="2"/>
  <c r="N183" i="2" s="1"/>
  <c r="M746" i="2"/>
  <c r="N747" i="2" s="1"/>
  <c r="M207" i="2"/>
  <c r="N208" i="2" s="1"/>
  <c r="M1440" i="2"/>
  <c r="N1441" i="2" s="1"/>
  <c r="M549" i="2"/>
  <c r="N550" i="2" s="1"/>
  <c r="M293" i="2"/>
  <c r="N294" i="2" s="1"/>
  <c r="M922" i="2"/>
  <c r="N923" i="2" s="1"/>
  <c r="M214" i="2"/>
  <c r="N215" i="2" s="1"/>
  <c r="M515" i="2"/>
  <c r="N516" i="2" s="1"/>
  <c r="M670" i="2"/>
  <c r="N671" i="2" s="1"/>
  <c r="M315" i="2"/>
  <c r="N316" i="2" s="1"/>
  <c r="M368" i="2"/>
  <c r="N369" i="2" s="1"/>
  <c r="M32" i="2"/>
  <c r="N33" i="2" s="1"/>
  <c r="M1318" i="2"/>
  <c r="N1319" i="2" s="1"/>
  <c r="M853" i="2"/>
  <c r="N854" i="2" s="1"/>
  <c r="M1406" i="2"/>
  <c r="N1407" i="2" s="1"/>
  <c r="M1142" i="2"/>
  <c r="N1143" i="2" s="1"/>
  <c r="M938" i="2"/>
  <c r="N939" i="2" s="1"/>
  <c r="M674" i="2"/>
  <c r="N675" i="2" s="1"/>
  <c r="M471" i="2"/>
  <c r="N472" i="2" s="1"/>
  <c r="M235" i="2"/>
  <c r="N236" i="2" s="1"/>
  <c r="M1269" i="2"/>
  <c r="N1270" i="2" s="1"/>
  <c r="M1081" i="2"/>
  <c r="N1082" i="2" s="1"/>
  <c r="M84" i="2"/>
  <c r="N85" i="2" s="1"/>
  <c r="M1326" i="2"/>
  <c r="N1327" i="2" s="1"/>
  <c r="M432" i="2"/>
  <c r="N433" i="2" s="1"/>
  <c r="M409" i="2"/>
  <c r="N410" i="2" s="1"/>
  <c r="M435" i="2"/>
  <c r="N436" i="2" s="1"/>
  <c r="M653" i="2"/>
  <c r="N654" i="2" s="1"/>
  <c r="M316" i="2"/>
  <c r="N317" i="2" s="1"/>
  <c r="M56" i="2"/>
  <c r="N57" i="2" s="1"/>
  <c r="M1390" i="2"/>
  <c r="N1391" i="2" s="1"/>
  <c r="M327" i="2"/>
  <c r="N328" i="2" s="1"/>
  <c r="M87" i="2"/>
  <c r="N88" i="2" s="1"/>
  <c r="M989" i="2"/>
  <c r="N990" i="2" s="1"/>
  <c r="M717" i="2"/>
  <c r="N718" i="2" s="1"/>
  <c r="M1462" i="2"/>
  <c r="N1463" i="2" s="1"/>
  <c r="M1146" i="2"/>
  <c r="N1147" i="2" s="1"/>
  <c r="M602" i="2"/>
  <c r="N603" i="2" s="1"/>
  <c r="M185" i="2"/>
  <c r="N186" i="2" s="1"/>
  <c r="M1037" i="2"/>
  <c r="N1038" i="2" s="1"/>
  <c r="M136" i="2"/>
  <c r="N137" i="2" s="1"/>
  <c r="M854" i="2"/>
  <c r="N855" i="2" s="1"/>
  <c r="M1411" i="2"/>
  <c r="N1412" i="2" s="1"/>
  <c r="M1475" i="2"/>
  <c r="N1476" i="2" s="1"/>
  <c r="M1027" i="2"/>
  <c r="N1028" i="2" s="1"/>
  <c r="M106" i="2"/>
  <c r="N107" i="2" s="1"/>
  <c r="M829" i="2"/>
  <c r="N830" i="2" s="1"/>
  <c r="M1150" i="2"/>
  <c r="N1151" i="2" s="1"/>
  <c r="M1428" i="2"/>
  <c r="N1429" i="2" s="1"/>
  <c r="M429" i="2"/>
  <c r="N430" i="2" s="1"/>
  <c r="M85" i="2"/>
  <c r="N86" i="2" s="1"/>
  <c r="M1402" i="2"/>
  <c r="N1403" i="2" s="1"/>
  <c r="M802" i="2"/>
  <c r="N803" i="2" s="1"/>
  <c r="M582" i="2"/>
  <c r="N583" i="2" s="1"/>
  <c r="M927" i="2"/>
  <c r="N928" i="2" s="1"/>
  <c r="M505" i="2"/>
  <c r="N506" i="2" s="1"/>
  <c r="M881" i="2"/>
  <c r="N882" i="2" s="1"/>
  <c r="M834" i="2"/>
  <c r="N835" i="2" s="1"/>
  <c r="M179" i="2"/>
  <c r="N180" i="2" s="1"/>
  <c r="M1265" i="2"/>
  <c r="N1266" i="2" s="1"/>
  <c r="M1013" i="2"/>
  <c r="N1014" i="2" s="1"/>
  <c r="M761" i="2"/>
  <c r="N762" i="2" s="1"/>
  <c r="M545" i="2"/>
  <c r="N546" i="2" s="1"/>
  <c r="M1018" i="2"/>
  <c r="N1019" i="2" s="1"/>
  <c r="M658" i="2"/>
  <c r="N659" i="2" s="1"/>
  <c r="M1061" i="2"/>
  <c r="N1062" i="2" s="1"/>
  <c r="M1338" i="2"/>
  <c r="N1339" i="2" s="1"/>
  <c r="M1495" i="2"/>
  <c r="N1496" i="2" s="1"/>
  <c r="M1349" i="2"/>
  <c r="N1350" i="2" s="1"/>
  <c r="M260" i="2"/>
  <c r="N261" i="2" s="1"/>
  <c r="M29" i="2"/>
  <c r="N30" i="2" s="1"/>
  <c r="M104" i="2"/>
  <c r="N105" i="2" s="1"/>
  <c r="M846" i="2"/>
  <c r="N847" i="2" s="1"/>
  <c r="M191" i="2"/>
  <c r="N192" i="2" s="1"/>
  <c r="M27" i="2"/>
  <c r="N28" i="2" s="1"/>
  <c r="M910" i="2"/>
  <c r="N911" i="2" s="1"/>
  <c r="M909" i="2"/>
  <c r="N910" i="2" s="1"/>
  <c r="M1482" i="2"/>
  <c r="N1483" i="2" s="1"/>
  <c r="M303" i="2"/>
  <c r="N304" i="2" s="1"/>
  <c r="M452" i="2"/>
  <c r="N453" i="2" s="1"/>
  <c r="M841" i="2"/>
  <c r="N842" i="2" s="1"/>
  <c r="M1130" i="2"/>
  <c r="N1131" i="2" s="1"/>
  <c r="M906" i="2"/>
  <c r="N907" i="2" s="1"/>
  <c r="M733" i="2"/>
  <c r="N734" i="2" s="1"/>
  <c r="M288" i="2"/>
  <c r="N289" i="2" s="1"/>
  <c r="M1294" i="2"/>
  <c r="N1295" i="2" s="1"/>
  <c r="M586" i="2"/>
  <c r="N587" i="2" s="1"/>
  <c r="M403" i="2"/>
  <c r="N404" i="2" s="1"/>
  <c r="M1373" i="2"/>
  <c r="N1374" i="2" s="1"/>
  <c r="M295" i="2"/>
  <c r="N296" i="2" s="1"/>
  <c r="M1229" i="2"/>
  <c r="N1230" i="2" s="1"/>
  <c r="M977" i="2"/>
  <c r="N978" i="2" s="1"/>
  <c r="M705" i="2"/>
  <c r="N706" i="2" s="1"/>
  <c r="M196" i="2"/>
  <c r="N197" i="2" s="1"/>
  <c r="M1366" i="2"/>
  <c r="N1367" i="2" s="1"/>
  <c r="M1090" i="2"/>
  <c r="N1091" i="2" s="1"/>
  <c r="M798" i="2"/>
  <c r="N799" i="2" s="1"/>
  <c r="M570" i="2"/>
  <c r="N571" i="2" s="1"/>
  <c r="M161" i="2"/>
  <c r="N162" i="2" s="1"/>
  <c r="M1147" i="2"/>
  <c r="N1148" i="2" s="1"/>
  <c r="M331" i="2"/>
  <c r="N332" i="2" s="1"/>
  <c r="M993" i="2"/>
  <c r="N994" i="2" s="1"/>
  <c r="M1466" i="2"/>
  <c r="N1467" i="2" s="1"/>
  <c r="M959" i="2"/>
  <c r="N960" i="2" s="1"/>
  <c r="M1463" i="2"/>
  <c r="N1464" i="2" s="1"/>
  <c r="M995" i="2"/>
  <c r="N996" i="2" s="1"/>
  <c r="M679" i="2"/>
  <c r="N680" i="2" s="1"/>
  <c r="M171" i="2"/>
  <c r="N172" i="2" s="1"/>
  <c r="M677" i="2"/>
  <c r="N678" i="2" s="1"/>
  <c r="M1062" i="2"/>
  <c r="N1063" i="2" s="1"/>
  <c r="M502" i="2"/>
  <c r="N503" i="2" s="1"/>
  <c r="M1334" i="2"/>
  <c r="N1335" i="2" s="1"/>
  <c r="M223" i="2"/>
  <c r="N224" i="2" s="1"/>
  <c r="M817" i="2"/>
  <c r="N818" i="2" s="1"/>
  <c r="M1358" i="2"/>
  <c r="N1359" i="2" s="1"/>
  <c r="M726" i="2"/>
  <c r="N727" i="2" s="1"/>
  <c r="M895" i="2"/>
  <c r="N896" i="2" s="1"/>
  <c r="M459" i="2"/>
  <c r="N460" i="2" s="1"/>
  <c r="M697" i="2"/>
  <c r="N698" i="2" s="1"/>
  <c r="M770" i="2"/>
  <c r="N771" i="2" s="1"/>
  <c r="M383" i="2"/>
  <c r="N384" i="2" s="1"/>
  <c r="M159" i="2"/>
  <c r="N160" i="2" s="1"/>
  <c r="M1493" i="2"/>
  <c r="N1494" i="2" s="1"/>
  <c r="M1221" i="2"/>
  <c r="N1222" i="2" s="1"/>
  <c r="M741" i="2"/>
  <c r="N742" i="2" s="1"/>
  <c r="M328" i="2"/>
  <c r="N329" i="2" s="1"/>
  <c r="M1486" i="2"/>
  <c r="N1487" i="2" s="1"/>
  <c r="M986" i="2"/>
  <c r="N987" i="2" s="1"/>
  <c r="M594" i="2"/>
  <c r="N595" i="2" s="1"/>
  <c r="M420" i="2"/>
  <c r="N421" i="2" s="1"/>
  <c r="M1206" i="2"/>
  <c r="N1207" i="2" s="1"/>
  <c r="M542" i="2"/>
  <c r="N543" i="2" s="1"/>
  <c r="M422" i="2"/>
  <c r="N423" i="2" s="1"/>
  <c r="M377" i="2"/>
  <c r="N378" i="2" s="1"/>
  <c r="M371" i="2"/>
  <c r="N372" i="2" s="1"/>
  <c r="M1133" i="2"/>
  <c r="N1134" i="2" s="1"/>
  <c r="M869" i="2"/>
  <c r="N870" i="2" s="1"/>
  <c r="M621" i="2"/>
  <c r="N622" i="2" s="1"/>
  <c r="M240" i="2"/>
  <c r="N241" i="2" s="1"/>
  <c r="M24" i="2"/>
  <c r="N25" i="2" s="1"/>
  <c r="M251" i="2"/>
  <c r="N252" i="2" s="1"/>
  <c r="M953" i="2"/>
  <c r="N954" i="2" s="1"/>
  <c r="M617" i="2"/>
  <c r="N618" i="2" s="1"/>
  <c r="M164" i="2"/>
  <c r="N165" i="2" s="1"/>
  <c r="M1058" i="2"/>
  <c r="N1059" i="2" s="1"/>
  <c r="M766" i="2"/>
  <c r="N767" i="2" s="1"/>
  <c r="M472" i="2"/>
  <c r="N473" i="2" s="1"/>
  <c r="M129" i="2"/>
  <c r="N130" i="2" s="1"/>
  <c r="M450" i="2"/>
  <c r="N451" i="2" s="1"/>
  <c r="M299" i="2"/>
  <c r="N300" i="2" s="1"/>
  <c r="M1194" i="2"/>
  <c r="N1195" i="2" s="1"/>
  <c r="M281" i="2"/>
  <c r="N282" i="2" s="1"/>
  <c r="M983" i="2"/>
  <c r="N984" i="2" s="1"/>
  <c r="M71" i="2"/>
  <c r="N72" i="2" s="1"/>
  <c r="M914" i="2"/>
  <c r="N915" i="2" s="1"/>
  <c r="M954" i="2"/>
  <c r="N955" i="2" s="1"/>
  <c r="M5" i="2"/>
  <c r="N6" i="2" s="1"/>
  <c r="M127" i="2"/>
  <c r="N128" i="2" s="1"/>
  <c r="M645" i="2"/>
  <c r="N646" i="2" s="1"/>
  <c r="M1238" i="2"/>
  <c r="N1239" i="2" s="1"/>
  <c r="M535" i="2"/>
  <c r="N536" i="2" s="1"/>
  <c r="M118" i="2"/>
  <c r="N119" i="2" s="1"/>
  <c r="M203" i="2"/>
  <c r="N204" i="2" s="1"/>
  <c r="M665" i="2"/>
  <c r="N666" i="2" s="1"/>
  <c r="M682" i="2"/>
  <c r="N683" i="2" s="1"/>
  <c r="M147" i="2"/>
  <c r="N148" i="2" s="1"/>
  <c r="M1449" i="2"/>
  <c r="N1450" i="2" s="1"/>
  <c r="M1209" i="2"/>
  <c r="N1210" i="2" s="1"/>
  <c r="M969" i="2"/>
  <c r="N970" i="2" s="1"/>
  <c r="M729" i="2"/>
  <c r="N730" i="2" s="1"/>
  <c r="M296" i="2"/>
  <c r="N297" i="2" s="1"/>
  <c r="M1454" i="2"/>
  <c r="N1455" i="2" s="1"/>
  <c r="M966" i="2"/>
  <c r="N967" i="2" s="1"/>
  <c r="M562" i="2"/>
  <c r="N563" i="2" s="1"/>
  <c r="M444" i="2"/>
  <c r="N445" i="2" s="1"/>
  <c r="M484" i="2"/>
  <c r="N485" i="2" s="1"/>
  <c r="M1420" i="2"/>
  <c r="N1421" i="2" s="1"/>
  <c r="M271" i="2"/>
  <c r="N272" i="2" s="1"/>
  <c r="M1293" i="2"/>
  <c r="N1294" i="2" s="1"/>
  <c r="M661" i="2"/>
  <c r="N662" i="2" s="1"/>
  <c r="M75" i="2"/>
  <c r="N76" i="2" s="1"/>
  <c r="M140" i="2"/>
  <c r="N141" i="2" s="1"/>
  <c r="M950" i="2"/>
  <c r="N951" i="2" s="1"/>
  <c r="M412" i="2"/>
  <c r="N413" i="2" s="1"/>
  <c r="M1281" i="2"/>
  <c r="N1282" i="2" s="1"/>
  <c r="M630" i="2"/>
  <c r="N631" i="2" s="1"/>
  <c r="M407" i="2"/>
  <c r="N408" i="2" s="1"/>
  <c r="M51" i="2"/>
  <c r="N52" i="2" s="1"/>
  <c r="M721" i="2"/>
  <c r="N722" i="2" s="1"/>
  <c r="M475" i="2"/>
  <c r="N476" i="2" s="1"/>
  <c r="M1477" i="2"/>
  <c r="N1478" i="2" s="1"/>
  <c r="M1273" i="2"/>
  <c r="N1274" i="2" s="1"/>
  <c r="M874" i="2"/>
  <c r="N875" i="2" s="1"/>
  <c r="M227" i="2"/>
  <c r="N228" i="2" s="1"/>
  <c r="M1181" i="2"/>
  <c r="N1182" i="2" s="1"/>
  <c r="M573" i="2"/>
  <c r="N574" i="2" s="1"/>
  <c r="M356" i="2"/>
  <c r="N357" i="2" s="1"/>
  <c r="M108" i="2"/>
  <c r="N109" i="2" s="1"/>
  <c r="M918" i="2"/>
  <c r="N919" i="2" s="1"/>
  <c r="M380" i="2"/>
  <c r="N381" i="2" s="1"/>
  <c r="M1225" i="2"/>
  <c r="N1226" i="2" s="1"/>
  <c r="M937" i="2"/>
  <c r="N938" i="2" s="1"/>
  <c r="M701" i="2"/>
  <c r="N702" i="2" s="1"/>
  <c r="M344" i="2"/>
  <c r="N345" i="2" s="1"/>
  <c r="M96" i="2"/>
  <c r="N97" i="2" s="1"/>
  <c r="M1350" i="2"/>
  <c r="N1351" i="2" s="1"/>
  <c r="M1086" i="2"/>
  <c r="N1087" i="2" s="1"/>
  <c r="M39" i="2"/>
  <c r="N40" i="2" s="1"/>
  <c r="M961" i="2"/>
  <c r="N962" i="2" s="1"/>
  <c r="M613" i="2"/>
  <c r="N614" i="2" s="1"/>
  <c r="M1506" i="2"/>
  <c r="N1507" i="2" s="1"/>
  <c r="M1174" i="2"/>
  <c r="N1175" i="2" s="1"/>
  <c r="M814" i="2"/>
  <c r="N815" i="2" s="1"/>
  <c r="M365" i="2"/>
  <c r="N366" i="2" s="1"/>
  <c r="M1329" i="2"/>
  <c r="N1330" i="2" s="1"/>
  <c r="M426" i="2"/>
  <c r="N427" i="2" s="1"/>
  <c r="M208" i="2"/>
  <c r="N209" i="2" s="1"/>
  <c r="M8" i="2"/>
  <c r="N9" i="2" s="1"/>
  <c r="M487" i="2"/>
  <c r="N488" i="2" s="1"/>
  <c r="M43" i="2"/>
  <c r="N44" i="2" s="1"/>
  <c r="M597" i="2"/>
  <c r="N598" i="2" s="1"/>
  <c r="M436" i="2"/>
  <c r="N437" i="2" s="1"/>
  <c r="M132" i="2"/>
  <c r="N133" i="2" s="1"/>
  <c r="M722" i="2"/>
  <c r="N723" i="2" s="1"/>
  <c r="M91" i="2"/>
  <c r="N92" i="2" s="1"/>
  <c r="M861" i="2"/>
  <c r="N862" i="2" s="1"/>
  <c r="M998" i="2"/>
  <c r="N999" i="2" s="1"/>
  <c r="M261" i="2"/>
  <c r="N262" i="2" s="1"/>
  <c r="M875" i="2"/>
  <c r="N876" i="2" s="1"/>
  <c r="M1473" i="2"/>
  <c r="N1474" i="2" s="1"/>
  <c r="M200" i="2"/>
  <c r="N201" i="2" s="1"/>
  <c r="M694" i="2"/>
  <c r="N695" i="2" s="1"/>
  <c r="M321" i="2"/>
  <c r="N322" i="2" s="1"/>
  <c r="M778" i="2"/>
  <c r="N779" i="2" s="1"/>
  <c r="M313" i="2"/>
  <c r="N314" i="2" s="1"/>
  <c r="M388" i="2"/>
  <c r="N389" i="2" s="1"/>
  <c r="M1182" i="2"/>
  <c r="N1183" i="2" s="1"/>
  <c r="M584" i="2"/>
  <c r="N585" i="2" s="1"/>
  <c r="M508" i="2"/>
  <c r="N509" i="2" s="1"/>
  <c r="M1452" i="2"/>
  <c r="N1453" i="2" s="1"/>
  <c r="M11" i="2"/>
  <c r="M1177" i="2"/>
  <c r="N1178" i="2" s="1"/>
  <c r="M957" i="2"/>
  <c r="N958" i="2" s="1"/>
  <c r="M709" i="2"/>
  <c r="N710" i="2" s="1"/>
  <c r="M252" i="2"/>
  <c r="N253" i="2" s="1"/>
  <c r="M1370" i="2"/>
  <c r="N1371" i="2" s="1"/>
  <c r="M878" i="2"/>
  <c r="N879" i="2" s="1"/>
  <c r="M550" i="2"/>
  <c r="N551" i="2" s="1"/>
  <c r="M1391" i="2"/>
  <c r="N1392" i="2" s="1"/>
  <c r="M1378" i="2"/>
  <c r="N1379" i="2" s="1"/>
  <c r="M1106" i="2" l="1"/>
  <c r="N1107" i="2" s="1"/>
  <c r="M1109" i="2"/>
  <c r="N1110" i="2" s="1"/>
  <c r="M1110" i="2"/>
  <c r="N1111" i="2" s="1"/>
  <c r="M1105" i="2"/>
  <c r="N1106" i="2" s="1"/>
  <c r="M1108" i="2"/>
  <c r="N1109" i="2" s="1"/>
  <c r="M1113" i="2"/>
  <c r="N1114" i="2" s="1"/>
  <c r="M1107" i="2"/>
  <c r="N1108" i="2" s="1"/>
  <c r="M1156" i="2"/>
  <c r="N1157" i="2" s="1"/>
  <c r="M1111" i="2"/>
  <c r="N1112" i="2" s="1"/>
  <c r="N12" i="2"/>
  <c r="N4" i="2"/>
  <c r="M1157" i="2" l="1"/>
  <c r="N1158" i="2" l="1"/>
  <c r="M1158" i="2"/>
  <c r="N1159" i="2" s="1"/>
  <c r="M1159" i="2" l="1"/>
  <c r="N1160" i="2" l="1"/>
  <c r="M1160" i="2"/>
  <c r="N1161" i="2" s="1"/>
  <c r="M1161" i="2" l="1"/>
  <c r="N1162" i="2" l="1"/>
  <c r="M1162" i="2"/>
  <c r="N1163" i="2" s="1"/>
  <c r="M1163" i="2"/>
  <c r="N1164" i="2" s="1"/>
  <c r="U3" i="2" l="1"/>
  <c r="U6" i="2" s="1"/>
  <c r="U8" i="2" s="1"/>
  <c r="U11" i="2" s="1"/>
</calcChain>
</file>

<file path=xl/connections.xml><?xml version="1.0" encoding="utf-8"?>
<connections xmlns="http://schemas.openxmlformats.org/spreadsheetml/2006/main">
  <connection id="1" name="@KC 5yr Daily" type="6" refreshedVersion="5" background="1" saveData="1">
    <textPr codePage="437" sourceFile="D:\Users\Mark\SkyDrive\Documents\Trading\Data\Test Data\@KC 5yr Daily.txt" tab="0" comma="1">
      <textFields count="8">
        <textField type="MDY"/>
        <textField/>
        <textField/>
        <textField/>
        <textField/>
        <textField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<sst xmlns="http://schemas.openxmlformats.org/spreadsheetml/2006/main" count="32" uniqueCount="32">
  <si>
    <t>Date</t>
  </si>
  <si>
    <t>Time</t>
  </si>
  <si>
    <t>Open</t>
  </si>
  <si>
    <t>High</t>
  </si>
  <si>
    <t>Low</t>
  </si>
  <si>
    <t>Close</t>
  </si>
  <si>
    <t>Fast</t>
  </si>
  <si>
    <t>Slow</t>
  </si>
  <si>
    <t>s</t>
  </si>
  <si>
    <t>posChg</t>
  </si>
  <si>
    <t>lastEntry</t>
  </si>
  <si>
    <t>P&amp;L</t>
  </si>
  <si>
    <t>Close diff</t>
  </si>
  <si>
    <t>Profit (Loss)</t>
  </si>
  <si>
    <t>Open Equity</t>
  </si>
  <si>
    <t>$ diff</t>
  </si>
  <si>
    <t># Trades</t>
  </si>
  <si>
    <t>Commission</t>
  </si>
  <si>
    <t>Net Comm</t>
  </si>
  <si>
    <t>Net P&amp;L</t>
  </si>
  <si>
    <t>Net Value</t>
  </si>
  <si>
    <t>NOTES</t>
  </si>
  <si>
    <t>In the event the 2 moving averages are equal</t>
  </si>
  <si>
    <t>the signal is set to reverse</t>
  </si>
  <si>
    <t>This is primarily for testing purposes and can be</t>
  </si>
  <si>
    <t>addressed in the signal generation.</t>
  </si>
  <si>
    <t>Matlab 'movavg' has a calculation anomoly</t>
  </si>
  <si>
    <t>where average are not equal when the calculations</t>
  </si>
  <si>
    <t>are the same.  This is believed to be from</t>
  </si>
  <si>
    <t>the weighting component.</t>
  </si>
  <si>
    <t>Running $</t>
  </si>
  <si>
    <t>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</si>
</sst>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right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@KC 5yr Daily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11"/>
  <sheetViews>
    <sheetView topLeftCell="A25" workbookViewId="0">
      <selection activeCell="N2" sqref="N2"/>
    </sheetView>
  </sheetViews>
  <sheetFormatPr defaultRowHeight="15" x14ac:dyDescent="0.25"/>
  <cols>
    <col min="1" max="1" width="10.5703125" bestFit="1" customWidth="1"/>
    <col min="2" max="2" width="5.5703125" bestFit="1" customWidth="1"/>
    <col min="3" max="6" width="7" style="3" bestFit="1" customWidth="1"/>
    <col min="8" max="8" width="8.85546875" style="6"/>
    <col min="9" max="9" width="8.85546875" style="8"/>
    <col min="10" max="10" width="8.85546875" style="6"/>
    <col min="11" max="13" width="8.85546875" style="7"/>
  </cols>
  <sheetData>
    <row r="1" spans="1:13" x14ac:dyDescent="0.25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13" x14ac:dyDescent="0.25">
      <c r="A2" s="1">
        <v>39085</v>
      </c>
      <c r="B2" s="2">
        <v>0.58333333333333337</v>
      </c>
      <c r="C2" s="3">
        <v>203.95</v>
      </c>
      <c r="D2" s="3">
        <v>205.45</v>
      </c>
      <c r="E2" s="3">
        <v>201.95</v>
      </c>
      <c r="F2" s="3">
        <v>203.15</v>
      </c>
      <c r="M2" s="6"/>
    </row>
    <row r="3" spans="1:13" x14ac:dyDescent="0.25">
      <c r="A3" s="1">
        <v>39086</v>
      </c>
      <c r="B3" s="2">
        <v>0.58333333333333337</v>
      </c>
      <c r="C3" s="3">
        <v>203.35</v>
      </c>
      <c r="D3" s="3">
        <v>204.8</v>
      </c>
      <c r="E3" s="3">
        <v>202.15</v>
      </c>
      <c r="F3" s="3">
        <v>204.55</v>
      </c>
    </row>
    <row r="4" spans="1:13" x14ac:dyDescent="0.25">
      <c r="A4" s="1">
        <v>39087</v>
      </c>
      <c r="B4" s="2">
        <v>0.58333333333333337</v>
      </c>
      <c r="C4" s="3">
        <v>202.8</v>
      </c>
      <c r="D4" s="3">
        <v>203.55</v>
      </c>
      <c r="E4" s="3">
        <v>199.15</v>
      </c>
      <c r="F4" s="3">
        <v>200</v>
      </c>
    </row>
    <row r="5" spans="1:13" x14ac:dyDescent="0.25">
      <c r="A5" s="1">
        <v>39090</v>
      </c>
      <c r="B5" s="2">
        <v>0.58333333333333337</v>
      </c>
      <c r="C5" s="3">
        <v>199.8</v>
      </c>
      <c r="D5" s="3">
        <v>200.45</v>
      </c>
      <c r="E5" s="3">
        <v>198.75</v>
      </c>
      <c r="F5" s="3">
        <v>199.65</v>
      </c>
    </row>
    <row r="6" spans="1:13" x14ac:dyDescent="0.25">
      <c r="A6" s="1">
        <v>39091</v>
      </c>
      <c r="B6" s="2">
        <v>0.58333333333333337</v>
      </c>
      <c r="C6" s="3">
        <v>198.95</v>
      </c>
      <c r="D6" s="3">
        <v>199.55</v>
      </c>
      <c r="E6" s="3">
        <v>197.55</v>
      </c>
      <c r="F6" s="3">
        <v>197.95</v>
      </c>
    </row>
    <row r="7" spans="1:13" x14ac:dyDescent="0.25">
      <c r="A7" s="1">
        <v>39092</v>
      </c>
      <c r="B7" s="2">
        <v>0.58333333333333337</v>
      </c>
      <c r="C7" s="3">
        <v>197.65</v>
      </c>
      <c r="D7" s="3">
        <v>200.95</v>
      </c>
      <c r="E7" s="3">
        <v>197.65</v>
      </c>
      <c r="F7" s="3">
        <v>200.3</v>
      </c>
    </row>
    <row r="8" spans="1:13" x14ac:dyDescent="0.25">
      <c r="A8" s="1">
        <v>39093</v>
      </c>
      <c r="B8" s="2">
        <v>0.58333333333333337</v>
      </c>
      <c r="C8" s="3">
        <v>199.8</v>
      </c>
      <c r="D8" s="3">
        <v>201.3</v>
      </c>
      <c r="E8" s="3">
        <v>199.35</v>
      </c>
      <c r="F8" s="3">
        <v>200.2</v>
      </c>
    </row>
    <row r="9" spans="1:13" x14ac:dyDescent="0.25">
      <c r="A9" s="1">
        <v>39094</v>
      </c>
      <c r="B9" s="2">
        <v>0.58333333333333337</v>
      </c>
      <c r="C9" s="3">
        <v>199.05</v>
      </c>
      <c r="D9" s="3">
        <v>200.05</v>
      </c>
      <c r="E9" s="3">
        <v>199.05</v>
      </c>
      <c r="F9" s="3">
        <v>199.85</v>
      </c>
    </row>
    <row r="10" spans="1:13" x14ac:dyDescent="0.25">
      <c r="A10" s="1">
        <v>39098</v>
      </c>
      <c r="B10" s="2">
        <v>0.58333333333333337</v>
      </c>
      <c r="C10" s="3">
        <v>200.15</v>
      </c>
      <c r="D10" s="3">
        <v>201.75</v>
      </c>
      <c r="E10" s="3">
        <v>199.65</v>
      </c>
      <c r="F10" s="3">
        <v>201.2</v>
      </c>
    </row>
    <row r="11" spans="1:13" x14ac:dyDescent="0.25">
      <c r="A11" s="1">
        <v>39099</v>
      </c>
      <c r="B11" s="2">
        <v>0.58333333333333337</v>
      </c>
      <c r="C11" s="3">
        <v>200.05</v>
      </c>
      <c r="D11" s="3">
        <v>201.3</v>
      </c>
      <c r="E11" s="3">
        <v>198.85</v>
      </c>
      <c r="F11" s="3">
        <v>201.15</v>
      </c>
    </row>
    <row r="12" spans="1:13" x14ac:dyDescent="0.25">
      <c r="A12" s="1">
        <v>39100</v>
      </c>
      <c r="B12" s="2">
        <v>0.58333333333333337</v>
      </c>
      <c r="C12" s="3">
        <v>200.65</v>
      </c>
      <c r="D12" s="3">
        <v>201.15</v>
      </c>
      <c r="E12" s="3">
        <v>199.15</v>
      </c>
      <c r="F12" s="3">
        <v>199.3</v>
      </c>
    </row>
    <row r="13" spans="1:13" x14ac:dyDescent="0.25">
      <c r="A13" s="1">
        <v>39101</v>
      </c>
      <c r="B13" s="2">
        <v>0.58333333333333337</v>
      </c>
      <c r="C13" s="3">
        <v>198.8</v>
      </c>
      <c r="D13" s="3">
        <v>200.05</v>
      </c>
      <c r="E13" s="3">
        <v>198.8</v>
      </c>
      <c r="F13" s="3">
        <v>199.25</v>
      </c>
    </row>
    <row r="14" spans="1:13" x14ac:dyDescent="0.25">
      <c r="A14" s="1">
        <v>39104</v>
      </c>
      <c r="B14" s="2">
        <v>0.58333333333333337</v>
      </c>
      <c r="C14" s="3">
        <v>198.65</v>
      </c>
      <c r="D14" s="3">
        <v>199.15</v>
      </c>
      <c r="E14" s="3">
        <v>196.35</v>
      </c>
      <c r="F14" s="3">
        <v>196.9</v>
      </c>
    </row>
    <row r="15" spans="1:13" x14ac:dyDescent="0.25">
      <c r="A15" s="1">
        <v>39105</v>
      </c>
      <c r="B15" s="2">
        <v>0.58333333333333337</v>
      </c>
      <c r="C15" s="3">
        <v>196.45</v>
      </c>
      <c r="D15" s="3">
        <v>196.8</v>
      </c>
      <c r="E15" s="3">
        <v>194.9</v>
      </c>
      <c r="F15" s="3">
        <v>195.2</v>
      </c>
    </row>
    <row r="16" spans="1:13" x14ac:dyDescent="0.25">
      <c r="A16" s="1">
        <v>39106</v>
      </c>
      <c r="B16" s="2">
        <v>0.58333333333333337</v>
      </c>
      <c r="C16" s="3">
        <v>194.85</v>
      </c>
      <c r="D16" s="3">
        <v>196.85</v>
      </c>
      <c r="E16" s="3">
        <v>194.85</v>
      </c>
      <c r="F16" s="3">
        <v>196.5</v>
      </c>
    </row>
    <row r="17" spans="1:6" x14ac:dyDescent="0.25">
      <c r="A17" s="1">
        <v>39107</v>
      </c>
      <c r="B17" s="2">
        <v>0.58333333333333337</v>
      </c>
      <c r="C17" s="3">
        <v>196.05</v>
      </c>
      <c r="D17" s="3">
        <v>196.55</v>
      </c>
      <c r="E17" s="3">
        <v>195.45</v>
      </c>
      <c r="F17" s="3">
        <v>195.55</v>
      </c>
    </row>
    <row r="18" spans="1:6" x14ac:dyDescent="0.25">
      <c r="A18" s="1">
        <v>39108</v>
      </c>
      <c r="B18" s="2">
        <v>0.58333333333333337</v>
      </c>
      <c r="C18" s="3">
        <v>195.25</v>
      </c>
      <c r="D18" s="3">
        <v>196.15</v>
      </c>
      <c r="E18" s="3">
        <v>194.95</v>
      </c>
      <c r="F18" s="3">
        <v>195.85</v>
      </c>
    </row>
    <row r="19" spans="1:6" x14ac:dyDescent="0.25">
      <c r="A19" s="1">
        <v>39111</v>
      </c>
      <c r="B19" s="2">
        <v>0.58333333333333337</v>
      </c>
      <c r="C19" s="3">
        <v>195.55</v>
      </c>
      <c r="D19" s="3">
        <v>197.25</v>
      </c>
      <c r="E19" s="3">
        <v>195.35</v>
      </c>
      <c r="F19" s="3">
        <v>196.15</v>
      </c>
    </row>
    <row r="20" spans="1:6" x14ac:dyDescent="0.25">
      <c r="A20" s="1">
        <v>39112</v>
      </c>
      <c r="B20" s="2">
        <v>0.58333333333333337</v>
      </c>
      <c r="C20" s="3">
        <v>195.55</v>
      </c>
      <c r="D20" s="3">
        <v>196.65</v>
      </c>
      <c r="E20" s="3">
        <v>195.35</v>
      </c>
      <c r="F20" s="3">
        <v>196.1</v>
      </c>
    </row>
    <row r="21" spans="1:6" x14ac:dyDescent="0.25">
      <c r="A21" s="1">
        <v>39113</v>
      </c>
      <c r="B21" s="2">
        <v>0.58333333333333337</v>
      </c>
      <c r="C21" s="3">
        <v>196.7</v>
      </c>
      <c r="D21" s="3">
        <v>197.85</v>
      </c>
      <c r="E21" s="3">
        <v>196.3</v>
      </c>
      <c r="F21" s="3">
        <v>197.2</v>
      </c>
    </row>
    <row r="22" spans="1:6" x14ac:dyDescent="0.25">
      <c r="A22" s="1">
        <v>39114</v>
      </c>
      <c r="B22" s="2">
        <v>0.58333333333333337</v>
      </c>
      <c r="C22" s="3">
        <v>197.85</v>
      </c>
      <c r="D22" s="3">
        <v>198.85</v>
      </c>
      <c r="E22" s="3">
        <v>197.35</v>
      </c>
      <c r="F22" s="3">
        <v>198.3</v>
      </c>
    </row>
    <row r="23" spans="1:6" x14ac:dyDescent="0.25">
      <c r="A23" s="1">
        <v>39115</v>
      </c>
      <c r="B23" s="2">
        <v>0.58333333333333337</v>
      </c>
      <c r="C23" s="3">
        <v>198.95</v>
      </c>
      <c r="D23" s="3">
        <v>198.95</v>
      </c>
      <c r="E23" s="3">
        <v>197.3</v>
      </c>
      <c r="F23" s="3">
        <v>197.8</v>
      </c>
    </row>
    <row r="24" spans="1:6" x14ac:dyDescent="0.25">
      <c r="A24" s="1">
        <v>39118</v>
      </c>
      <c r="B24" s="2">
        <v>0.58333333333333337</v>
      </c>
      <c r="C24" s="3">
        <v>197.85</v>
      </c>
      <c r="D24" s="3">
        <v>197.9</v>
      </c>
      <c r="E24" s="3">
        <v>195.65</v>
      </c>
      <c r="F24" s="3">
        <v>196.25</v>
      </c>
    </row>
    <row r="25" spans="1:6" x14ac:dyDescent="0.25">
      <c r="A25" s="1">
        <v>39119</v>
      </c>
      <c r="B25" s="2">
        <v>0.58333333333333337</v>
      </c>
      <c r="C25" s="3">
        <v>196.55</v>
      </c>
      <c r="D25" s="3">
        <v>196.8</v>
      </c>
      <c r="E25" s="3">
        <v>195.8</v>
      </c>
      <c r="F25" s="3">
        <v>196.05</v>
      </c>
    </row>
    <row r="26" spans="1:6" x14ac:dyDescent="0.25">
      <c r="A26" s="1">
        <v>39120</v>
      </c>
      <c r="B26" s="2">
        <v>0.58333333333333337</v>
      </c>
      <c r="C26" s="3">
        <v>195.95</v>
      </c>
      <c r="D26" s="3">
        <v>197.55</v>
      </c>
      <c r="E26" s="3">
        <v>195.85</v>
      </c>
      <c r="F26" s="3">
        <v>196.35</v>
      </c>
    </row>
    <row r="27" spans="1:6" x14ac:dyDescent="0.25">
      <c r="A27" s="1">
        <v>39121</v>
      </c>
      <c r="B27" s="2">
        <v>0.58333333333333337</v>
      </c>
      <c r="C27" s="3">
        <v>196.55</v>
      </c>
      <c r="D27" s="3">
        <v>196.55</v>
      </c>
      <c r="E27" s="3">
        <v>195.05</v>
      </c>
      <c r="F27" s="3">
        <v>195.05</v>
      </c>
    </row>
    <row r="28" spans="1:6" x14ac:dyDescent="0.25">
      <c r="A28" s="1">
        <v>39122</v>
      </c>
      <c r="B28" s="2">
        <v>0.58333333333333337</v>
      </c>
      <c r="C28" s="3">
        <v>192.2</v>
      </c>
      <c r="D28" s="3">
        <v>192.4</v>
      </c>
      <c r="E28" s="3">
        <v>191.1</v>
      </c>
      <c r="F28" s="3">
        <v>191.2</v>
      </c>
    </row>
    <row r="29" spans="1:6" x14ac:dyDescent="0.25">
      <c r="A29" s="1">
        <v>39125</v>
      </c>
      <c r="B29" s="2">
        <v>0.58333333333333337</v>
      </c>
      <c r="C29" s="3">
        <v>194.1</v>
      </c>
      <c r="D29" s="3">
        <v>194.3</v>
      </c>
      <c r="E29" s="3">
        <v>193.25</v>
      </c>
      <c r="F29" s="3">
        <v>193.45</v>
      </c>
    </row>
    <row r="30" spans="1:6" x14ac:dyDescent="0.25">
      <c r="A30" s="1">
        <v>39126</v>
      </c>
      <c r="B30" s="2">
        <v>0.58333333333333337</v>
      </c>
      <c r="C30" s="3">
        <v>193</v>
      </c>
      <c r="D30" s="3">
        <v>193.7</v>
      </c>
      <c r="E30" s="3">
        <v>192.4</v>
      </c>
      <c r="F30" s="3">
        <v>193.1</v>
      </c>
    </row>
    <row r="31" spans="1:6" x14ac:dyDescent="0.25">
      <c r="A31" s="1">
        <v>39127</v>
      </c>
      <c r="B31" s="2">
        <v>0.58333333333333337</v>
      </c>
      <c r="C31" s="3">
        <v>193.9</v>
      </c>
      <c r="D31" s="3">
        <v>194.25</v>
      </c>
      <c r="E31" s="3">
        <v>193.1</v>
      </c>
      <c r="F31" s="3">
        <v>193.2</v>
      </c>
    </row>
    <row r="32" spans="1:6" x14ac:dyDescent="0.25">
      <c r="A32" s="1">
        <v>39128</v>
      </c>
      <c r="B32" s="2">
        <v>0.58333333333333337</v>
      </c>
      <c r="C32" s="3">
        <v>193.65</v>
      </c>
      <c r="D32" s="3">
        <v>194.7</v>
      </c>
      <c r="E32" s="3">
        <v>193.65</v>
      </c>
      <c r="F32" s="3">
        <v>194.35</v>
      </c>
    </row>
    <row r="33" spans="1:6" x14ac:dyDescent="0.25">
      <c r="A33" s="1">
        <v>39129</v>
      </c>
      <c r="B33" s="2">
        <v>0.58333333333333337</v>
      </c>
      <c r="C33" s="3">
        <v>192.9</v>
      </c>
      <c r="D33" s="3">
        <v>193.8</v>
      </c>
      <c r="E33" s="3">
        <v>192.3</v>
      </c>
      <c r="F33" s="3">
        <v>192.5</v>
      </c>
    </row>
    <row r="34" spans="1:6" x14ac:dyDescent="0.25">
      <c r="A34" s="1">
        <v>39133</v>
      </c>
      <c r="B34" s="2">
        <v>0.58333333333333337</v>
      </c>
      <c r="C34" s="3">
        <v>192.1</v>
      </c>
      <c r="D34" s="3">
        <v>192.85</v>
      </c>
      <c r="E34" s="3">
        <v>191.6</v>
      </c>
      <c r="F34" s="3">
        <v>191.7</v>
      </c>
    </row>
    <row r="35" spans="1:6" x14ac:dyDescent="0.25">
      <c r="A35" s="1">
        <v>39134</v>
      </c>
      <c r="B35" s="2">
        <v>0.58333333333333337</v>
      </c>
      <c r="C35" s="3">
        <v>191.6</v>
      </c>
      <c r="D35" s="3">
        <v>193.8</v>
      </c>
      <c r="E35" s="3">
        <v>190.8</v>
      </c>
      <c r="F35" s="3">
        <v>192.6</v>
      </c>
    </row>
    <row r="36" spans="1:6" x14ac:dyDescent="0.25">
      <c r="A36" s="1">
        <v>39135</v>
      </c>
      <c r="B36" s="2">
        <v>0.58333333333333337</v>
      </c>
      <c r="C36" s="3">
        <v>193.2</v>
      </c>
      <c r="D36" s="3">
        <v>197.5</v>
      </c>
      <c r="E36" s="3">
        <v>192.55</v>
      </c>
      <c r="F36" s="3">
        <v>196.6</v>
      </c>
    </row>
    <row r="37" spans="1:6" x14ac:dyDescent="0.25">
      <c r="A37" s="1">
        <v>39136</v>
      </c>
      <c r="B37" s="2">
        <v>0.58333333333333337</v>
      </c>
      <c r="C37" s="3">
        <v>197.5</v>
      </c>
      <c r="D37" s="3">
        <v>197.5</v>
      </c>
      <c r="E37" s="3">
        <v>196.1</v>
      </c>
      <c r="F37" s="3">
        <v>197</v>
      </c>
    </row>
    <row r="38" spans="1:6" x14ac:dyDescent="0.25">
      <c r="A38" s="1">
        <v>39139</v>
      </c>
      <c r="B38" s="2">
        <v>0.58333333333333337</v>
      </c>
      <c r="C38" s="3">
        <v>196.2</v>
      </c>
      <c r="D38" s="3">
        <v>196.6</v>
      </c>
      <c r="E38" s="3">
        <v>194.9</v>
      </c>
      <c r="F38" s="3">
        <v>195.5</v>
      </c>
    </row>
    <row r="39" spans="1:6" x14ac:dyDescent="0.25">
      <c r="A39" s="1">
        <v>39140</v>
      </c>
      <c r="B39" s="2">
        <v>0.58333333333333337</v>
      </c>
      <c r="C39" s="3">
        <v>195.2</v>
      </c>
      <c r="D39" s="3">
        <v>195.3</v>
      </c>
      <c r="E39" s="3">
        <v>194.1</v>
      </c>
      <c r="F39" s="3">
        <v>194.8</v>
      </c>
    </row>
    <row r="40" spans="1:6" x14ac:dyDescent="0.25">
      <c r="A40" s="1">
        <v>39141</v>
      </c>
      <c r="B40" s="2">
        <v>0.58333333333333337</v>
      </c>
      <c r="C40" s="3">
        <v>194.8</v>
      </c>
      <c r="D40" s="3">
        <v>196.45</v>
      </c>
      <c r="E40" s="3">
        <v>193.9</v>
      </c>
      <c r="F40" s="3">
        <v>194.75</v>
      </c>
    </row>
    <row r="41" spans="1:6" x14ac:dyDescent="0.25">
      <c r="A41" s="1">
        <v>39142</v>
      </c>
      <c r="B41" s="2">
        <v>0.58333333333333337</v>
      </c>
      <c r="C41" s="3">
        <v>193.6</v>
      </c>
      <c r="D41" s="3">
        <v>193.7</v>
      </c>
      <c r="E41" s="3">
        <v>191.5</v>
      </c>
      <c r="F41" s="3">
        <v>193</v>
      </c>
    </row>
    <row r="42" spans="1:6" x14ac:dyDescent="0.25">
      <c r="A42" s="1">
        <v>39143</v>
      </c>
      <c r="B42" s="2">
        <v>0.58333333333333337</v>
      </c>
      <c r="C42" s="3">
        <v>192.1</v>
      </c>
      <c r="D42" s="3">
        <v>192.7</v>
      </c>
      <c r="E42" s="3">
        <v>191.5</v>
      </c>
      <c r="F42" s="3">
        <v>191.65</v>
      </c>
    </row>
    <row r="43" spans="1:6" x14ac:dyDescent="0.25">
      <c r="A43" s="1">
        <v>39146</v>
      </c>
      <c r="B43" s="2">
        <v>0.58333333333333337</v>
      </c>
      <c r="C43" s="3">
        <v>191.1</v>
      </c>
      <c r="D43" s="3">
        <v>191.4</v>
      </c>
      <c r="E43" s="3">
        <v>187.9</v>
      </c>
      <c r="F43" s="3">
        <v>187.9</v>
      </c>
    </row>
    <row r="44" spans="1:6" x14ac:dyDescent="0.25">
      <c r="A44" s="1">
        <v>39147</v>
      </c>
      <c r="B44" s="2">
        <v>0.58333333333333337</v>
      </c>
      <c r="C44" s="3">
        <v>188.8</v>
      </c>
      <c r="D44" s="3">
        <v>190.3</v>
      </c>
      <c r="E44" s="3">
        <v>188.6</v>
      </c>
      <c r="F44" s="3">
        <v>189.35</v>
      </c>
    </row>
    <row r="45" spans="1:6" x14ac:dyDescent="0.25">
      <c r="A45" s="1">
        <v>39148</v>
      </c>
      <c r="B45" s="2">
        <v>0.58333333333333337</v>
      </c>
      <c r="C45" s="3">
        <v>189.35</v>
      </c>
      <c r="D45" s="3">
        <v>189.5</v>
      </c>
      <c r="E45" s="3">
        <v>187.6</v>
      </c>
      <c r="F45" s="3">
        <v>188.75</v>
      </c>
    </row>
    <row r="46" spans="1:6" x14ac:dyDescent="0.25">
      <c r="A46" s="1">
        <v>39149</v>
      </c>
      <c r="B46" s="2">
        <v>0.58333333333333337</v>
      </c>
      <c r="C46" s="3">
        <v>189.1</v>
      </c>
      <c r="D46" s="3">
        <v>189.75</v>
      </c>
      <c r="E46" s="3">
        <v>188</v>
      </c>
      <c r="F46" s="3">
        <v>188.7</v>
      </c>
    </row>
    <row r="47" spans="1:6" x14ac:dyDescent="0.25">
      <c r="A47" s="1">
        <v>39150</v>
      </c>
      <c r="B47" s="2">
        <v>0.58333333333333337</v>
      </c>
      <c r="C47" s="3">
        <v>188.5</v>
      </c>
      <c r="D47" s="3">
        <v>189.25</v>
      </c>
      <c r="E47" s="3">
        <v>188</v>
      </c>
      <c r="F47" s="3">
        <v>188.9</v>
      </c>
    </row>
    <row r="48" spans="1:6" x14ac:dyDescent="0.25">
      <c r="A48" s="1">
        <v>39153</v>
      </c>
      <c r="B48" s="2">
        <v>0.58333333333333337</v>
      </c>
      <c r="C48" s="3">
        <v>188.7</v>
      </c>
      <c r="D48" s="3">
        <v>189</v>
      </c>
      <c r="E48" s="3">
        <v>187.6</v>
      </c>
      <c r="F48" s="3">
        <v>188.3</v>
      </c>
    </row>
    <row r="49" spans="1:6" x14ac:dyDescent="0.25">
      <c r="A49" s="1">
        <v>39154</v>
      </c>
      <c r="B49" s="2">
        <v>0.58333333333333337</v>
      </c>
      <c r="C49" s="3">
        <v>188.65</v>
      </c>
      <c r="D49" s="3">
        <v>189.9</v>
      </c>
      <c r="E49" s="3">
        <v>187.4</v>
      </c>
      <c r="F49" s="3">
        <v>187.55</v>
      </c>
    </row>
    <row r="50" spans="1:6" x14ac:dyDescent="0.25">
      <c r="A50" s="1">
        <v>39155</v>
      </c>
      <c r="B50" s="2">
        <v>0.58333333333333337</v>
      </c>
      <c r="C50" s="3">
        <v>186.9</v>
      </c>
      <c r="D50" s="3">
        <v>187.2</v>
      </c>
      <c r="E50" s="3">
        <v>186</v>
      </c>
      <c r="F50" s="3">
        <v>186.35</v>
      </c>
    </row>
    <row r="51" spans="1:6" x14ac:dyDescent="0.25">
      <c r="A51" s="1">
        <v>39156</v>
      </c>
      <c r="B51" s="2">
        <v>0.58333333333333337</v>
      </c>
      <c r="C51" s="3">
        <v>187</v>
      </c>
      <c r="D51" s="3">
        <v>187.5</v>
      </c>
      <c r="E51" s="3">
        <v>186.3</v>
      </c>
      <c r="F51" s="3">
        <v>187.05</v>
      </c>
    </row>
    <row r="52" spans="1:6" x14ac:dyDescent="0.25">
      <c r="A52" s="1">
        <v>39157</v>
      </c>
      <c r="B52" s="2">
        <v>0.58333333333333337</v>
      </c>
      <c r="C52" s="3">
        <v>186.75</v>
      </c>
      <c r="D52" s="3">
        <v>187</v>
      </c>
      <c r="E52" s="3">
        <v>186.05</v>
      </c>
      <c r="F52" s="3">
        <v>186.85</v>
      </c>
    </row>
    <row r="53" spans="1:6" x14ac:dyDescent="0.25">
      <c r="A53" s="1">
        <v>39160</v>
      </c>
      <c r="B53" s="2">
        <v>0.58333333333333337</v>
      </c>
      <c r="C53" s="3">
        <v>187</v>
      </c>
      <c r="D53" s="3">
        <v>187.7</v>
      </c>
      <c r="E53" s="3">
        <v>185.75</v>
      </c>
      <c r="F53" s="3">
        <v>186.75</v>
      </c>
    </row>
    <row r="54" spans="1:6" x14ac:dyDescent="0.25">
      <c r="A54" s="1">
        <v>39161</v>
      </c>
      <c r="B54" s="2">
        <v>0.58333333333333337</v>
      </c>
      <c r="C54" s="3">
        <v>186.25</v>
      </c>
      <c r="D54" s="3">
        <v>187</v>
      </c>
      <c r="E54" s="3">
        <v>185.3</v>
      </c>
      <c r="F54" s="3">
        <v>185.8</v>
      </c>
    </row>
    <row r="55" spans="1:6" x14ac:dyDescent="0.25">
      <c r="A55" s="1">
        <v>39162</v>
      </c>
      <c r="B55" s="2">
        <v>0.58333333333333337</v>
      </c>
      <c r="C55" s="3">
        <v>185.75</v>
      </c>
      <c r="D55" s="3">
        <v>189.35</v>
      </c>
      <c r="E55" s="3">
        <v>185.75</v>
      </c>
      <c r="F55" s="3">
        <v>189</v>
      </c>
    </row>
    <row r="56" spans="1:6" x14ac:dyDescent="0.25">
      <c r="A56" s="1">
        <v>39163</v>
      </c>
      <c r="B56" s="2">
        <v>0.58333333333333337</v>
      </c>
      <c r="C56" s="3">
        <v>188.6</v>
      </c>
      <c r="D56" s="3">
        <v>188.9</v>
      </c>
      <c r="E56" s="3">
        <v>187.5</v>
      </c>
      <c r="F56" s="3">
        <v>188.25</v>
      </c>
    </row>
    <row r="57" spans="1:6" x14ac:dyDescent="0.25">
      <c r="A57" s="1">
        <v>39164</v>
      </c>
      <c r="B57" s="2">
        <v>0.58333333333333337</v>
      </c>
      <c r="C57" s="3">
        <v>189.25</v>
      </c>
      <c r="D57" s="3">
        <v>190.6</v>
      </c>
      <c r="E57" s="3">
        <v>189.25</v>
      </c>
      <c r="F57" s="3">
        <v>189.85</v>
      </c>
    </row>
    <row r="58" spans="1:6" x14ac:dyDescent="0.25">
      <c r="A58" s="1">
        <v>39167</v>
      </c>
      <c r="B58" s="2">
        <v>0.58333333333333337</v>
      </c>
      <c r="C58" s="3">
        <v>189.6</v>
      </c>
      <c r="D58" s="3">
        <v>191.3</v>
      </c>
      <c r="E58" s="3">
        <v>189.4</v>
      </c>
      <c r="F58" s="3">
        <v>190.85</v>
      </c>
    </row>
    <row r="59" spans="1:6" x14ac:dyDescent="0.25">
      <c r="A59" s="1">
        <v>39168</v>
      </c>
      <c r="B59" s="2">
        <v>0.58333333333333337</v>
      </c>
      <c r="C59" s="3">
        <v>190.4</v>
      </c>
      <c r="D59" s="3">
        <v>190.7</v>
      </c>
      <c r="E59" s="3">
        <v>188.55</v>
      </c>
      <c r="F59" s="3">
        <v>188.95</v>
      </c>
    </row>
    <row r="60" spans="1:6" x14ac:dyDescent="0.25">
      <c r="A60" s="1">
        <v>39169</v>
      </c>
      <c r="B60" s="2">
        <v>0.58333333333333337</v>
      </c>
      <c r="C60" s="3">
        <v>188.75</v>
      </c>
      <c r="D60" s="3">
        <v>189.5</v>
      </c>
      <c r="E60" s="3">
        <v>188.4</v>
      </c>
      <c r="F60" s="3">
        <v>189.2</v>
      </c>
    </row>
    <row r="61" spans="1:6" x14ac:dyDescent="0.25">
      <c r="A61" s="1">
        <v>39170</v>
      </c>
      <c r="B61" s="2">
        <v>0.58333333333333337</v>
      </c>
      <c r="C61" s="3">
        <v>188.9</v>
      </c>
      <c r="D61" s="3">
        <v>189.3</v>
      </c>
      <c r="E61" s="3">
        <v>186.8</v>
      </c>
      <c r="F61" s="3">
        <v>187.1</v>
      </c>
    </row>
    <row r="62" spans="1:6" x14ac:dyDescent="0.25">
      <c r="A62" s="1">
        <v>39171</v>
      </c>
      <c r="B62" s="2">
        <v>0.58333333333333337</v>
      </c>
      <c r="C62" s="3">
        <v>186</v>
      </c>
      <c r="D62" s="3">
        <v>186.3</v>
      </c>
      <c r="E62" s="3">
        <v>184.9</v>
      </c>
      <c r="F62" s="3">
        <v>185.75</v>
      </c>
    </row>
    <row r="63" spans="1:6" x14ac:dyDescent="0.25">
      <c r="A63" s="1">
        <v>39174</v>
      </c>
      <c r="B63" s="2">
        <v>0.58333333333333337</v>
      </c>
      <c r="C63" s="3">
        <v>186.3</v>
      </c>
      <c r="D63" s="3">
        <v>187.3</v>
      </c>
      <c r="E63" s="3">
        <v>184.8</v>
      </c>
      <c r="F63" s="3">
        <v>185.1</v>
      </c>
    </row>
    <row r="64" spans="1:6" x14ac:dyDescent="0.25">
      <c r="A64" s="1">
        <v>39175</v>
      </c>
      <c r="B64" s="2">
        <v>0.58333333333333337</v>
      </c>
      <c r="C64" s="3">
        <v>185.6</v>
      </c>
      <c r="D64" s="3">
        <v>187.9</v>
      </c>
      <c r="E64" s="3">
        <v>185.35</v>
      </c>
      <c r="F64" s="3">
        <v>187.25</v>
      </c>
    </row>
    <row r="65" spans="1:6" x14ac:dyDescent="0.25">
      <c r="A65" s="1">
        <v>39176</v>
      </c>
      <c r="B65" s="2">
        <v>0.58333333333333337</v>
      </c>
      <c r="C65" s="3">
        <v>187.2</v>
      </c>
      <c r="D65" s="3">
        <v>188.2</v>
      </c>
      <c r="E65" s="3">
        <v>186.5</v>
      </c>
      <c r="F65" s="3">
        <v>187.05</v>
      </c>
    </row>
    <row r="66" spans="1:6" x14ac:dyDescent="0.25">
      <c r="A66" s="1">
        <v>39177</v>
      </c>
      <c r="B66" s="2">
        <v>0.58333333333333337</v>
      </c>
      <c r="C66" s="3">
        <v>187.3</v>
      </c>
      <c r="D66" s="3">
        <v>188.1</v>
      </c>
      <c r="E66" s="3">
        <v>186.6</v>
      </c>
      <c r="F66" s="3">
        <v>187.35</v>
      </c>
    </row>
    <row r="67" spans="1:6" x14ac:dyDescent="0.25">
      <c r="A67" s="1">
        <v>39181</v>
      </c>
      <c r="B67" s="2">
        <v>0.58333333333333337</v>
      </c>
      <c r="C67" s="3">
        <v>187</v>
      </c>
      <c r="D67" s="3">
        <v>188.1</v>
      </c>
      <c r="E67" s="3">
        <v>185.6</v>
      </c>
      <c r="F67" s="3">
        <v>186.15</v>
      </c>
    </row>
    <row r="68" spans="1:6" x14ac:dyDescent="0.25">
      <c r="A68" s="1">
        <v>39182</v>
      </c>
      <c r="B68" s="2">
        <v>0.58333333333333337</v>
      </c>
      <c r="C68" s="3">
        <v>183.2</v>
      </c>
      <c r="D68" s="3">
        <v>183.65</v>
      </c>
      <c r="E68" s="3">
        <v>182.75</v>
      </c>
      <c r="F68" s="3">
        <v>182.85</v>
      </c>
    </row>
    <row r="69" spans="1:6" x14ac:dyDescent="0.25">
      <c r="A69" s="1">
        <v>39183</v>
      </c>
      <c r="B69" s="2">
        <v>0.58333333333333337</v>
      </c>
      <c r="C69" s="3">
        <v>186.1</v>
      </c>
      <c r="D69" s="3">
        <v>186.2</v>
      </c>
      <c r="E69" s="3">
        <v>185.85</v>
      </c>
      <c r="F69" s="3">
        <v>185.95</v>
      </c>
    </row>
    <row r="70" spans="1:6" x14ac:dyDescent="0.25">
      <c r="A70" s="1">
        <v>39184</v>
      </c>
      <c r="B70" s="2">
        <v>0.58333333333333337</v>
      </c>
      <c r="C70" s="3">
        <v>186.65</v>
      </c>
      <c r="D70" s="3">
        <v>190.1</v>
      </c>
      <c r="E70" s="3">
        <v>186.65</v>
      </c>
      <c r="F70" s="3">
        <v>189.3</v>
      </c>
    </row>
    <row r="71" spans="1:6" x14ac:dyDescent="0.25">
      <c r="A71" s="1">
        <v>39185</v>
      </c>
      <c r="B71" s="2">
        <v>0.58333333333333337</v>
      </c>
      <c r="C71" s="3">
        <v>189.7</v>
      </c>
      <c r="D71" s="3">
        <v>190.2</v>
      </c>
      <c r="E71" s="3">
        <v>188.25</v>
      </c>
      <c r="F71" s="3">
        <v>188.25</v>
      </c>
    </row>
    <row r="72" spans="1:6" x14ac:dyDescent="0.25">
      <c r="A72" s="1">
        <v>39188</v>
      </c>
      <c r="B72" s="2">
        <v>0.58333333333333337</v>
      </c>
      <c r="C72" s="3">
        <v>187.95</v>
      </c>
      <c r="D72" s="3">
        <v>188.1</v>
      </c>
      <c r="E72" s="3">
        <v>184.65</v>
      </c>
      <c r="F72" s="3">
        <v>184.8</v>
      </c>
    </row>
    <row r="73" spans="1:6" x14ac:dyDescent="0.25">
      <c r="A73" s="1">
        <v>39189</v>
      </c>
      <c r="B73" s="2">
        <v>0.58333333333333337</v>
      </c>
      <c r="C73" s="3">
        <v>184.7</v>
      </c>
      <c r="D73" s="3">
        <v>186.2</v>
      </c>
      <c r="E73" s="3">
        <v>184.5</v>
      </c>
      <c r="F73" s="3">
        <v>185.85</v>
      </c>
    </row>
    <row r="74" spans="1:6" x14ac:dyDescent="0.25">
      <c r="A74" s="1">
        <v>39190</v>
      </c>
      <c r="B74" s="2">
        <v>0.58333333333333337</v>
      </c>
      <c r="C74" s="3">
        <v>186</v>
      </c>
      <c r="D74" s="3">
        <v>187.6</v>
      </c>
      <c r="E74" s="3">
        <v>185.2</v>
      </c>
      <c r="F74" s="3">
        <v>185.7</v>
      </c>
    </row>
    <row r="75" spans="1:6" x14ac:dyDescent="0.25">
      <c r="A75" s="1">
        <v>39191</v>
      </c>
      <c r="B75" s="2">
        <v>0.58333333333333337</v>
      </c>
      <c r="C75" s="3">
        <v>185.2</v>
      </c>
      <c r="D75" s="3">
        <v>186.3</v>
      </c>
      <c r="E75" s="3">
        <v>184.85</v>
      </c>
      <c r="F75" s="3">
        <v>185.1</v>
      </c>
    </row>
    <row r="76" spans="1:6" x14ac:dyDescent="0.25">
      <c r="A76" s="1">
        <v>39192</v>
      </c>
      <c r="B76" s="2">
        <v>0.58333333333333337</v>
      </c>
      <c r="C76" s="3">
        <v>185.6</v>
      </c>
      <c r="D76" s="3">
        <v>186</v>
      </c>
      <c r="E76" s="3">
        <v>184.1</v>
      </c>
      <c r="F76" s="3">
        <v>184.25</v>
      </c>
    </row>
    <row r="77" spans="1:6" x14ac:dyDescent="0.25">
      <c r="A77" s="1">
        <v>39195</v>
      </c>
      <c r="B77" s="2">
        <v>0.58333333333333337</v>
      </c>
      <c r="C77" s="3">
        <v>184.1</v>
      </c>
      <c r="D77" s="3">
        <v>185.1</v>
      </c>
      <c r="E77" s="3">
        <v>182.7</v>
      </c>
      <c r="F77" s="3">
        <v>183</v>
      </c>
    </row>
    <row r="78" spans="1:6" x14ac:dyDescent="0.25">
      <c r="A78" s="1">
        <v>39196</v>
      </c>
      <c r="B78" s="2">
        <v>0.58333333333333337</v>
      </c>
      <c r="C78" s="3">
        <v>182.85</v>
      </c>
      <c r="D78" s="3">
        <v>183.6</v>
      </c>
      <c r="E78" s="3">
        <v>180.6</v>
      </c>
      <c r="F78" s="3">
        <v>181.25</v>
      </c>
    </row>
    <row r="79" spans="1:6" x14ac:dyDescent="0.25">
      <c r="A79" s="1">
        <v>39197</v>
      </c>
      <c r="B79" s="2">
        <v>0.58333333333333337</v>
      </c>
      <c r="C79" s="3">
        <v>180.85</v>
      </c>
      <c r="D79" s="3">
        <v>181.5</v>
      </c>
      <c r="E79" s="3">
        <v>180.7</v>
      </c>
      <c r="F79" s="3">
        <v>180.85</v>
      </c>
    </row>
    <row r="80" spans="1:6" x14ac:dyDescent="0.25">
      <c r="A80" s="1">
        <v>39198</v>
      </c>
      <c r="B80" s="2">
        <v>0.58333333333333337</v>
      </c>
      <c r="C80" s="3">
        <v>180.4</v>
      </c>
      <c r="D80" s="3">
        <v>180.7</v>
      </c>
      <c r="E80" s="3">
        <v>179.9</v>
      </c>
      <c r="F80" s="3">
        <v>180.35</v>
      </c>
    </row>
    <row r="81" spans="1:6" x14ac:dyDescent="0.25">
      <c r="A81" s="1">
        <v>39199</v>
      </c>
      <c r="B81" s="2">
        <v>0.58333333333333337</v>
      </c>
      <c r="C81" s="3">
        <v>179.9</v>
      </c>
      <c r="D81" s="3">
        <v>181.5</v>
      </c>
      <c r="E81" s="3">
        <v>179.5</v>
      </c>
      <c r="F81" s="3">
        <v>180.6</v>
      </c>
    </row>
    <row r="82" spans="1:6" x14ac:dyDescent="0.25">
      <c r="A82" s="1">
        <v>39202</v>
      </c>
      <c r="B82" s="2">
        <v>0.58333333333333337</v>
      </c>
      <c r="C82" s="3">
        <v>180.6</v>
      </c>
      <c r="D82" s="3">
        <v>181</v>
      </c>
      <c r="E82" s="3">
        <v>179.35</v>
      </c>
      <c r="F82" s="3">
        <v>179.75</v>
      </c>
    </row>
    <row r="83" spans="1:6" x14ac:dyDescent="0.25">
      <c r="A83" s="1">
        <v>39203</v>
      </c>
      <c r="B83" s="2">
        <v>0.58333333333333337</v>
      </c>
      <c r="C83" s="3">
        <v>178.2</v>
      </c>
      <c r="D83" s="3">
        <v>179</v>
      </c>
      <c r="E83" s="3">
        <v>176.85</v>
      </c>
      <c r="F83" s="3">
        <v>178.45</v>
      </c>
    </row>
    <row r="84" spans="1:6" x14ac:dyDescent="0.25">
      <c r="A84" s="1">
        <v>39204</v>
      </c>
      <c r="B84" s="2">
        <v>0.58333333333333337</v>
      </c>
      <c r="C84" s="3">
        <v>178.8</v>
      </c>
      <c r="D84" s="3">
        <v>179.4</v>
      </c>
      <c r="E84" s="3">
        <v>178.2</v>
      </c>
      <c r="F84" s="3">
        <v>178.3</v>
      </c>
    </row>
    <row r="85" spans="1:6" x14ac:dyDescent="0.25">
      <c r="A85" s="1">
        <v>39205</v>
      </c>
      <c r="B85" s="2">
        <v>0.58333333333333337</v>
      </c>
      <c r="C85" s="3">
        <v>178.45</v>
      </c>
      <c r="D85" s="3">
        <v>179</v>
      </c>
      <c r="E85" s="3">
        <v>177.7</v>
      </c>
      <c r="F85" s="3">
        <v>177.95</v>
      </c>
    </row>
    <row r="86" spans="1:6" x14ac:dyDescent="0.25">
      <c r="A86" s="1">
        <v>39206</v>
      </c>
      <c r="B86" s="2">
        <v>0.58333333333333337</v>
      </c>
      <c r="C86" s="3">
        <v>179</v>
      </c>
      <c r="D86" s="3">
        <v>180.4</v>
      </c>
      <c r="E86" s="3">
        <v>179</v>
      </c>
      <c r="F86" s="3">
        <v>179.6</v>
      </c>
    </row>
    <row r="87" spans="1:6" x14ac:dyDescent="0.25">
      <c r="A87" s="1">
        <v>39209</v>
      </c>
      <c r="B87" s="2">
        <v>0.58333333333333337</v>
      </c>
      <c r="C87" s="3">
        <v>179.9</v>
      </c>
      <c r="D87" s="3">
        <v>180.5</v>
      </c>
      <c r="E87" s="3">
        <v>178</v>
      </c>
      <c r="F87" s="3">
        <v>178.4</v>
      </c>
    </row>
    <row r="88" spans="1:6" x14ac:dyDescent="0.25">
      <c r="A88" s="1">
        <v>39210</v>
      </c>
      <c r="B88" s="2">
        <v>0.58333333333333337</v>
      </c>
      <c r="C88" s="3">
        <v>179.1</v>
      </c>
      <c r="D88" s="3">
        <v>180.8</v>
      </c>
      <c r="E88" s="3">
        <v>178.4</v>
      </c>
      <c r="F88" s="3">
        <v>178.85</v>
      </c>
    </row>
    <row r="89" spans="1:6" x14ac:dyDescent="0.25">
      <c r="A89" s="1">
        <v>39211</v>
      </c>
      <c r="B89" s="2">
        <v>0.58333333333333337</v>
      </c>
      <c r="C89" s="3">
        <v>178.9</v>
      </c>
      <c r="D89" s="3">
        <v>180.5</v>
      </c>
      <c r="E89" s="3">
        <v>178.65</v>
      </c>
      <c r="F89" s="3">
        <v>179.85</v>
      </c>
    </row>
    <row r="90" spans="1:6" x14ac:dyDescent="0.25">
      <c r="A90" s="1">
        <v>39212</v>
      </c>
      <c r="B90" s="2">
        <v>0.58333333333333337</v>
      </c>
      <c r="C90" s="3">
        <v>179.85</v>
      </c>
      <c r="D90" s="3">
        <v>180.4</v>
      </c>
      <c r="E90" s="3">
        <v>179.2</v>
      </c>
      <c r="F90" s="3">
        <v>180.15</v>
      </c>
    </row>
    <row r="91" spans="1:6" x14ac:dyDescent="0.25">
      <c r="A91" s="1">
        <v>39213</v>
      </c>
      <c r="B91" s="2">
        <v>0.58333333333333337</v>
      </c>
      <c r="C91" s="3">
        <v>180.1</v>
      </c>
      <c r="D91" s="3">
        <v>180.2</v>
      </c>
      <c r="E91" s="3">
        <v>178.6</v>
      </c>
      <c r="F91" s="3">
        <v>179.3</v>
      </c>
    </row>
    <row r="92" spans="1:6" x14ac:dyDescent="0.25">
      <c r="A92" s="1">
        <v>39216</v>
      </c>
      <c r="B92" s="2">
        <v>0.58333333333333337</v>
      </c>
      <c r="C92" s="3">
        <v>181.4</v>
      </c>
      <c r="D92" s="3">
        <v>182.5</v>
      </c>
      <c r="E92" s="3">
        <v>180.1</v>
      </c>
      <c r="F92" s="3">
        <v>180.45</v>
      </c>
    </row>
    <row r="93" spans="1:6" x14ac:dyDescent="0.25">
      <c r="A93" s="1">
        <v>39217</v>
      </c>
      <c r="B93" s="2">
        <v>0.58333333333333337</v>
      </c>
      <c r="C93" s="3">
        <v>180.6</v>
      </c>
      <c r="D93" s="3">
        <v>181.8</v>
      </c>
      <c r="E93" s="3">
        <v>180.35</v>
      </c>
      <c r="F93" s="3">
        <v>180.9</v>
      </c>
    </row>
    <row r="94" spans="1:6" x14ac:dyDescent="0.25">
      <c r="A94" s="1">
        <v>39218</v>
      </c>
      <c r="B94" s="2">
        <v>0.58333333333333337</v>
      </c>
      <c r="C94" s="3">
        <v>182.2</v>
      </c>
      <c r="D94" s="3">
        <v>183.8</v>
      </c>
      <c r="E94" s="3">
        <v>181.5</v>
      </c>
      <c r="F94" s="3">
        <v>183.3</v>
      </c>
    </row>
    <row r="95" spans="1:6" x14ac:dyDescent="0.25">
      <c r="A95" s="1">
        <v>39219</v>
      </c>
      <c r="B95" s="2">
        <v>0.58333333333333337</v>
      </c>
      <c r="C95" s="3">
        <v>183.7</v>
      </c>
      <c r="D95" s="3">
        <v>186.9</v>
      </c>
      <c r="E95" s="3">
        <v>183.5</v>
      </c>
      <c r="F95" s="3">
        <v>186.7</v>
      </c>
    </row>
    <row r="96" spans="1:6" x14ac:dyDescent="0.25">
      <c r="A96" s="1">
        <v>39220</v>
      </c>
      <c r="B96" s="2">
        <v>0.58333333333333337</v>
      </c>
      <c r="C96" s="3">
        <v>186.5</v>
      </c>
      <c r="D96" s="3">
        <v>187.1</v>
      </c>
      <c r="E96" s="3">
        <v>184.7</v>
      </c>
      <c r="F96" s="3">
        <v>185.4</v>
      </c>
    </row>
    <row r="97" spans="1:6" x14ac:dyDescent="0.25">
      <c r="A97" s="1">
        <v>39223</v>
      </c>
      <c r="B97" s="2">
        <v>0.58333333333333337</v>
      </c>
      <c r="C97" s="3">
        <v>185.8</v>
      </c>
      <c r="D97" s="3">
        <v>186.75</v>
      </c>
      <c r="E97" s="3">
        <v>185.2</v>
      </c>
      <c r="F97" s="3">
        <v>185.6</v>
      </c>
    </row>
    <row r="98" spans="1:6" x14ac:dyDescent="0.25">
      <c r="A98" s="1">
        <v>39224</v>
      </c>
      <c r="B98" s="2">
        <v>0.58333333333333337</v>
      </c>
      <c r="C98" s="3">
        <v>185.5</v>
      </c>
      <c r="D98" s="3">
        <v>186.2</v>
      </c>
      <c r="E98" s="3">
        <v>185</v>
      </c>
      <c r="F98" s="3">
        <v>185.15</v>
      </c>
    </row>
    <row r="99" spans="1:6" x14ac:dyDescent="0.25">
      <c r="A99" s="1">
        <v>39225</v>
      </c>
      <c r="B99" s="2">
        <v>0.58333333333333337</v>
      </c>
      <c r="C99" s="3">
        <v>184.3</v>
      </c>
      <c r="D99" s="3">
        <v>185.8</v>
      </c>
      <c r="E99" s="3">
        <v>184.3</v>
      </c>
      <c r="F99" s="3">
        <v>185.65</v>
      </c>
    </row>
    <row r="100" spans="1:6" x14ac:dyDescent="0.25">
      <c r="A100" s="1">
        <v>39226</v>
      </c>
      <c r="B100" s="2">
        <v>0.58333333333333337</v>
      </c>
      <c r="C100" s="3">
        <v>186.4</v>
      </c>
      <c r="D100" s="3">
        <v>187.6</v>
      </c>
      <c r="E100" s="3">
        <v>186.4</v>
      </c>
      <c r="F100" s="3">
        <v>186.95</v>
      </c>
    </row>
    <row r="101" spans="1:6" x14ac:dyDescent="0.25">
      <c r="A101" s="1">
        <v>39227</v>
      </c>
      <c r="B101" s="2">
        <v>0.58333333333333337</v>
      </c>
      <c r="C101" s="3">
        <v>187.1</v>
      </c>
      <c r="D101" s="3">
        <v>187.5</v>
      </c>
      <c r="E101" s="3">
        <v>185.8</v>
      </c>
      <c r="F101" s="3">
        <v>186.5</v>
      </c>
    </row>
    <row r="102" spans="1:6" x14ac:dyDescent="0.25">
      <c r="A102" s="1">
        <v>39231</v>
      </c>
      <c r="B102" s="2">
        <v>0.58333333333333337</v>
      </c>
      <c r="C102" s="3">
        <v>185.35</v>
      </c>
      <c r="D102" s="3">
        <v>186</v>
      </c>
      <c r="E102" s="3">
        <v>183.8</v>
      </c>
      <c r="F102" s="3">
        <v>184.3</v>
      </c>
    </row>
    <row r="103" spans="1:6" x14ac:dyDescent="0.25">
      <c r="A103" s="1">
        <v>39232</v>
      </c>
      <c r="B103" s="2">
        <v>0.58333333333333337</v>
      </c>
      <c r="C103" s="3">
        <v>184.2</v>
      </c>
      <c r="D103" s="3">
        <v>185.1</v>
      </c>
      <c r="E103" s="3">
        <v>183.95</v>
      </c>
      <c r="F103" s="3">
        <v>184.95</v>
      </c>
    </row>
    <row r="104" spans="1:6" x14ac:dyDescent="0.25">
      <c r="A104" s="1">
        <v>39233</v>
      </c>
      <c r="B104" s="2">
        <v>0.58333333333333337</v>
      </c>
      <c r="C104" s="3">
        <v>184.9</v>
      </c>
      <c r="D104" s="3">
        <v>185.85</v>
      </c>
      <c r="E104" s="3">
        <v>183.7</v>
      </c>
      <c r="F104" s="3">
        <v>185.5</v>
      </c>
    </row>
    <row r="105" spans="1:6" x14ac:dyDescent="0.25">
      <c r="A105" s="1">
        <v>39234</v>
      </c>
      <c r="B105" s="2">
        <v>0.58333333333333337</v>
      </c>
      <c r="C105" s="3">
        <v>187.1</v>
      </c>
      <c r="D105" s="3">
        <v>191.5</v>
      </c>
      <c r="E105" s="3">
        <v>187.1</v>
      </c>
      <c r="F105" s="3">
        <v>191</v>
      </c>
    </row>
    <row r="106" spans="1:6" x14ac:dyDescent="0.25">
      <c r="A106" s="1">
        <v>39237</v>
      </c>
      <c r="B106" s="2">
        <v>0.58333333333333337</v>
      </c>
      <c r="C106" s="3">
        <v>189.6</v>
      </c>
      <c r="D106" s="3">
        <v>192</v>
      </c>
      <c r="E106" s="3">
        <v>188.4</v>
      </c>
      <c r="F106" s="3">
        <v>188.9</v>
      </c>
    </row>
    <row r="107" spans="1:6" x14ac:dyDescent="0.25">
      <c r="A107" s="1">
        <v>39238</v>
      </c>
      <c r="B107" s="2">
        <v>0.58333333333333337</v>
      </c>
      <c r="C107" s="3">
        <v>189.1</v>
      </c>
      <c r="D107" s="3">
        <v>190.7</v>
      </c>
      <c r="E107" s="3">
        <v>189.1</v>
      </c>
      <c r="F107" s="3">
        <v>190.15</v>
      </c>
    </row>
    <row r="108" spans="1:6" x14ac:dyDescent="0.25">
      <c r="A108" s="1">
        <v>39239</v>
      </c>
      <c r="B108" s="2">
        <v>0.58333333333333337</v>
      </c>
      <c r="C108" s="3">
        <v>190.9</v>
      </c>
      <c r="D108" s="3">
        <v>191.3</v>
      </c>
      <c r="E108" s="3">
        <v>188.8</v>
      </c>
      <c r="F108" s="3">
        <v>190.05</v>
      </c>
    </row>
    <row r="109" spans="1:6" x14ac:dyDescent="0.25">
      <c r="A109" s="1">
        <v>39240</v>
      </c>
      <c r="B109" s="2">
        <v>0.58333333333333337</v>
      </c>
      <c r="C109" s="3">
        <v>189.1</v>
      </c>
      <c r="D109" s="3">
        <v>191.1</v>
      </c>
      <c r="E109" s="3">
        <v>189.1</v>
      </c>
      <c r="F109" s="3">
        <v>190.55</v>
      </c>
    </row>
    <row r="110" spans="1:6" x14ac:dyDescent="0.25">
      <c r="A110" s="1">
        <v>39241</v>
      </c>
      <c r="B110" s="2">
        <v>0.58333333333333337</v>
      </c>
      <c r="C110" s="3">
        <v>190.2</v>
      </c>
      <c r="D110" s="3">
        <v>190.85</v>
      </c>
      <c r="E110" s="3">
        <v>188.1</v>
      </c>
      <c r="F110" s="3">
        <v>188.45</v>
      </c>
    </row>
    <row r="111" spans="1:6" x14ac:dyDescent="0.25">
      <c r="A111" s="1">
        <v>39244</v>
      </c>
      <c r="B111" s="2">
        <v>0.58333333333333337</v>
      </c>
      <c r="C111" s="3">
        <v>188.1</v>
      </c>
      <c r="D111" s="3">
        <v>189.7</v>
      </c>
      <c r="E111" s="3">
        <v>188.1</v>
      </c>
      <c r="F111" s="3">
        <v>188.95</v>
      </c>
    </row>
    <row r="112" spans="1:6" x14ac:dyDescent="0.25">
      <c r="A112" s="1">
        <v>39245</v>
      </c>
      <c r="B112" s="2">
        <v>0.58333333333333337</v>
      </c>
      <c r="C112" s="3">
        <v>188.9</v>
      </c>
      <c r="D112" s="3">
        <v>188.9</v>
      </c>
      <c r="E112" s="3">
        <v>186.1</v>
      </c>
      <c r="F112" s="3">
        <v>187.05</v>
      </c>
    </row>
    <row r="113" spans="1:6" x14ac:dyDescent="0.25">
      <c r="A113" s="1">
        <v>39246</v>
      </c>
      <c r="B113" s="2">
        <v>0.58333333333333337</v>
      </c>
      <c r="C113" s="3">
        <v>186.8</v>
      </c>
      <c r="D113" s="3">
        <v>188.3</v>
      </c>
      <c r="E113" s="3">
        <v>186.4</v>
      </c>
      <c r="F113" s="3">
        <v>188.1</v>
      </c>
    </row>
    <row r="114" spans="1:6" x14ac:dyDescent="0.25">
      <c r="A114" s="1">
        <v>39247</v>
      </c>
      <c r="B114" s="2">
        <v>0.58333333333333337</v>
      </c>
      <c r="C114" s="3">
        <v>187.8</v>
      </c>
      <c r="D114" s="3">
        <v>189.4</v>
      </c>
      <c r="E114" s="3">
        <v>187.2</v>
      </c>
      <c r="F114" s="3">
        <v>187.9</v>
      </c>
    </row>
    <row r="115" spans="1:6" x14ac:dyDescent="0.25">
      <c r="A115" s="1">
        <v>39248</v>
      </c>
      <c r="B115" s="2">
        <v>0.58333333333333337</v>
      </c>
      <c r="C115" s="3">
        <v>188.2</v>
      </c>
      <c r="D115" s="3">
        <v>188.8</v>
      </c>
      <c r="E115" s="3">
        <v>187.6</v>
      </c>
      <c r="F115" s="3">
        <v>187.9</v>
      </c>
    </row>
    <row r="116" spans="1:6" x14ac:dyDescent="0.25">
      <c r="A116" s="1">
        <v>39251</v>
      </c>
      <c r="B116" s="2">
        <v>0.58333333333333337</v>
      </c>
      <c r="C116" s="3">
        <v>187.7</v>
      </c>
      <c r="D116" s="3">
        <v>189.5</v>
      </c>
      <c r="E116" s="3">
        <v>187.5</v>
      </c>
      <c r="F116" s="3">
        <v>187.75</v>
      </c>
    </row>
    <row r="117" spans="1:6" x14ac:dyDescent="0.25">
      <c r="A117" s="1">
        <v>39252</v>
      </c>
      <c r="B117" s="2">
        <v>0.58333333333333337</v>
      </c>
      <c r="C117" s="3">
        <v>187.2</v>
      </c>
      <c r="D117" s="3">
        <v>187.8</v>
      </c>
      <c r="E117" s="3">
        <v>185.3</v>
      </c>
      <c r="F117" s="3">
        <v>186.5</v>
      </c>
    </row>
    <row r="118" spans="1:6" x14ac:dyDescent="0.25">
      <c r="A118" s="1">
        <v>39253</v>
      </c>
      <c r="B118" s="2">
        <v>0.58333333333333337</v>
      </c>
      <c r="C118" s="3">
        <v>186.8</v>
      </c>
      <c r="D118" s="3">
        <v>188.15</v>
      </c>
      <c r="E118" s="3">
        <v>186.7</v>
      </c>
      <c r="F118" s="3">
        <v>188.1</v>
      </c>
    </row>
    <row r="119" spans="1:6" x14ac:dyDescent="0.25">
      <c r="A119" s="1">
        <v>39254</v>
      </c>
      <c r="B119" s="2">
        <v>0.58333333333333337</v>
      </c>
      <c r="C119" s="3">
        <v>187.8</v>
      </c>
      <c r="D119" s="3">
        <v>188.35</v>
      </c>
      <c r="E119" s="3">
        <v>186.9</v>
      </c>
      <c r="F119" s="3">
        <v>187.4</v>
      </c>
    </row>
    <row r="120" spans="1:6" x14ac:dyDescent="0.25">
      <c r="A120" s="1">
        <v>39255</v>
      </c>
      <c r="B120" s="2">
        <v>0.58333333333333337</v>
      </c>
      <c r="C120" s="3">
        <v>187.6</v>
      </c>
      <c r="D120" s="3">
        <v>187.95</v>
      </c>
      <c r="E120" s="3">
        <v>185.2</v>
      </c>
      <c r="F120" s="3">
        <v>186.1</v>
      </c>
    </row>
    <row r="121" spans="1:6" x14ac:dyDescent="0.25">
      <c r="A121" s="1">
        <v>39258</v>
      </c>
      <c r="B121" s="2">
        <v>0.58333333333333337</v>
      </c>
      <c r="C121" s="3">
        <v>184.7</v>
      </c>
      <c r="D121" s="3">
        <v>185</v>
      </c>
      <c r="E121" s="3">
        <v>181.7</v>
      </c>
      <c r="F121" s="3">
        <v>181.85</v>
      </c>
    </row>
    <row r="122" spans="1:6" x14ac:dyDescent="0.25">
      <c r="A122" s="1">
        <v>39259</v>
      </c>
      <c r="B122" s="2">
        <v>0.58333333333333337</v>
      </c>
      <c r="C122" s="3">
        <v>181.7</v>
      </c>
      <c r="D122" s="3">
        <v>183</v>
      </c>
      <c r="E122" s="3">
        <v>181.7</v>
      </c>
      <c r="F122" s="3">
        <v>182.6</v>
      </c>
    </row>
    <row r="123" spans="1:6" x14ac:dyDescent="0.25">
      <c r="A123" s="1">
        <v>39260</v>
      </c>
      <c r="B123" s="2">
        <v>0.58333333333333337</v>
      </c>
      <c r="C123" s="3">
        <v>182.2</v>
      </c>
      <c r="D123" s="3">
        <v>183.1</v>
      </c>
      <c r="E123" s="3">
        <v>181.7</v>
      </c>
      <c r="F123" s="3">
        <v>182.9</v>
      </c>
    </row>
    <row r="124" spans="1:6" x14ac:dyDescent="0.25">
      <c r="A124" s="1">
        <v>39261</v>
      </c>
      <c r="B124" s="2">
        <v>0.58333333333333337</v>
      </c>
      <c r="C124" s="3">
        <v>182.7</v>
      </c>
      <c r="D124" s="3">
        <v>184.4</v>
      </c>
      <c r="E124" s="3">
        <v>181.6</v>
      </c>
      <c r="F124" s="3">
        <v>183.3</v>
      </c>
    </row>
    <row r="125" spans="1:6" x14ac:dyDescent="0.25">
      <c r="A125" s="1">
        <v>39262</v>
      </c>
      <c r="B125" s="2">
        <v>0.58333333333333337</v>
      </c>
      <c r="C125" s="3">
        <v>183.3</v>
      </c>
      <c r="D125" s="3">
        <v>183.9</v>
      </c>
      <c r="E125" s="3">
        <v>182.65</v>
      </c>
      <c r="F125" s="3">
        <v>183.5</v>
      </c>
    </row>
    <row r="126" spans="1:6" x14ac:dyDescent="0.25">
      <c r="A126" s="1">
        <v>39265</v>
      </c>
      <c r="B126" s="2">
        <v>0.58333333333333337</v>
      </c>
      <c r="C126" s="3">
        <v>181.6</v>
      </c>
      <c r="D126" s="3">
        <v>183.1</v>
      </c>
      <c r="E126" s="3">
        <v>181.5</v>
      </c>
      <c r="F126" s="3">
        <v>182.7</v>
      </c>
    </row>
    <row r="127" spans="1:6" x14ac:dyDescent="0.25">
      <c r="A127" s="1">
        <v>39266</v>
      </c>
      <c r="B127" s="2">
        <v>0.58333333333333337</v>
      </c>
      <c r="C127" s="3">
        <v>181.8</v>
      </c>
      <c r="D127" s="3">
        <v>182.55</v>
      </c>
      <c r="E127" s="3">
        <v>181</v>
      </c>
      <c r="F127" s="3">
        <v>181.8</v>
      </c>
    </row>
    <row r="128" spans="1:6" x14ac:dyDescent="0.25">
      <c r="A128" s="1">
        <v>39268</v>
      </c>
      <c r="B128" s="2">
        <v>0.58333333333333337</v>
      </c>
      <c r="C128" s="3">
        <v>181.3</v>
      </c>
      <c r="D128" s="3">
        <v>181.9</v>
      </c>
      <c r="E128" s="3">
        <v>180.5</v>
      </c>
      <c r="F128" s="3">
        <v>181.1</v>
      </c>
    </row>
    <row r="129" spans="1:6" x14ac:dyDescent="0.25">
      <c r="A129" s="1">
        <v>39269</v>
      </c>
      <c r="B129" s="2">
        <v>0.58333333333333337</v>
      </c>
      <c r="C129" s="3">
        <v>180.65</v>
      </c>
      <c r="D129" s="3">
        <v>180.85</v>
      </c>
      <c r="E129" s="3">
        <v>179.4</v>
      </c>
      <c r="F129" s="3">
        <v>180.45</v>
      </c>
    </row>
    <row r="130" spans="1:6" x14ac:dyDescent="0.25">
      <c r="A130" s="1">
        <v>39272</v>
      </c>
      <c r="B130" s="2">
        <v>0.58333333333333337</v>
      </c>
      <c r="C130" s="3">
        <v>180.7</v>
      </c>
      <c r="D130" s="3">
        <v>181.2</v>
      </c>
      <c r="E130" s="3">
        <v>179.95</v>
      </c>
      <c r="F130" s="3">
        <v>180.1</v>
      </c>
    </row>
    <row r="131" spans="1:6" x14ac:dyDescent="0.25">
      <c r="A131" s="1">
        <v>39273</v>
      </c>
      <c r="B131" s="2">
        <v>0.58333333333333337</v>
      </c>
      <c r="C131" s="3">
        <v>180.5</v>
      </c>
      <c r="D131" s="3">
        <v>182.6</v>
      </c>
      <c r="E131" s="3">
        <v>180.5</v>
      </c>
      <c r="F131" s="3">
        <v>181.85</v>
      </c>
    </row>
    <row r="132" spans="1:6" x14ac:dyDescent="0.25">
      <c r="A132" s="1">
        <v>39274</v>
      </c>
      <c r="B132" s="2">
        <v>0.58333333333333337</v>
      </c>
      <c r="C132" s="3">
        <v>182.6</v>
      </c>
      <c r="D132" s="3">
        <v>182.8</v>
      </c>
      <c r="E132" s="3">
        <v>181.8</v>
      </c>
      <c r="F132" s="3">
        <v>182.55</v>
      </c>
    </row>
    <row r="133" spans="1:6" x14ac:dyDescent="0.25">
      <c r="A133" s="1">
        <v>39275</v>
      </c>
      <c r="B133" s="2">
        <v>0.58333333333333337</v>
      </c>
      <c r="C133" s="3">
        <v>182.1</v>
      </c>
      <c r="D133" s="3">
        <v>183.3</v>
      </c>
      <c r="E133" s="3">
        <v>180.8</v>
      </c>
      <c r="F133" s="3">
        <v>182.1</v>
      </c>
    </row>
    <row r="134" spans="1:6" x14ac:dyDescent="0.25">
      <c r="A134" s="1">
        <v>39276</v>
      </c>
      <c r="B134" s="2">
        <v>0.58333333333333337</v>
      </c>
      <c r="C134" s="3">
        <v>181.1</v>
      </c>
      <c r="D134" s="3">
        <v>181.55</v>
      </c>
      <c r="E134" s="3">
        <v>180.2</v>
      </c>
      <c r="F134" s="3">
        <v>180.45</v>
      </c>
    </row>
    <row r="135" spans="1:6" x14ac:dyDescent="0.25">
      <c r="A135" s="1">
        <v>39279</v>
      </c>
      <c r="B135" s="2">
        <v>0.58333333333333337</v>
      </c>
      <c r="C135" s="3">
        <v>180.3</v>
      </c>
      <c r="D135" s="3">
        <v>182.6</v>
      </c>
      <c r="E135" s="3">
        <v>180.1</v>
      </c>
      <c r="F135" s="3">
        <v>182.45</v>
      </c>
    </row>
    <row r="136" spans="1:6" x14ac:dyDescent="0.25">
      <c r="A136" s="1">
        <v>39280</v>
      </c>
      <c r="B136" s="2">
        <v>0.58333333333333337</v>
      </c>
      <c r="C136" s="3">
        <v>183.2</v>
      </c>
      <c r="D136" s="3">
        <v>183.7</v>
      </c>
      <c r="E136" s="3">
        <v>182.6</v>
      </c>
      <c r="F136" s="3">
        <v>183.15</v>
      </c>
    </row>
    <row r="137" spans="1:6" x14ac:dyDescent="0.25">
      <c r="A137" s="1">
        <v>39281</v>
      </c>
      <c r="B137" s="2">
        <v>0.58333333333333337</v>
      </c>
      <c r="C137" s="3">
        <v>183.65</v>
      </c>
      <c r="D137" s="3">
        <v>185.2</v>
      </c>
      <c r="E137" s="3">
        <v>183.4</v>
      </c>
      <c r="F137" s="3">
        <v>184.7</v>
      </c>
    </row>
    <row r="138" spans="1:6" x14ac:dyDescent="0.25">
      <c r="A138" s="1">
        <v>39282</v>
      </c>
      <c r="B138" s="2">
        <v>0.58333333333333337</v>
      </c>
      <c r="C138" s="3">
        <v>185.95</v>
      </c>
      <c r="D138" s="3">
        <v>186.15</v>
      </c>
      <c r="E138" s="3">
        <v>184.4</v>
      </c>
      <c r="F138" s="3">
        <v>184.95</v>
      </c>
    </row>
    <row r="139" spans="1:6" x14ac:dyDescent="0.25">
      <c r="A139" s="1">
        <v>39283</v>
      </c>
      <c r="B139" s="2">
        <v>0.58333333333333337</v>
      </c>
      <c r="C139" s="3">
        <v>185.15</v>
      </c>
      <c r="D139" s="3">
        <v>185.4</v>
      </c>
      <c r="E139" s="3">
        <v>184.6</v>
      </c>
      <c r="F139" s="3">
        <v>184.7</v>
      </c>
    </row>
    <row r="140" spans="1:6" x14ac:dyDescent="0.25">
      <c r="A140" s="1">
        <v>39286</v>
      </c>
      <c r="B140" s="2">
        <v>0.58333333333333337</v>
      </c>
      <c r="C140" s="3">
        <v>184.65</v>
      </c>
      <c r="D140" s="3">
        <v>185.6</v>
      </c>
      <c r="E140" s="3">
        <v>182.5</v>
      </c>
      <c r="F140" s="3">
        <v>183.05</v>
      </c>
    </row>
    <row r="141" spans="1:6" x14ac:dyDescent="0.25">
      <c r="A141" s="1">
        <v>39287</v>
      </c>
      <c r="B141" s="2">
        <v>0.58333333333333337</v>
      </c>
      <c r="C141" s="3">
        <v>182.6</v>
      </c>
      <c r="D141" s="3">
        <v>186.9</v>
      </c>
      <c r="E141" s="3">
        <v>182</v>
      </c>
      <c r="F141" s="3">
        <v>186.45</v>
      </c>
    </row>
    <row r="142" spans="1:6" x14ac:dyDescent="0.25">
      <c r="A142" s="1">
        <v>39288</v>
      </c>
      <c r="B142" s="2">
        <v>0.58333333333333337</v>
      </c>
      <c r="C142" s="3">
        <v>185.3</v>
      </c>
      <c r="D142" s="3">
        <v>186.3</v>
      </c>
      <c r="E142" s="3">
        <v>184.7</v>
      </c>
      <c r="F142" s="3">
        <v>184.9</v>
      </c>
    </row>
    <row r="143" spans="1:6" x14ac:dyDescent="0.25">
      <c r="A143" s="1">
        <v>39289</v>
      </c>
      <c r="B143" s="2">
        <v>0.58333333333333337</v>
      </c>
      <c r="C143" s="3">
        <v>185.4</v>
      </c>
      <c r="D143" s="3">
        <v>185.7</v>
      </c>
      <c r="E143" s="3">
        <v>181.7</v>
      </c>
      <c r="F143" s="3">
        <v>182.1</v>
      </c>
    </row>
    <row r="144" spans="1:6" x14ac:dyDescent="0.25">
      <c r="A144" s="1">
        <v>39290</v>
      </c>
      <c r="B144" s="2">
        <v>0.58333333333333337</v>
      </c>
      <c r="C144" s="3">
        <v>181.8</v>
      </c>
      <c r="D144" s="3">
        <v>184</v>
      </c>
      <c r="E144" s="3">
        <v>181.8</v>
      </c>
      <c r="F144" s="3">
        <v>183.4</v>
      </c>
    </row>
    <row r="145" spans="1:6" x14ac:dyDescent="0.25">
      <c r="A145" s="1">
        <v>39293</v>
      </c>
      <c r="B145" s="2">
        <v>0.58333333333333337</v>
      </c>
      <c r="C145" s="3">
        <v>182.5</v>
      </c>
      <c r="D145" s="3">
        <v>183.95</v>
      </c>
      <c r="E145" s="3">
        <v>182.3</v>
      </c>
      <c r="F145" s="3">
        <v>183.65</v>
      </c>
    </row>
    <row r="146" spans="1:6" x14ac:dyDescent="0.25">
      <c r="A146" s="1">
        <v>39294</v>
      </c>
      <c r="B146" s="2">
        <v>0.58333333333333337</v>
      </c>
      <c r="C146" s="3">
        <v>183.7</v>
      </c>
      <c r="D146" s="3">
        <v>185.1</v>
      </c>
      <c r="E146" s="3">
        <v>183.7</v>
      </c>
      <c r="F146" s="3">
        <v>185</v>
      </c>
    </row>
    <row r="147" spans="1:6" x14ac:dyDescent="0.25">
      <c r="A147" s="1">
        <v>39295</v>
      </c>
      <c r="B147" s="2">
        <v>0.58333333333333337</v>
      </c>
      <c r="C147" s="3">
        <v>184.35</v>
      </c>
      <c r="D147" s="3">
        <v>185.2</v>
      </c>
      <c r="E147" s="3">
        <v>183.45</v>
      </c>
      <c r="F147" s="3">
        <v>183.8</v>
      </c>
    </row>
    <row r="148" spans="1:6" x14ac:dyDescent="0.25">
      <c r="A148" s="1">
        <v>39296</v>
      </c>
      <c r="B148" s="2">
        <v>0.58333333333333337</v>
      </c>
      <c r="C148" s="3">
        <v>184.2</v>
      </c>
      <c r="D148" s="3">
        <v>187.2</v>
      </c>
      <c r="E148" s="3">
        <v>184.2</v>
      </c>
      <c r="F148" s="3">
        <v>186.9</v>
      </c>
    </row>
    <row r="149" spans="1:6" x14ac:dyDescent="0.25">
      <c r="A149" s="1">
        <v>39297</v>
      </c>
      <c r="B149" s="2">
        <v>0.58333333333333337</v>
      </c>
      <c r="C149" s="3">
        <v>187.7</v>
      </c>
      <c r="D149" s="3">
        <v>189.1</v>
      </c>
      <c r="E149" s="3">
        <v>187.7</v>
      </c>
      <c r="F149" s="3">
        <v>188.35</v>
      </c>
    </row>
    <row r="150" spans="1:6" x14ac:dyDescent="0.25">
      <c r="A150" s="1">
        <v>39300</v>
      </c>
      <c r="B150" s="2">
        <v>0.58333333333333337</v>
      </c>
      <c r="C150" s="3">
        <v>187.75</v>
      </c>
      <c r="D150" s="3">
        <v>190.2</v>
      </c>
      <c r="E150" s="3">
        <v>186.95</v>
      </c>
      <c r="F150" s="3">
        <v>189.1</v>
      </c>
    </row>
    <row r="151" spans="1:6" x14ac:dyDescent="0.25">
      <c r="A151" s="1">
        <v>39301</v>
      </c>
      <c r="B151" s="2">
        <v>0.58333333333333337</v>
      </c>
      <c r="C151" s="3">
        <v>188.6</v>
      </c>
      <c r="D151" s="3">
        <v>189.3</v>
      </c>
      <c r="E151" s="3">
        <v>187.2</v>
      </c>
      <c r="F151" s="3">
        <v>188.15</v>
      </c>
    </row>
    <row r="152" spans="1:6" x14ac:dyDescent="0.25">
      <c r="A152" s="1">
        <v>39302</v>
      </c>
      <c r="B152" s="2">
        <v>0.58333333333333337</v>
      </c>
      <c r="C152" s="3">
        <v>187.5</v>
      </c>
      <c r="D152" s="3">
        <v>189.7</v>
      </c>
      <c r="E152" s="3">
        <v>187.25</v>
      </c>
      <c r="F152" s="3">
        <v>189.2</v>
      </c>
    </row>
    <row r="153" spans="1:6" x14ac:dyDescent="0.25">
      <c r="A153" s="1">
        <v>39303</v>
      </c>
      <c r="B153" s="2">
        <v>0.58333333333333337</v>
      </c>
      <c r="C153" s="3">
        <v>189.45</v>
      </c>
      <c r="D153" s="3">
        <v>190.6</v>
      </c>
      <c r="E153" s="3">
        <v>188.5</v>
      </c>
      <c r="F153" s="3">
        <v>190.2</v>
      </c>
    </row>
    <row r="154" spans="1:6" x14ac:dyDescent="0.25">
      <c r="A154" s="1">
        <v>39304</v>
      </c>
      <c r="B154" s="2">
        <v>0.58333333333333337</v>
      </c>
      <c r="C154" s="3">
        <v>188</v>
      </c>
      <c r="D154" s="3">
        <v>191.6</v>
      </c>
      <c r="E154" s="3">
        <v>187.6</v>
      </c>
      <c r="F154" s="3">
        <v>191.3</v>
      </c>
    </row>
    <row r="155" spans="1:6" x14ac:dyDescent="0.25">
      <c r="A155" s="1">
        <v>39307</v>
      </c>
      <c r="B155" s="2">
        <v>0.58333333333333337</v>
      </c>
      <c r="C155" s="3">
        <v>191.05</v>
      </c>
      <c r="D155" s="3">
        <v>192.65</v>
      </c>
      <c r="E155" s="3">
        <v>189.75</v>
      </c>
      <c r="F155" s="3">
        <v>191.4</v>
      </c>
    </row>
    <row r="156" spans="1:6" x14ac:dyDescent="0.25">
      <c r="A156" s="1">
        <v>39308</v>
      </c>
      <c r="B156" s="2">
        <v>0.58333333333333337</v>
      </c>
      <c r="C156" s="3">
        <v>192.25</v>
      </c>
      <c r="D156" s="3">
        <v>192.4</v>
      </c>
      <c r="E156" s="3">
        <v>189.05</v>
      </c>
      <c r="F156" s="3">
        <v>189.8</v>
      </c>
    </row>
    <row r="157" spans="1:6" x14ac:dyDescent="0.25">
      <c r="A157" s="1">
        <v>39309</v>
      </c>
      <c r="B157" s="2">
        <v>0.58333333333333337</v>
      </c>
      <c r="C157" s="3">
        <v>189.05</v>
      </c>
      <c r="D157" s="3">
        <v>190.35</v>
      </c>
      <c r="E157" s="3">
        <v>187.85</v>
      </c>
      <c r="F157" s="3">
        <v>189.85</v>
      </c>
    </row>
    <row r="158" spans="1:6" x14ac:dyDescent="0.25">
      <c r="A158" s="1">
        <v>39310</v>
      </c>
      <c r="B158" s="2">
        <v>0.58333333333333337</v>
      </c>
      <c r="C158" s="3">
        <v>187.85</v>
      </c>
      <c r="D158" s="3">
        <v>188.75</v>
      </c>
      <c r="E158" s="3">
        <v>181.65</v>
      </c>
      <c r="F158" s="3">
        <v>181.9</v>
      </c>
    </row>
    <row r="159" spans="1:6" x14ac:dyDescent="0.25">
      <c r="A159" s="1">
        <v>39311</v>
      </c>
      <c r="B159" s="2">
        <v>0.58333333333333337</v>
      </c>
      <c r="C159" s="3">
        <v>184.25</v>
      </c>
      <c r="D159" s="3">
        <v>186.45</v>
      </c>
      <c r="E159" s="3">
        <v>184.25</v>
      </c>
      <c r="F159" s="3">
        <v>186.15</v>
      </c>
    </row>
    <row r="160" spans="1:6" x14ac:dyDescent="0.25">
      <c r="A160" s="1">
        <v>39314</v>
      </c>
      <c r="B160" s="2">
        <v>0.58333333333333337</v>
      </c>
      <c r="C160" s="3">
        <v>186.15</v>
      </c>
      <c r="D160" s="3">
        <v>186.65</v>
      </c>
      <c r="E160" s="3">
        <v>184.9</v>
      </c>
      <c r="F160" s="3">
        <v>185.5</v>
      </c>
    </row>
    <row r="161" spans="1:6" x14ac:dyDescent="0.25">
      <c r="A161" s="1">
        <v>39315</v>
      </c>
      <c r="B161" s="2">
        <v>0.58333333333333337</v>
      </c>
      <c r="C161" s="3">
        <v>185.25</v>
      </c>
      <c r="D161" s="3">
        <v>185.75</v>
      </c>
      <c r="E161" s="3">
        <v>184.8</v>
      </c>
      <c r="F161" s="3">
        <v>185</v>
      </c>
    </row>
    <row r="162" spans="1:6" x14ac:dyDescent="0.25">
      <c r="A162" s="1">
        <v>39316</v>
      </c>
      <c r="B162" s="2">
        <v>0.58333333333333337</v>
      </c>
      <c r="C162" s="3">
        <v>185.05</v>
      </c>
      <c r="D162" s="3">
        <v>186.15</v>
      </c>
      <c r="E162" s="3">
        <v>184.9</v>
      </c>
      <c r="F162" s="3">
        <v>185.45</v>
      </c>
    </row>
    <row r="163" spans="1:6" x14ac:dyDescent="0.25">
      <c r="A163" s="1">
        <v>39317</v>
      </c>
      <c r="B163" s="2">
        <v>0.58333333333333337</v>
      </c>
      <c r="C163" s="3">
        <v>186.05</v>
      </c>
      <c r="D163" s="3">
        <v>187.05</v>
      </c>
      <c r="E163" s="3">
        <v>185.95</v>
      </c>
      <c r="F163" s="3">
        <v>186.35</v>
      </c>
    </row>
    <row r="164" spans="1:6" x14ac:dyDescent="0.25">
      <c r="A164" s="1">
        <v>39318</v>
      </c>
      <c r="B164" s="2">
        <v>0.58333333333333337</v>
      </c>
      <c r="C164" s="3">
        <v>186.85</v>
      </c>
      <c r="D164" s="3">
        <v>187.05</v>
      </c>
      <c r="E164" s="3">
        <v>184.95</v>
      </c>
      <c r="F164" s="3">
        <v>185.7</v>
      </c>
    </row>
    <row r="165" spans="1:6" x14ac:dyDescent="0.25">
      <c r="A165" s="1">
        <v>39321</v>
      </c>
      <c r="B165" s="2">
        <v>0.58333333333333337</v>
      </c>
      <c r="C165" s="3">
        <v>184.85</v>
      </c>
      <c r="D165" s="3">
        <v>185.35</v>
      </c>
      <c r="E165" s="3">
        <v>183.45</v>
      </c>
      <c r="F165" s="3">
        <v>183.85</v>
      </c>
    </row>
    <row r="166" spans="1:6" x14ac:dyDescent="0.25">
      <c r="A166" s="1">
        <v>39322</v>
      </c>
      <c r="B166" s="2">
        <v>0.58333333333333337</v>
      </c>
      <c r="C166" s="3">
        <v>183.45</v>
      </c>
      <c r="D166" s="3">
        <v>184.95</v>
      </c>
      <c r="E166" s="3">
        <v>183.05</v>
      </c>
      <c r="F166" s="3">
        <v>184.2</v>
      </c>
    </row>
    <row r="167" spans="1:6" x14ac:dyDescent="0.25">
      <c r="A167" s="1">
        <v>39323</v>
      </c>
      <c r="B167" s="2">
        <v>0.58333333333333337</v>
      </c>
      <c r="C167" s="3">
        <v>184.35</v>
      </c>
      <c r="D167" s="3">
        <v>184.55</v>
      </c>
      <c r="E167" s="3">
        <v>182.25</v>
      </c>
      <c r="F167" s="3">
        <v>182.75</v>
      </c>
    </row>
    <row r="168" spans="1:6" x14ac:dyDescent="0.25">
      <c r="A168" s="1">
        <v>39324</v>
      </c>
      <c r="B168" s="2">
        <v>0.58333333333333337</v>
      </c>
      <c r="C168" s="3">
        <v>182.45</v>
      </c>
      <c r="D168" s="3">
        <v>183.15</v>
      </c>
      <c r="E168" s="3">
        <v>182.05</v>
      </c>
      <c r="F168" s="3">
        <v>182.8</v>
      </c>
    </row>
    <row r="169" spans="1:6" x14ac:dyDescent="0.25">
      <c r="A169" s="1">
        <v>39325</v>
      </c>
      <c r="B169" s="2">
        <v>0.58333333333333337</v>
      </c>
      <c r="C169" s="3">
        <v>183.25</v>
      </c>
      <c r="D169" s="3">
        <v>183.45</v>
      </c>
      <c r="E169" s="3">
        <v>181.9</v>
      </c>
      <c r="F169" s="3">
        <v>182.5</v>
      </c>
    </row>
    <row r="170" spans="1:6" x14ac:dyDescent="0.25">
      <c r="A170" s="1">
        <v>39329</v>
      </c>
      <c r="B170" s="2">
        <v>0.58333333333333337</v>
      </c>
      <c r="C170" s="3">
        <v>183.65</v>
      </c>
      <c r="D170" s="3">
        <v>185.75</v>
      </c>
      <c r="E170" s="3">
        <v>183.65</v>
      </c>
      <c r="F170" s="3">
        <v>184.6</v>
      </c>
    </row>
    <row r="171" spans="1:6" x14ac:dyDescent="0.25">
      <c r="A171" s="1">
        <v>39330</v>
      </c>
      <c r="B171" s="2">
        <v>0.58333333333333337</v>
      </c>
      <c r="C171" s="3">
        <v>182.95</v>
      </c>
      <c r="D171" s="3">
        <v>183.85</v>
      </c>
      <c r="E171" s="3">
        <v>181.85</v>
      </c>
      <c r="F171" s="3">
        <v>182.7</v>
      </c>
    </row>
    <row r="172" spans="1:6" x14ac:dyDescent="0.25">
      <c r="A172" s="1">
        <v>39331</v>
      </c>
      <c r="B172" s="2">
        <v>0.58333333333333337</v>
      </c>
      <c r="C172" s="3">
        <v>182.85</v>
      </c>
      <c r="D172" s="3">
        <v>183.75</v>
      </c>
      <c r="E172" s="3">
        <v>182.05</v>
      </c>
      <c r="F172" s="3">
        <v>183.4</v>
      </c>
    </row>
    <row r="173" spans="1:6" x14ac:dyDescent="0.25">
      <c r="A173" s="1">
        <v>39332</v>
      </c>
      <c r="B173" s="2">
        <v>0.58333333333333337</v>
      </c>
      <c r="C173" s="3">
        <v>183.85</v>
      </c>
      <c r="D173" s="3">
        <v>184.6</v>
      </c>
      <c r="E173" s="3">
        <v>182.9</v>
      </c>
      <c r="F173" s="3">
        <v>183.55</v>
      </c>
    </row>
    <row r="174" spans="1:6" x14ac:dyDescent="0.25">
      <c r="A174" s="1">
        <v>39335</v>
      </c>
      <c r="B174" s="2">
        <v>0.58333333333333337</v>
      </c>
      <c r="C174" s="3">
        <v>184.9</v>
      </c>
      <c r="D174" s="3">
        <v>187.85</v>
      </c>
      <c r="E174" s="3">
        <v>184.9</v>
      </c>
      <c r="F174" s="3">
        <v>186.7</v>
      </c>
    </row>
    <row r="175" spans="1:6" x14ac:dyDescent="0.25">
      <c r="A175" s="1">
        <v>39336</v>
      </c>
      <c r="B175" s="2">
        <v>0.58333333333333337</v>
      </c>
      <c r="C175" s="3">
        <v>186.1</v>
      </c>
      <c r="D175" s="3">
        <v>187</v>
      </c>
      <c r="E175" s="3">
        <v>185.05</v>
      </c>
      <c r="F175" s="3">
        <v>186.15</v>
      </c>
    </row>
    <row r="176" spans="1:6" x14ac:dyDescent="0.25">
      <c r="A176" s="1">
        <v>39337</v>
      </c>
      <c r="B176" s="2">
        <v>0.58333333333333337</v>
      </c>
      <c r="C176" s="3">
        <v>186.75</v>
      </c>
      <c r="D176" s="3">
        <v>187.35</v>
      </c>
      <c r="E176" s="3">
        <v>186.25</v>
      </c>
      <c r="F176" s="3">
        <v>186.7</v>
      </c>
    </row>
    <row r="177" spans="1:6" x14ac:dyDescent="0.25">
      <c r="A177" s="1">
        <v>39338</v>
      </c>
      <c r="B177" s="2">
        <v>0.58333333333333337</v>
      </c>
      <c r="C177" s="3">
        <v>184.75</v>
      </c>
      <c r="D177" s="3">
        <v>186.15</v>
      </c>
      <c r="E177" s="3">
        <v>183.9</v>
      </c>
      <c r="F177" s="3">
        <v>185.95</v>
      </c>
    </row>
    <row r="178" spans="1:6" x14ac:dyDescent="0.25">
      <c r="A178" s="1">
        <v>39339</v>
      </c>
      <c r="B178" s="2">
        <v>0.58333333333333337</v>
      </c>
      <c r="C178" s="3">
        <v>186.5</v>
      </c>
      <c r="D178" s="3">
        <v>188.15</v>
      </c>
      <c r="E178" s="3">
        <v>185.85</v>
      </c>
      <c r="F178" s="3">
        <v>187.55</v>
      </c>
    </row>
    <row r="179" spans="1:6" x14ac:dyDescent="0.25">
      <c r="A179" s="1">
        <v>39342</v>
      </c>
      <c r="B179" s="2">
        <v>0.58333333333333337</v>
      </c>
      <c r="C179" s="3">
        <v>191.65</v>
      </c>
      <c r="D179" s="3">
        <v>194.65</v>
      </c>
      <c r="E179" s="3">
        <v>191.4</v>
      </c>
      <c r="F179" s="3">
        <v>194.45</v>
      </c>
    </row>
    <row r="180" spans="1:6" x14ac:dyDescent="0.25">
      <c r="A180" s="1">
        <v>39343</v>
      </c>
      <c r="B180" s="2">
        <v>0.58333333333333337</v>
      </c>
      <c r="C180" s="3">
        <v>194.55</v>
      </c>
      <c r="D180" s="3">
        <v>197.4</v>
      </c>
      <c r="E180" s="3">
        <v>194.05</v>
      </c>
      <c r="F180" s="3">
        <v>197.05</v>
      </c>
    </row>
    <row r="181" spans="1:6" x14ac:dyDescent="0.25">
      <c r="A181" s="1">
        <v>39344</v>
      </c>
      <c r="B181" s="2">
        <v>0.58333333333333337</v>
      </c>
      <c r="C181" s="3">
        <v>195</v>
      </c>
      <c r="D181" s="3">
        <v>198.05</v>
      </c>
      <c r="E181" s="3">
        <v>195</v>
      </c>
      <c r="F181" s="3">
        <v>198</v>
      </c>
    </row>
    <row r="182" spans="1:6" x14ac:dyDescent="0.25">
      <c r="A182" s="1">
        <v>39345</v>
      </c>
      <c r="B182" s="2">
        <v>0.58333333333333337</v>
      </c>
      <c r="C182" s="3">
        <v>195.9</v>
      </c>
      <c r="D182" s="3">
        <v>200.95</v>
      </c>
      <c r="E182" s="3">
        <v>195.9</v>
      </c>
      <c r="F182" s="3">
        <v>199.8</v>
      </c>
    </row>
    <row r="183" spans="1:6" x14ac:dyDescent="0.25">
      <c r="A183" s="1">
        <v>39346</v>
      </c>
      <c r="B183" s="2">
        <v>0.58333333333333337</v>
      </c>
      <c r="C183" s="3">
        <v>197.65</v>
      </c>
      <c r="D183" s="3">
        <v>198.9</v>
      </c>
      <c r="E183" s="3">
        <v>195.95</v>
      </c>
      <c r="F183" s="3">
        <v>196.55</v>
      </c>
    </row>
    <row r="184" spans="1:6" x14ac:dyDescent="0.25">
      <c r="A184" s="1">
        <v>39349</v>
      </c>
      <c r="B184" s="2">
        <v>0.58333333333333337</v>
      </c>
      <c r="C184" s="3">
        <v>197.15</v>
      </c>
      <c r="D184" s="3">
        <v>199.9</v>
      </c>
      <c r="E184" s="3">
        <v>196.65</v>
      </c>
      <c r="F184" s="3">
        <v>199.05</v>
      </c>
    </row>
    <row r="185" spans="1:6" x14ac:dyDescent="0.25">
      <c r="A185" s="1">
        <v>39350</v>
      </c>
      <c r="B185" s="2">
        <v>0.58333333333333337</v>
      </c>
      <c r="C185" s="3">
        <v>197.95</v>
      </c>
      <c r="D185" s="3">
        <v>201.65</v>
      </c>
      <c r="E185" s="3">
        <v>197.55</v>
      </c>
      <c r="F185" s="3">
        <v>199.75</v>
      </c>
    </row>
    <row r="186" spans="1:6" x14ac:dyDescent="0.25">
      <c r="A186" s="1">
        <v>39351</v>
      </c>
      <c r="B186" s="2">
        <v>0.58333333333333337</v>
      </c>
      <c r="C186" s="3">
        <v>196.05</v>
      </c>
      <c r="D186" s="3">
        <v>196.75</v>
      </c>
      <c r="E186" s="3">
        <v>193.9</v>
      </c>
      <c r="F186" s="3">
        <v>195.25</v>
      </c>
    </row>
    <row r="187" spans="1:6" x14ac:dyDescent="0.25">
      <c r="A187" s="1">
        <v>39352</v>
      </c>
      <c r="B187" s="2">
        <v>0.58333333333333337</v>
      </c>
      <c r="C187" s="3">
        <v>196.35</v>
      </c>
      <c r="D187" s="3">
        <v>197.25</v>
      </c>
      <c r="E187" s="3">
        <v>195.05</v>
      </c>
      <c r="F187" s="3">
        <v>195.45</v>
      </c>
    </row>
    <row r="188" spans="1:6" x14ac:dyDescent="0.25">
      <c r="A188" s="1">
        <v>39353</v>
      </c>
      <c r="B188" s="2">
        <v>0.58333333333333337</v>
      </c>
      <c r="C188" s="3">
        <v>195.95</v>
      </c>
      <c r="D188" s="3">
        <v>196.8</v>
      </c>
      <c r="E188" s="3">
        <v>194.15</v>
      </c>
      <c r="F188" s="3">
        <v>195.3</v>
      </c>
    </row>
    <row r="189" spans="1:6" x14ac:dyDescent="0.25">
      <c r="A189" s="1">
        <v>39356</v>
      </c>
      <c r="B189" s="2">
        <v>0.58333333333333337</v>
      </c>
      <c r="C189" s="3">
        <v>201.15</v>
      </c>
      <c r="D189" s="3">
        <v>202.15</v>
      </c>
      <c r="E189" s="3">
        <v>200.05</v>
      </c>
      <c r="F189" s="3">
        <v>201.5</v>
      </c>
    </row>
    <row r="190" spans="1:6" x14ac:dyDescent="0.25">
      <c r="A190" s="1">
        <v>39357</v>
      </c>
      <c r="B190" s="2">
        <v>0.58333333333333337</v>
      </c>
      <c r="C190" s="3">
        <v>201.35</v>
      </c>
      <c r="D190" s="3">
        <v>202.05</v>
      </c>
      <c r="E190" s="3">
        <v>200.15</v>
      </c>
      <c r="F190" s="3">
        <v>200.95</v>
      </c>
    </row>
    <row r="191" spans="1:6" x14ac:dyDescent="0.25">
      <c r="A191" s="1">
        <v>39358</v>
      </c>
      <c r="B191" s="2">
        <v>0.58333333333333337</v>
      </c>
      <c r="C191" s="3">
        <v>200.95</v>
      </c>
      <c r="D191" s="3">
        <v>202.9</v>
      </c>
      <c r="E191" s="3">
        <v>200.95</v>
      </c>
      <c r="F191" s="3">
        <v>202.5</v>
      </c>
    </row>
    <row r="192" spans="1:6" x14ac:dyDescent="0.25">
      <c r="A192" s="1">
        <v>39359</v>
      </c>
      <c r="B192" s="2">
        <v>0.58333333333333337</v>
      </c>
      <c r="C192" s="3">
        <v>203.75</v>
      </c>
      <c r="D192" s="3">
        <v>204.05</v>
      </c>
      <c r="E192" s="3">
        <v>200.75</v>
      </c>
      <c r="F192" s="3">
        <v>201.85</v>
      </c>
    </row>
    <row r="193" spans="1:6" x14ac:dyDescent="0.25">
      <c r="A193" s="1">
        <v>39360</v>
      </c>
      <c r="B193" s="2">
        <v>0.58333333333333337</v>
      </c>
      <c r="C193" s="3">
        <v>202.15</v>
      </c>
      <c r="D193" s="3">
        <v>203.85</v>
      </c>
      <c r="E193" s="3">
        <v>201.35</v>
      </c>
      <c r="F193" s="3">
        <v>203.65</v>
      </c>
    </row>
    <row r="194" spans="1:6" x14ac:dyDescent="0.25">
      <c r="A194" s="1">
        <v>39363</v>
      </c>
      <c r="B194" s="2">
        <v>0.58333333333333337</v>
      </c>
      <c r="C194" s="3">
        <v>205.9</v>
      </c>
      <c r="D194" s="3">
        <v>206.15</v>
      </c>
      <c r="E194" s="3">
        <v>203.55</v>
      </c>
      <c r="F194" s="3">
        <v>205.4</v>
      </c>
    </row>
    <row r="195" spans="1:6" x14ac:dyDescent="0.25">
      <c r="A195" s="1">
        <v>39364</v>
      </c>
      <c r="B195" s="2">
        <v>0.58333333333333337</v>
      </c>
      <c r="C195" s="3">
        <v>203.05</v>
      </c>
      <c r="D195" s="3">
        <v>203.45</v>
      </c>
      <c r="E195" s="3">
        <v>199.25</v>
      </c>
      <c r="F195" s="3">
        <v>200.4</v>
      </c>
    </row>
    <row r="196" spans="1:6" x14ac:dyDescent="0.25">
      <c r="A196" s="1">
        <v>39365</v>
      </c>
      <c r="B196" s="2">
        <v>0.58333333333333337</v>
      </c>
      <c r="C196" s="3">
        <v>202.25</v>
      </c>
      <c r="D196" s="3">
        <v>202.85</v>
      </c>
      <c r="E196" s="3">
        <v>199.75</v>
      </c>
      <c r="F196" s="3">
        <v>200.05</v>
      </c>
    </row>
    <row r="197" spans="1:6" x14ac:dyDescent="0.25">
      <c r="A197" s="1">
        <v>39366</v>
      </c>
      <c r="B197" s="2">
        <v>0.58333333333333337</v>
      </c>
      <c r="C197" s="3">
        <v>203.65</v>
      </c>
      <c r="D197" s="3">
        <v>206.35</v>
      </c>
      <c r="E197" s="3">
        <v>202.75</v>
      </c>
      <c r="F197" s="3">
        <v>204.9</v>
      </c>
    </row>
    <row r="198" spans="1:6" x14ac:dyDescent="0.25">
      <c r="A198" s="1">
        <v>39367</v>
      </c>
      <c r="B198" s="2">
        <v>0.58333333333333337</v>
      </c>
      <c r="C198" s="3">
        <v>206.65</v>
      </c>
      <c r="D198" s="3">
        <v>207.15</v>
      </c>
      <c r="E198" s="3">
        <v>203.75</v>
      </c>
      <c r="F198" s="3">
        <v>205.95</v>
      </c>
    </row>
    <row r="199" spans="1:6" x14ac:dyDescent="0.25">
      <c r="A199" s="1">
        <v>39370</v>
      </c>
      <c r="B199" s="2">
        <v>0.58333333333333337</v>
      </c>
      <c r="C199" s="3">
        <v>195.9</v>
      </c>
      <c r="D199" s="3">
        <v>198.95</v>
      </c>
      <c r="E199" s="3">
        <v>195.9</v>
      </c>
      <c r="F199" s="3">
        <v>196.7</v>
      </c>
    </row>
    <row r="200" spans="1:6" x14ac:dyDescent="0.25">
      <c r="A200" s="1">
        <v>39371</v>
      </c>
      <c r="B200" s="2">
        <v>0.58333333333333337</v>
      </c>
      <c r="C200" s="3">
        <v>196.25</v>
      </c>
      <c r="D200" s="3">
        <v>197.65</v>
      </c>
      <c r="E200" s="3">
        <v>194.15</v>
      </c>
      <c r="F200" s="3">
        <v>194.8</v>
      </c>
    </row>
    <row r="201" spans="1:6" x14ac:dyDescent="0.25">
      <c r="A201" s="1">
        <v>39372</v>
      </c>
      <c r="B201" s="2">
        <v>0.58333333333333337</v>
      </c>
      <c r="C201" s="3">
        <v>195.9</v>
      </c>
      <c r="D201" s="3">
        <v>196.55</v>
      </c>
      <c r="E201" s="3">
        <v>195.1</v>
      </c>
      <c r="F201" s="3">
        <v>196.2</v>
      </c>
    </row>
    <row r="202" spans="1:6" x14ac:dyDescent="0.25">
      <c r="A202" s="1">
        <v>39373</v>
      </c>
      <c r="B202" s="2">
        <v>0.58333333333333337</v>
      </c>
      <c r="C202" s="3">
        <v>191.9</v>
      </c>
      <c r="D202" s="3">
        <v>192.55</v>
      </c>
      <c r="E202" s="3">
        <v>188.85</v>
      </c>
      <c r="F202" s="3">
        <v>192.05</v>
      </c>
    </row>
    <row r="203" spans="1:6" x14ac:dyDescent="0.25">
      <c r="A203" s="1">
        <v>39374</v>
      </c>
      <c r="B203" s="2">
        <v>0.58333333333333337</v>
      </c>
      <c r="C203" s="3">
        <v>191.75</v>
      </c>
      <c r="D203" s="3">
        <v>192.65</v>
      </c>
      <c r="E203" s="3">
        <v>191.05</v>
      </c>
      <c r="F203" s="3">
        <v>191.65</v>
      </c>
    </row>
    <row r="204" spans="1:6" x14ac:dyDescent="0.25">
      <c r="A204" s="1">
        <v>39377</v>
      </c>
      <c r="B204" s="2">
        <v>0.58333333333333337</v>
      </c>
      <c r="C204" s="3">
        <v>188.75</v>
      </c>
      <c r="D204" s="3">
        <v>192.25</v>
      </c>
      <c r="E204" s="3">
        <v>188.55</v>
      </c>
      <c r="F204" s="3">
        <v>190.2</v>
      </c>
    </row>
    <row r="205" spans="1:6" x14ac:dyDescent="0.25">
      <c r="A205" s="1">
        <v>39378</v>
      </c>
      <c r="B205" s="2">
        <v>0.58333333333333337</v>
      </c>
      <c r="C205" s="3">
        <v>188.95</v>
      </c>
      <c r="D205" s="3">
        <v>190.95</v>
      </c>
      <c r="E205" s="3">
        <v>188.95</v>
      </c>
      <c r="F205" s="3">
        <v>190.5</v>
      </c>
    </row>
    <row r="206" spans="1:6" x14ac:dyDescent="0.25">
      <c r="A206" s="1">
        <v>39379</v>
      </c>
      <c r="B206" s="2">
        <v>0.58333333333333337</v>
      </c>
      <c r="C206" s="3">
        <v>189.85</v>
      </c>
      <c r="D206" s="3">
        <v>190.5</v>
      </c>
      <c r="E206" s="3">
        <v>189.45</v>
      </c>
      <c r="F206" s="3">
        <v>190.15</v>
      </c>
    </row>
    <row r="207" spans="1:6" x14ac:dyDescent="0.25">
      <c r="A207" s="1">
        <v>39380</v>
      </c>
      <c r="B207" s="2">
        <v>0.58333333333333337</v>
      </c>
      <c r="C207" s="3">
        <v>190.05</v>
      </c>
      <c r="D207" s="3">
        <v>190.2</v>
      </c>
      <c r="E207" s="3">
        <v>186.9</v>
      </c>
      <c r="F207" s="3">
        <v>187.25</v>
      </c>
    </row>
    <row r="208" spans="1:6" x14ac:dyDescent="0.25">
      <c r="A208" s="1">
        <v>39381</v>
      </c>
      <c r="B208" s="2">
        <v>0.58333333333333337</v>
      </c>
      <c r="C208" s="3">
        <v>186.85</v>
      </c>
      <c r="D208" s="3">
        <v>188.75</v>
      </c>
      <c r="E208" s="3">
        <v>186.45</v>
      </c>
      <c r="F208" s="3">
        <v>188.1</v>
      </c>
    </row>
    <row r="209" spans="1:6" x14ac:dyDescent="0.25">
      <c r="A209" s="1">
        <v>39384</v>
      </c>
      <c r="B209" s="2">
        <v>0.58333333333333337</v>
      </c>
      <c r="C209" s="3">
        <v>187.35</v>
      </c>
      <c r="D209" s="3">
        <v>189.05</v>
      </c>
      <c r="E209" s="3">
        <v>186.95</v>
      </c>
      <c r="F209" s="3">
        <v>189</v>
      </c>
    </row>
    <row r="210" spans="1:6" x14ac:dyDescent="0.25">
      <c r="A210" s="1">
        <v>39385</v>
      </c>
      <c r="B210" s="2">
        <v>0.58333333333333337</v>
      </c>
      <c r="C210" s="3">
        <v>188.95</v>
      </c>
      <c r="D210" s="3">
        <v>189.4</v>
      </c>
      <c r="E210" s="3">
        <v>187.05</v>
      </c>
      <c r="F210" s="3">
        <v>188.55</v>
      </c>
    </row>
    <row r="211" spans="1:6" x14ac:dyDescent="0.25">
      <c r="A211" s="1">
        <v>39386</v>
      </c>
      <c r="B211" s="2">
        <v>0.58333333333333337</v>
      </c>
      <c r="C211" s="3">
        <v>188.65</v>
      </c>
      <c r="D211" s="3">
        <v>189.55</v>
      </c>
      <c r="E211" s="3">
        <v>187.45</v>
      </c>
      <c r="F211" s="3">
        <v>188</v>
      </c>
    </row>
    <row r="212" spans="1:6" x14ac:dyDescent="0.25">
      <c r="A212" s="1">
        <v>39387</v>
      </c>
      <c r="B212" s="2">
        <v>0.58333333333333337</v>
      </c>
      <c r="C212" s="3">
        <v>188.35</v>
      </c>
      <c r="D212" s="3">
        <v>190.45</v>
      </c>
      <c r="E212" s="3">
        <v>188.35</v>
      </c>
      <c r="F212" s="3">
        <v>189.25</v>
      </c>
    </row>
    <row r="213" spans="1:6" x14ac:dyDescent="0.25">
      <c r="A213" s="1">
        <v>39388</v>
      </c>
      <c r="B213" s="2">
        <v>0.58333333333333337</v>
      </c>
      <c r="C213" s="3">
        <v>188.15</v>
      </c>
      <c r="D213" s="3">
        <v>188.65</v>
      </c>
      <c r="E213" s="3">
        <v>184.65</v>
      </c>
      <c r="F213" s="3">
        <v>185.55</v>
      </c>
    </row>
    <row r="214" spans="1:6" x14ac:dyDescent="0.25">
      <c r="A214" s="1">
        <v>39391</v>
      </c>
      <c r="B214" s="2">
        <v>0.58333333333333337</v>
      </c>
      <c r="C214" s="3">
        <v>186.45</v>
      </c>
      <c r="D214" s="3">
        <v>187.05</v>
      </c>
      <c r="E214" s="3">
        <v>186.05</v>
      </c>
      <c r="F214" s="3">
        <v>186.6</v>
      </c>
    </row>
    <row r="215" spans="1:6" x14ac:dyDescent="0.25">
      <c r="A215" s="1">
        <v>39392</v>
      </c>
      <c r="B215" s="2">
        <v>0.58333333333333337</v>
      </c>
      <c r="C215" s="3">
        <v>187.35</v>
      </c>
      <c r="D215" s="3">
        <v>188.05</v>
      </c>
      <c r="E215" s="3">
        <v>186.45</v>
      </c>
      <c r="F215" s="3">
        <v>187.35</v>
      </c>
    </row>
    <row r="216" spans="1:6" x14ac:dyDescent="0.25">
      <c r="A216" s="1">
        <v>39393</v>
      </c>
      <c r="B216" s="2">
        <v>0.58333333333333337</v>
      </c>
      <c r="C216" s="3">
        <v>188.75</v>
      </c>
      <c r="D216" s="3">
        <v>188.8</v>
      </c>
      <c r="E216" s="3">
        <v>186.95</v>
      </c>
      <c r="F216" s="3">
        <v>187.1</v>
      </c>
    </row>
    <row r="217" spans="1:6" x14ac:dyDescent="0.25">
      <c r="A217" s="1">
        <v>39394</v>
      </c>
      <c r="B217" s="2">
        <v>0.58333333333333337</v>
      </c>
      <c r="C217" s="3">
        <v>187.4</v>
      </c>
      <c r="D217" s="3">
        <v>189.35</v>
      </c>
      <c r="E217" s="3">
        <v>187.4</v>
      </c>
      <c r="F217" s="3">
        <v>188.55</v>
      </c>
    </row>
    <row r="218" spans="1:6" x14ac:dyDescent="0.25">
      <c r="A218" s="1">
        <v>39395</v>
      </c>
      <c r="B218" s="2">
        <v>0.58333333333333337</v>
      </c>
      <c r="C218" s="3">
        <v>189.15</v>
      </c>
      <c r="D218" s="3">
        <v>189.4</v>
      </c>
      <c r="E218" s="3">
        <v>188.05</v>
      </c>
      <c r="F218" s="3">
        <v>188.4</v>
      </c>
    </row>
    <row r="219" spans="1:6" x14ac:dyDescent="0.25">
      <c r="A219" s="1">
        <v>39398</v>
      </c>
      <c r="B219" s="2">
        <v>0.58333333333333337</v>
      </c>
      <c r="C219" s="3">
        <v>191.65</v>
      </c>
      <c r="D219" s="3">
        <v>192.55</v>
      </c>
      <c r="E219" s="3">
        <v>189.3</v>
      </c>
      <c r="F219" s="3">
        <v>192.55</v>
      </c>
    </row>
    <row r="220" spans="1:6" x14ac:dyDescent="0.25">
      <c r="A220" s="1">
        <v>39399</v>
      </c>
      <c r="B220" s="2">
        <v>0.58333333333333337</v>
      </c>
      <c r="C220" s="3">
        <v>194.35</v>
      </c>
      <c r="D220" s="3">
        <v>195.65</v>
      </c>
      <c r="E220" s="3">
        <v>193.25</v>
      </c>
      <c r="F220" s="3">
        <v>193.4</v>
      </c>
    </row>
    <row r="221" spans="1:6" x14ac:dyDescent="0.25">
      <c r="A221" s="1">
        <v>39400</v>
      </c>
      <c r="B221" s="2">
        <v>0.58333333333333337</v>
      </c>
      <c r="C221" s="3">
        <v>194.1</v>
      </c>
      <c r="D221" s="3">
        <v>195.15</v>
      </c>
      <c r="E221" s="3">
        <v>193.75</v>
      </c>
      <c r="F221" s="3">
        <v>194.95</v>
      </c>
    </row>
    <row r="222" spans="1:6" x14ac:dyDescent="0.25">
      <c r="A222" s="1">
        <v>39401</v>
      </c>
      <c r="B222" s="2">
        <v>0.58333333333333337</v>
      </c>
      <c r="C222" s="3">
        <v>194.4</v>
      </c>
      <c r="D222" s="3">
        <v>196.65</v>
      </c>
      <c r="E222" s="3">
        <v>194.05</v>
      </c>
      <c r="F222" s="3">
        <v>195.55</v>
      </c>
    </row>
    <row r="223" spans="1:6" x14ac:dyDescent="0.25">
      <c r="A223" s="1">
        <v>39402</v>
      </c>
      <c r="B223" s="2">
        <v>0.58333333333333337</v>
      </c>
      <c r="C223" s="3">
        <v>196.75</v>
      </c>
      <c r="D223" s="3">
        <v>196.75</v>
      </c>
      <c r="E223" s="3">
        <v>195.4</v>
      </c>
      <c r="F223" s="3">
        <v>195.7</v>
      </c>
    </row>
    <row r="224" spans="1:6" x14ac:dyDescent="0.25">
      <c r="A224" s="1">
        <v>39405</v>
      </c>
      <c r="B224" s="2">
        <v>0.58333333333333337</v>
      </c>
      <c r="C224" s="3">
        <v>193.65</v>
      </c>
      <c r="D224" s="3">
        <v>193.65</v>
      </c>
      <c r="E224" s="3">
        <v>191.65</v>
      </c>
      <c r="F224" s="3">
        <v>192.5</v>
      </c>
    </row>
    <row r="225" spans="1:6" x14ac:dyDescent="0.25">
      <c r="A225" s="1">
        <v>39406</v>
      </c>
      <c r="B225" s="2">
        <v>0.58333333333333337</v>
      </c>
      <c r="C225" s="3">
        <v>193.6</v>
      </c>
      <c r="D225" s="3">
        <v>195.05</v>
      </c>
      <c r="E225" s="3">
        <v>193.6</v>
      </c>
      <c r="F225" s="3">
        <v>194.4</v>
      </c>
    </row>
    <row r="226" spans="1:6" x14ac:dyDescent="0.25">
      <c r="A226" s="1">
        <v>39407</v>
      </c>
      <c r="B226" s="2">
        <v>0.58333333333333337</v>
      </c>
      <c r="C226" s="3">
        <v>194.15</v>
      </c>
      <c r="D226" s="3">
        <v>194.45</v>
      </c>
      <c r="E226" s="3">
        <v>192.75</v>
      </c>
      <c r="F226" s="3">
        <v>193.25</v>
      </c>
    </row>
    <row r="227" spans="1:6" x14ac:dyDescent="0.25">
      <c r="A227" s="1">
        <v>39412</v>
      </c>
      <c r="B227" s="2">
        <v>0.58333333333333337</v>
      </c>
      <c r="C227" s="3">
        <v>193.15</v>
      </c>
      <c r="D227" s="3">
        <v>193.45</v>
      </c>
      <c r="E227" s="3">
        <v>192.15</v>
      </c>
      <c r="F227" s="3">
        <v>192.25</v>
      </c>
    </row>
    <row r="228" spans="1:6" x14ac:dyDescent="0.25">
      <c r="A228" s="1">
        <v>39413</v>
      </c>
      <c r="B228" s="2">
        <v>0.58333333333333337</v>
      </c>
      <c r="C228" s="3">
        <v>191.75</v>
      </c>
      <c r="D228" s="3">
        <v>192.25</v>
      </c>
      <c r="E228" s="3">
        <v>190.25</v>
      </c>
      <c r="F228" s="3">
        <v>192.25</v>
      </c>
    </row>
    <row r="229" spans="1:6" x14ac:dyDescent="0.25">
      <c r="A229" s="1">
        <v>39414</v>
      </c>
      <c r="B229" s="2">
        <v>0.58333333333333337</v>
      </c>
      <c r="C229" s="3">
        <v>193.9</v>
      </c>
      <c r="D229" s="3">
        <v>197.65</v>
      </c>
      <c r="E229" s="3">
        <v>193.9</v>
      </c>
      <c r="F229" s="3">
        <v>195.6</v>
      </c>
    </row>
    <row r="230" spans="1:6" x14ac:dyDescent="0.25">
      <c r="A230" s="1">
        <v>39415</v>
      </c>
      <c r="B230" s="2">
        <v>0.58333333333333337</v>
      </c>
      <c r="C230" s="3">
        <v>195.65</v>
      </c>
      <c r="D230" s="3">
        <v>196.55</v>
      </c>
      <c r="E230" s="3">
        <v>195.05</v>
      </c>
      <c r="F230" s="3">
        <v>195.2</v>
      </c>
    </row>
    <row r="231" spans="1:6" x14ac:dyDescent="0.25">
      <c r="A231" s="1">
        <v>39416</v>
      </c>
      <c r="B231" s="2">
        <v>0.58333333333333337</v>
      </c>
      <c r="C231" s="3">
        <v>196.55</v>
      </c>
      <c r="D231" s="3">
        <v>198.15</v>
      </c>
      <c r="E231" s="3">
        <v>194.4</v>
      </c>
      <c r="F231" s="3">
        <v>195.85</v>
      </c>
    </row>
    <row r="232" spans="1:6" x14ac:dyDescent="0.25">
      <c r="A232" s="1">
        <v>39419</v>
      </c>
      <c r="B232" s="2">
        <v>0.58333333333333337</v>
      </c>
      <c r="C232" s="3">
        <v>195.35</v>
      </c>
      <c r="D232" s="3">
        <v>197.65</v>
      </c>
      <c r="E232" s="3">
        <v>195.25</v>
      </c>
      <c r="F232" s="3">
        <v>196.6</v>
      </c>
    </row>
    <row r="233" spans="1:6" x14ac:dyDescent="0.25">
      <c r="A233" s="1">
        <v>39420</v>
      </c>
      <c r="B233" s="2">
        <v>0.58333333333333337</v>
      </c>
      <c r="C233" s="3">
        <v>197.3</v>
      </c>
      <c r="D233" s="3">
        <v>197.65</v>
      </c>
      <c r="E233" s="3">
        <v>196.5</v>
      </c>
      <c r="F233" s="3">
        <v>197.25</v>
      </c>
    </row>
    <row r="234" spans="1:6" x14ac:dyDescent="0.25">
      <c r="A234" s="1">
        <v>39421</v>
      </c>
      <c r="B234" s="2">
        <v>0.58333333333333337</v>
      </c>
      <c r="C234" s="3">
        <v>196.75</v>
      </c>
      <c r="D234" s="3">
        <v>198.15</v>
      </c>
      <c r="E234" s="3">
        <v>196.75</v>
      </c>
      <c r="F234" s="3">
        <v>197.8</v>
      </c>
    </row>
    <row r="235" spans="1:6" x14ac:dyDescent="0.25">
      <c r="A235" s="1">
        <v>39422</v>
      </c>
      <c r="B235" s="2">
        <v>0.58333333333333337</v>
      </c>
      <c r="C235" s="3">
        <v>196.75</v>
      </c>
      <c r="D235" s="3">
        <v>197.15</v>
      </c>
      <c r="E235" s="3">
        <v>194.95</v>
      </c>
      <c r="F235" s="3">
        <v>195.7</v>
      </c>
    </row>
    <row r="236" spans="1:6" x14ac:dyDescent="0.25">
      <c r="A236" s="1">
        <v>39423</v>
      </c>
      <c r="B236" s="2">
        <v>0.58333333333333337</v>
      </c>
      <c r="C236" s="3">
        <v>196.05</v>
      </c>
      <c r="D236" s="3">
        <v>198.05</v>
      </c>
      <c r="E236" s="3">
        <v>195.55</v>
      </c>
      <c r="F236" s="3">
        <v>197.8</v>
      </c>
    </row>
    <row r="237" spans="1:6" x14ac:dyDescent="0.25">
      <c r="A237" s="1">
        <v>39426</v>
      </c>
      <c r="B237" s="2">
        <v>0.58333333333333337</v>
      </c>
      <c r="C237" s="3">
        <v>197.35</v>
      </c>
      <c r="D237" s="3">
        <v>200.45</v>
      </c>
      <c r="E237" s="3">
        <v>197.35</v>
      </c>
      <c r="F237" s="3">
        <v>200.15</v>
      </c>
    </row>
    <row r="238" spans="1:6" x14ac:dyDescent="0.25">
      <c r="A238" s="1">
        <v>39427</v>
      </c>
      <c r="B238" s="2">
        <v>0.58333333333333337</v>
      </c>
      <c r="C238" s="3">
        <v>201.65</v>
      </c>
      <c r="D238" s="3">
        <v>201.65</v>
      </c>
      <c r="E238" s="3">
        <v>199.8</v>
      </c>
      <c r="F238" s="3">
        <v>200.15</v>
      </c>
    </row>
    <row r="239" spans="1:6" x14ac:dyDescent="0.25">
      <c r="A239" s="1">
        <v>39428</v>
      </c>
      <c r="B239" s="2">
        <v>0.58333333333333337</v>
      </c>
      <c r="C239" s="3">
        <v>200.65</v>
      </c>
      <c r="D239" s="3">
        <v>201.15</v>
      </c>
      <c r="E239" s="3">
        <v>200.15</v>
      </c>
      <c r="F239" s="3">
        <v>200.8</v>
      </c>
    </row>
    <row r="240" spans="1:6" x14ac:dyDescent="0.25">
      <c r="A240" s="1">
        <v>39429</v>
      </c>
      <c r="B240" s="2">
        <v>0.58333333333333337</v>
      </c>
      <c r="C240" s="3">
        <v>201.15</v>
      </c>
      <c r="D240" s="3">
        <v>201.45</v>
      </c>
      <c r="E240" s="3">
        <v>198.85</v>
      </c>
      <c r="F240" s="3">
        <v>200.05</v>
      </c>
    </row>
    <row r="241" spans="1:6" x14ac:dyDescent="0.25">
      <c r="A241" s="1">
        <v>39430</v>
      </c>
      <c r="B241" s="2">
        <v>0.58333333333333337</v>
      </c>
      <c r="C241" s="3">
        <v>200.15</v>
      </c>
      <c r="D241" s="3">
        <v>200.8</v>
      </c>
      <c r="E241" s="3">
        <v>199.35</v>
      </c>
      <c r="F241" s="3">
        <v>200.6</v>
      </c>
    </row>
    <row r="242" spans="1:6" x14ac:dyDescent="0.25">
      <c r="A242" s="1">
        <v>39433</v>
      </c>
      <c r="B242" s="2">
        <v>0.58333333333333337</v>
      </c>
      <c r="C242" s="3">
        <v>200.5</v>
      </c>
      <c r="D242" s="3">
        <v>202.15</v>
      </c>
      <c r="E242" s="3">
        <v>199.55</v>
      </c>
      <c r="F242" s="3">
        <v>200.1</v>
      </c>
    </row>
    <row r="243" spans="1:6" x14ac:dyDescent="0.25">
      <c r="A243" s="1">
        <v>39434</v>
      </c>
      <c r="B243" s="2">
        <v>0.58333333333333337</v>
      </c>
      <c r="C243" s="3">
        <v>201.05</v>
      </c>
      <c r="D243" s="3">
        <v>201.95</v>
      </c>
      <c r="E243" s="3">
        <v>200.75</v>
      </c>
      <c r="F243" s="3">
        <v>201.2</v>
      </c>
    </row>
    <row r="244" spans="1:6" x14ac:dyDescent="0.25">
      <c r="A244" s="1">
        <v>39435</v>
      </c>
      <c r="B244" s="2">
        <v>0.58333333333333337</v>
      </c>
      <c r="C244" s="3">
        <v>200.9</v>
      </c>
      <c r="D244" s="3">
        <v>202.65</v>
      </c>
      <c r="E244" s="3">
        <v>200.25</v>
      </c>
      <c r="F244" s="3">
        <v>201.15</v>
      </c>
    </row>
    <row r="245" spans="1:6" x14ac:dyDescent="0.25">
      <c r="A245" s="1">
        <v>39436</v>
      </c>
      <c r="B245" s="2">
        <v>0.58333333333333337</v>
      </c>
      <c r="C245" s="3">
        <v>201.15</v>
      </c>
      <c r="D245" s="3">
        <v>201.35</v>
      </c>
      <c r="E245" s="3">
        <v>199.6</v>
      </c>
      <c r="F245" s="3">
        <v>200.35</v>
      </c>
    </row>
    <row r="246" spans="1:6" x14ac:dyDescent="0.25">
      <c r="A246" s="1">
        <v>39437</v>
      </c>
      <c r="B246" s="2">
        <v>0.58333333333333337</v>
      </c>
      <c r="C246" s="3">
        <v>200.4</v>
      </c>
      <c r="D246" s="3">
        <v>201</v>
      </c>
      <c r="E246" s="3">
        <v>200.4</v>
      </c>
      <c r="F246" s="3">
        <v>200.85</v>
      </c>
    </row>
    <row r="247" spans="1:6" x14ac:dyDescent="0.25">
      <c r="A247" s="1">
        <v>39442</v>
      </c>
      <c r="B247" s="2">
        <v>0.58333333333333337</v>
      </c>
      <c r="C247" s="3">
        <v>201.25</v>
      </c>
      <c r="D247" s="3">
        <v>201.6</v>
      </c>
      <c r="E247" s="3">
        <v>196.15</v>
      </c>
      <c r="F247" s="3">
        <v>200.3</v>
      </c>
    </row>
    <row r="248" spans="1:6" x14ac:dyDescent="0.25">
      <c r="A248" s="1">
        <v>39443</v>
      </c>
      <c r="B248" s="2">
        <v>0.58333333333333337</v>
      </c>
      <c r="C248" s="3">
        <v>199.65</v>
      </c>
      <c r="D248" s="3">
        <v>199.85</v>
      </c>
      <c r="E248" s="3">
        <v>198.05</v>
      </c>
      <c r="F248" s="3">
        <v>198.45</v>
      </c>
    </row>
    <row r="249" spans="1:6" x14ac:dyDescent="0.25">
      <c r="A249" s="1">
        <v>39444</v>
      </c>
      <c r="B249" s="2">
        <v>0.58333333333333337</v>
      </c>
      <c r="C249" s="3">
        <v>200.05</v>
      </c>
      <c r="D249" s="3">
        <v>200.15</v>
      </c>
      <c r="E249" s="3">
        <v>199.25</v>
      </c>
      <c r="F249" s="3">
        <v>199.75</v>
      </c>
    </row>
    <row r="250" spans="1:6" x14ac:dyDescent="0.25">
      <c r="A250" s="1">
        <v>39447</v>
      </c>
      <c r="B250" s="2">
        <v>0.58333333333333337</v>
      </c>
      <c r="C250" s="3">
        <v>201.35</v>
      </c>
      <c r="D250" s="3">
        <v>203.65</v>
      </c>
      <c r="E250" s="3">
        <v>201.25</v>
      </c>
      <c r="F250" s="3">
        <v>202.85</v>
      </c>
    </row>
    <row r="251" spans="1:6" x14ac:dyDescent="0.25">
      <c r="A251" s="1">
        <v>39449</v>
      </c>
      <c r="B251" s="2">
        <v>0.58333333333333337</v>
      </c>
      <c r="C251" s="3">
        <v>203.25</v>
      </c>
      <c r="D251" s="3">
        <v>203.65</v>
      </c>
      <c r="E251" s="3">
        <v>199.45</v>
      </c>
      <c r="F251" s="3">
        <v>200.65</v>
      </c>
    </row>
    <row r="252" spans="1:6" x14ac:dyDescent="0.25">
      <c r="A252" s="1">
        <v>39450</v>
      </c>
      <c r="B252" s="2">
        <v>0.58333333333333337</v>
      </c>
      <c r="C252" s="3">
        <v>202.05</v>
      </c>
      <c r="D252" s="3">
        <v>203.15</v>
      </c>
      <c r="E252" s="3">
        <v>201.35</v>
      </c>
      <c r="F252" s="3">
        <v>201.85</v>
      </c>
    </row>
    <row r="253" spans="1:6" x14ac:dyDescent="0.25">
      <c r="A253" s="1">
        <v>39451</v>
      </c>
      <c r="B253" s="2">
        <v>0.58333333333333337</v>
      </c>
      <c r="C253" s="3">
        <v>200.15</v>
      </c>
      <c r="D253" s="3">
        <v>200.45</v>
      </c>
      <c r="E253" s="3">
        <v>196.95</v>
      </c>
      <c r="F253" s="3">
        <v>199.35</v>
      </c>
    </row>
    <row r="254" spans="1:6" x14ac:dyDescent="0.25">
      <c r="A254" s="1">
        <v>39454</v>
      </c>
      <c r="B254" s="2">
        <v>0.58333333333333337</v>
      </c>
      <c r="C254" s="3">
        <v>197.25</v>
      </c>
      <c r="D254" s="3">
        <v>199.3</v>
      </c>
      <c r="E254" s="3">
        <v>197.25</v>
      </c>
      <c r="F254" s="3">
        <v>198.05</v>
      </c>
    </row>
    <row r="255" spans="1:6" x14ac:dyDescent="0.25">
      <c r="A255" s="1">
        <v>39455</v>
      </c>
      <c r="B255" s="2">
        <v>0.58333333333333337</v>
      </c>
      <c r="C255" s="3">
        <v>199.35</v>
      </c>
      <c r="D255" s="3">
        <v>202.65</v>
      </c>
      <c r="E255" s="3">
        <v>199.35</v>
      </c>
      <c r="F255" s="3">
        <v>202.1</v>
      </c>
    </row>
    <row r="256" spans="1:6" x14ac:dyDescent="0.25">
      <c r="A256" s="1">
        <v>39456</v>
      </c>
      <c r="B256" s="2">
        <v>0.58333333333333337</v>
      </c>
      <c r="C256" s="3">
        <v>200.95</v>
      </c>
      <c r="D256" s="3">
        <v>202.35</v>
      </c>
      <c r="E256" s="3">
        <v>200.95</v>
      </c>
      <c r="F256" s="3">
        <v>202.25</v>
      </c>
    </row>
    <row r="257" spans="1:6" x14ac:dyDescent="0.25">
      <c r="A257" s="1">
        <v>39457</v>
      </c>
      <c r="B257" s="2">
        <v>0.58333333333333337</v>
      </c>
      <c r="C257" s="3">
        <v>202.25</v>
      </c>
      <c r="D257" s="3">
        <v>203.65</v>
      </c>
      <c r="E257" s="3">
        <v>201.65</v>
      </c>
      <c r="F257" s="3">
        <v>203.3</v>
      </c>
    </row>
    <row r="258" spans="1:6" x14ac:dyDescent="0.25">
      <c r="A258" s="1">
        <v>39458</v>
      </c>
      <c r="B258" s="2">
        <v>0.58333333333333337</v>
      </c>
      <c r="C258" s="3">
        <v>203.3</v>
      </c>
      <c r="D258" s="3">
        <v>204.05</v>
      </c>
      <c r="E258" s="3">
        <v>201.75</v>
      </c>
      <c r="F258" s="3">
        <v>202.95</v>
      </c>
    </row>
    <row r="259" spans="1:6" x14ac:dyDescent="0.25">
      <c r="A259" s="1">
        <v>39461</v>
      </c>
      <c r="B259" s="2">
        <v>0.58333333333333337</v>
      </c>
      <c r="C259" s="3">
        <v>202.75</v>
      </c>
      <c r="D259" s="3">
        <v>204.45</v>
      </c>
      <c r="E259" s="3">
        <v>200.75</v>
      </c>
      <c r="F259" s="3">
        <v>204.2</v>
      </c>
    </row>
    <row r="260" spans="1:6" x14ac:dyDescent="0.25">
      <c r="A260" s="1">
        <v>39462</v>
      </c>
      <c r="B260" s="2">
        <v>0.58333333333333337</v>
      </c>
      <c r="C260" s="3">
        <v>203.9</v>
      </c>
      <c r="D260" s="3">
        <v>206.05</v>
      </c>
      <c r="E260" s="3">
        <v>202.35</v>
      </c>
      <c r="F260" s="3">
        <v>203.5</v>
      </c>
    </row>
    <row r="261" spans="1:6" x14ac:dyDescent="0.25">
      <c r="A261" s="1">
        <v>39463</v>
      </c>
      <c r="B261" s="2">
        <v>0.58333333333333337</v>
      </c>
      <c r="C261" s="3">
        <v>202.35</v>
      </c>
      <c r="D261" s="3">
        <v>202.7</v>
      </c>
      <c r="E261" s="3">
        <v>200.15</v>
      </c>
      <c r="F261" s="3">
        <v>201.55</v>
      </c>
    </row>
    <row r="262" spans="1:6" x14ac:dyDescent="0.25">
      <c r="A262" s="1">
        <v>39464</v>
      </c>
      <c r="B262" s="2">
        <v>0.58333333333333337</v>
      </c>
      <c r="C262" s="3">
        <v>200.55</v>
      </c>
      <c r="D262" s="3">
        <v>202.15</v>
      </c>
      <c r="E262" s="3">
        <v>199.95</v>
      </c>
      <c r="F262" s="3">
        <v>201.05</v>
      </c>
    </row>
    <row r="263" spans="1:6" x14ac:dyDescent="0.25">
      <c r="A263" s="1">
        <v>39465</v>
      </c>
      <c r="B263" s="2">
        <v>0.58333333333333337</v>
      </c>
      <c r="C263" s="3">
        <v>200.15</v>
      </c>
      <c r="D263" s="3">
        <v>200.55</v>
      </c>
      <c r="E263" s="3">
        <v>199.4</v>
      </c>
      <c r="F263" s="3">
        <v>199.75</v>
      </c>
    </row>
    <row r="264" spans="1:6" x14ac:dyDescent="0.25">
      <c r="A264" s="1">
        <v>39469</v>
      </c>
      <c r="B264" s="2">
        <v>0.58333333333333337</v>
      </c>
      <c r="C264" s="3">
        <v>196.85</v>
      </c>
      <c r="D264" s="3">
        <v>201.95</v>
      </c>
      <c r="E264" s="3">
        <v>196.35</v>
      </c>
      <c r="F264" s="3">
        <v>201.65</v>
      </c>
    </row>
    <row r="265" spans="1:6" x14ac:dyDescent="0.25">
      <c r="A265" s="1">
        <v>39470</v>
      </c>
      <c r="B265" s="2">
        <v>0.58333333333333337</v>
      </c>
      <c r="C265" s="3">
        <v>201.15</v>
      </c>
      <c r="D265" s="3">
        <v>201.9</v>
      </c>
      <c r="E265" s="3">
        <v>197.75</v>
      </c>
      <c r="F265" s="3">
        <v>197.95</v>
      </c>
    </row>
    <row r="266" spans="1:6" x14ac:dyDescent="0.25">
      <c r="A266" s="1">
        <v>39471</v>
      </c>
      <c r="B266" s="2">
        <v>0.58333333333333337</v>
      </c>
      <c r="C266" s="3">
        <v>198.05</v>
      </c>
      <c r="D266" s="3">
        <v>199.15</v>
      </c>
      <c r="E266" s="3">
        <v>197.15</v>
      </c>
      <c r="F266" s="3">
        <v>199</v>
      </c>
    </row>
    <row r="267" spans="1:6" x14ac:dyDescent="0.25">
      <c r="A267" s="1">
        <v>39472</v>
      </c>
      <c r="B267" s="2">
        <v>0.58333333333333337</v>
      </c>
      <c r="C267" s="3">
        <v>198.65</v>
      </c>
      <c r="D267" s="3">
        <v>199.55</v>
      </c>
      <c r="E267" s="3">
        <v>197.9</v>
      </c>
      <c r="F267" s="3">
        <v>198.1</v>
      </c>
    </row>
    <row r="268" spans="1:6" x14ac:dyDescent="0.25">
      <c r="A268" s="1">
        <v>39475</v>
      </c>
      <c r="B268" s="2">
        <v>0.58333333333333337</v>
      </c>
      <c r="C268" s="3">
        <v>197.8</v>
      </c>
      <c r="D268" s="3">
        <v>201.25</v>
      </c>
      <c r="E268" s="3">
        <v>197.65</v>
      </c>
      <c r="F268" s="3">
        <v>200.85</v>
      </c>
    </row>
    <row r="269" spans="1:6" x14ac:dyDescent="0.25">
      <c r="A269" s="1">
        <v>39476</v>
      </c>
      <c r="B269" s="2">
        <v>0.58333333333333337</v>
      </c>
      <c r="C269" s="3">
        <v>201.15</v>
      </c>
      <c r="D269" s="3">
        <v>201.55</v>
      </c>
      <c r="E269" s="3">
        <v>200.05</v>
      </c>
      <c r="F269" s="3">
        <v>200.35</v>
      </c>
    </row>
    <row r="270" spans="1:6" x14ac:dyDescent="0.25">
      <c r="A270" s="1">
        <v>39477</v>
      </c>
      <c r="B270" s="2">
        <v>0.58333333333333337</v>
      </c>
      <c r="C270" s="3">
        <v>200.75</v>
      </c>
      <c r="D270" s="3">
        <v>203.85</v>
      </c>
      <c r="E270" s="3">
        <v>200.75</v>
      </c>
      <c r="F270" s="3">
        <v>203.2</v>
      </c>
    </row>
    <row r="271" spans="1:6" x14ac:dyDescent="0.25">
      <c r="A271" s="1">
        <v>39478</v>
      </c>
      <c r="B271" s="2">
        <v>0.58333333333333337</v>
      </c>
      <c r="C271" s="3">
        <v>203.9</v>
      </c>
      <c r="D271" s="3">
        <v>205.15</v>
      </c>
      <c r="E271" s="3">
        <v>203.25</v>
      </c>
      <c r="F271" s="3">
        <v>204.8</v>
      </c>
    </row>
    <row r="272" spans="1:6" x14ac:dyDescent="0.25">
      <c r="A272" s="1">
        <v>39479</v>
      </c>
      <c r="B272" s="2">
        <v>0.58333333333333337</v>
      </c>
      <c r="C272" s="3">
        <v>205.65</v>
      </c>
      <c r="D272" s="3">
        <v>206.15</v>
      </c>
      <c r="E272" s="3">
        <v>204.25</v>
      </c>
      <c r="F272" s="3">
        <v>205.75</v>
      </c>
    </row>
    <row r="273" spans="1:6" x14ac:dyDescent="0.25">
      <c r="A273" s="1">
        <v>39482</v>
      </c>
      <c r="B273" s="2">
        <v>0.58333333333333337</v>
      </c>
      <c r="C273" s="3">
        <v>206.55</v>
      </c>
      <c r="D273" s="3">
        <v>210.65</v>
      </c>
      <c r="E273" s="3">
        <v>205.95</v>
      </c>
      <c r="F273" s="3">
        <v>209.35</v>
      </c>
    </row>
    <row r="274" spans="1:6" x14ac:dyDescent="0.25">
      <c r="A274" s="1">
        <v>39483</v>
      </c>
      <c r="B274" s="2">
        <v>0.58333333333333337</v>
      </c>
      <c r="C274" s="3">
        <v>209.05</v>
      </c>
      <c r="D274" s="3">
        <v>210.15</v>
      </c>
      <c r="E274" s="3">
        <v>207.9</v>
      </c>
      <c r="F274" s="3">
        <v>209.25</v>
      </c>
    </row>
    <row r="275" spans="1:6" x14ac:dyDescent="0.25">
      <c r="A275" s="1">
        <v>39484</v>
      </c>
      <c r="B275" s="2">
        <v>0.58333333333333337</v>
      </c>
      <c r="C275" s="3">
        <v>208.85</v>
      </c>
      <c r="D275" s="3">
        <v>209.95</v>
      </c>
      <c r="E275" s="3">
        <v>208.7</v>
      </c>
      <c r="F275" s="3">
        <v>209.8</v>
      </c>
    </row>
    <row r="276" spans="1:6" x14ac:dyDescent="0.25">
      <c r="A276" s="1">
        <v>39485</v>
      </c>
      <c r="B276" s="2">
        <v>0.58333333333333337</v>
      </c>
      <c r="C276" s="3">
        <v>209.05</v>
      </c>
      <c r="D276" s="3">
        <v>210.15</v>
      </c>
      <c r="E276" s="3">
        <v>208.45</v>
      </c>
      <c r="F276" s="3">
        <v>209.95</v>
      </c>
    </row>
    <row r="277" spans="1:6" x14ac:dyDescent="0.25">
      <c r="A277" s="1">
        <v>39486</v>
      </c>
      <c r="B277" s="2">
        <v>0.58333333333333337</v>
      </c>
      <c r="C277" s="3">
        <v>209.15</v>
      </c>
      <c r="D277" s="3">
        <v>213.95</v>
      </c>
      <c r="E277" s="3">
        <v>209.05</v>
      </c>
      <c r="F277" s="3">
        <v>213.85</v>
      </c>
    </row>
    <row r="278" spans="1:6" x14ac:dyDescent="0.25">
      <c r="A278" s="1">
        <v>39489</v>
      </c>
      <c r="B278" s="2">
        <v>0.58333333333333337</v>
      </c>
      <c r="C278" s="3">
        <v>214.8</v>
      </c>
      <c r="D278" s="3">
        <v>215.25</v>
      </c>
      <c r="E278" s="3">
        <v>212.55</v>
      </c>
      <c r="F278" s="3">
        <v>214.55</v>
      </c>
    </row>
    <row r="279" spans="1:6" x14ac:dyDescent="0.25">
      <c r="A279" s="1">
        <v>39490</v>
      </c>
      <c r="B279" s="2">
        <v>0.58333333333333337</v>
      </c>
      <c r="C279" s="3">
        <v>213.75</v>
      </c>
      <c r="D279" s="3">
        <v>215.05</v>
      </c>
      <c r="E279" s="3">
        <v>213.75</v>
      </c>
      <c r="F279" s="3">
        <v>214.6</v>
      </c>
    </row>
    <row r="280" spans="1:6" x14ac:dyDescent="0.25">
      <c r="A280" s="1">
        <v>39491</v>
      </c>
      <c r="B280" s="2">
        <v>0.58333333333333337</v>
      </c>
      <c r="C280" s="3">
        <v>214.05</v>
      </c>
      <c r="D280" s="3">
        <v>216.95</v>
      </c>
      <c r="E280" s="3">
        <v>213.3</v>
      </c>
      <c r="F280" s="3">
        <v>216.2</v>
      </c>
    </row>
    <row r="281" spans="1:6" x14ac:dyDescent="0.25">
      <c r="A281" s="1">
        <v>39492</v>
      </c>
      <c r="B281" s="2">
        <v>0.58333333333333337</v>
      </c>
      <c r="C281" s="3">
        <v>217.65</v>
      </c>
      <c r="D281" s="3">
        <v>219.45</v>
      </c>
      <c r="E281" s="3">
        <v>216.65</v>
      </c>
      <c r="F281" s="3">
        <v>219.25</v>
      </c>
    </row>
    <row r="282" spans="1:6" x14ac:dyDescent="0.25">
      <c r="A282" s="1">
        <v>39493</v>
      </c>
      <c r="B282" s="2">
        <v>0.58333333333333337</v>
      </c>
      <c r="C282" s="3">
        <v>222.05</v>
      </c>
      <c r="D282" s="3">
        <v>222.55</v>
      </c>
      <c r="E282" s="3">
        <v>216.4</v>
      </c>
      <c r="F282" s="3">
        <v>216.45</v>
      </c>
    </row>
    <row r="283" spans="1:6" x14ac:dyDescent="0.25">
      <c r="A283" s="1">
        <v>39497</v>
      </c>
      <c r="B283" s="2">
        <v>0.58333333333333337</v>
      </c>
      <c r="C283" s="3">
        <v>218.35</v>
      </c>
      <c r="D283" s="3">
        <v>222.25</v>
      </c>
      <c r="E283" s="3">
        <v>218.35</v>
      </c>
      <c r="F283" s="3">
        <v>221.8</v>
      </c>
    </row>
    <row r="284" spans="1:6" x14ac:dyDescent="0.25">
      <c r="A284" s="1">
        <v>39498</v>
      </c>
      <c r="B284" s="2">
        <v>0.58333333333333337</v>
      </c>
      <c r="C284" s="3">
        <v>219.55</v>
      </c>
      <c r="D284" s="3">
        <v>221.75</v>
      </c>
      <c r="E284" s="3">
        <v>219.55</v>
      </c>
      <c r="F284" s="3">
        <v>221.5</v>
      </c>
    </row>
    <row r="285" spans="1:6" x14ac:dyDescent="0.25">
      <c r="A285" s="1">
        <v>39499</v>
      </c>
      <c r="B285" s="2">
        <v>0.58333333333333337</v>
      </c>
      <c r="C285" s="3">
        <v>221.55</v>
      </c>
      <c r="D285" s="3">
        <v>224.45</v>
      </c>
      <c r="E285" s="3">
        <v>221.55</v>
      </c>
      <c r="F285" s="3">
        <v>223.05</v>
      </c>
    </row>
    <row r="286" spans="1:6" x14ac:dyDescent="0.25">
      <c r="A286" s="1">
        <v>39500</v>
      </c>
      <c r="B286" s="2">
        <v>0.58333333333333337</v>
      </c>
      <c r="C286" s="3">
        <v>223.2</v>
      </c>
      <c r="D286" s="3">
        <v>226.55</v>
      </c>
      <c r="E286" s="3">
        <v>223.2</v>
      </c>
      <c r="F286" s="3">
        <v>226.45</v>
      </c>
    </row>
    <row r="287" spans="1:6" x14ac:dyDescent="0.25">
      <c r="A287" s="1">
        <v>39503</v>
      </c>
      <c r="B287" s="2">
        <v>0.58333333333333337</v>
      </c>
      <c r="C287" s="3">
        <v>226.05</v>
      </c>
      <c r="D287" s="3">
        <v>229.15</v>
      </c>
      <c r="E287" s="3">
        <v>225.65</v>
      </c>
      <c r="F287" s="3">
        <v>228.05</v>
      </c>
    </row>
    <row r="288" spans="1:6" x14ac:dyDescent="0.25">
      <c r="A288" s="1">
        <v>39504</v>
      </c>
      <c r="B288" s="2">
        <v>0.58333333333333337</v>
      </c>
      <c r="C288" s="3">
        <v>227</v>
      </c>
      <c r="D288" s="3">
        <v>227.25</v>
      </c>
      <c r="E288" s="3">
        <v>223.75</v>
      </c>
      <c r="F288" s="3">
        <v>224.35</v>
      </c>
    </row>
    <row r="289" spans="1:6" x14ac:dyDescent="0.25">
      <c r="A289" s="1">
        <v>39505</v>
      </c>
      <c r="B289" s="2">
        <v>0.58333333333333337</v>
      </c>
      <c r="C289" s="3">
        <v>226.85</v>
      </c>
      <c r="D289" s="3">
        <v>228.45</v>
      </c>
      <c r="E289" s="3">
        <v>226.35</v>
      </c>
      <c r="F289" s="3">
        <v>228.15</v>
      </c>
    </row>
    <row r="290" spans="1:6" x14ac:dyDescent="0.25">
      <c r="A290" s="1">
        <v>39506</v>
      </c>
      <c r="B290" s="2">
        <v>0.58333333333333337</v>
      </c>
      <c r="C290" s="3">
        <v>225.65</v>
      </c>
      <c r="D290" s="3">
        <v>231.75</v>
      </c>
      <c r="E290" s="3">
        <v>225.35</v>
      </c>
      <c r="F290" s="3">
        <v>231.55</v>
      </c>
    </row>
    <row r="291" spans="1:6" x14ac:dyDescent="0.25">
      <c r="A291" s="1">
        <v>39507</v>
      </c>
      <c r="B291" s="2">
        <v>0.58333333333333337</v>
      </c>
      <c r="C291" s="3">
        <v>231.45</v>
      </c>
      <c r="D291" s="3">
        <v>235.65</v>
      </c>
      <c r="E291" s="3">
        <v>229.3</v>
      </c>
      <c r="F291" s="3">
        <v>230.85</v>
      </c>
    </row>
    <row r="292" spans="1:6" x14ac:dyDescent="0.25">
      <c r="A292" s="1">
        <v>39510</v>
      </c>
      <c r="B292" s="2">
        <v>0.58333333333333337</v>
      </c>
      <c r="C292" s="3">
        <v>231.6</v>
      </c>
      <c r="D292" s="3">
        <v>231.6</v>
      </c>
      <c r="E292" s="3">
        <v>231.6</v>
      </c>
      <c r="F292" s="3">
        <v>231.6</v>
      </c>
    </row>
    <row r="293" spans="1:6" x14ac:dyDescent="0.25">
      <c r="A293" s="1">
        <v>39511</v>
      </c>
      <c r="B293" s="2">
        <v>0.58333333333333337</v>
      </c>
      <c r="C293" s="3">
        <v>230.95</v>
      </c>
      <c r="D293" s="3">
        <v>232.9</v>
      </c>
      <c r="E293" s="3">
        <v>227.05</v>
      </c>
      <c r="F293" s="3">
        <v>227.1</v>
      </c>
    </row>
    <row r="294" spans="1:6" x14ac:dyDescent="0.25">
      <c r="A294" s="1">
        <v>39512</v>
      </c>
      <c r="B294" s="2">
        <v>0.58333333333333337</v>
      </c>
      <c r="C294" s="3">
        <v>227.75</v>
      </c>
      <c r="D294" s="3">
        <v>229.55</v>
      </c>
      <c r="E294" s="3">
        <v>225.6</v>
      </c>
      <c r="F294" s="3">
        <v>227.95</v>
      </c>
    </row>
    <row r="295" spans="1:6" x14ac:dyDescent="0.25">
      <c r="A295" s="1">
        <v>39513</v>
      </c>
      <c r="B295" s="2">
        <v>0.58333333333333337</v>
      </c>
      <c r="C295" s="3">
        <v>226.25</v>
      </c>
      <c r="D295" s="3">
        <v>230</v>
      </c>
      <c r="E295" s="3">
        <v>216.95</v>
      </c>
      <c r="F295" s="3">
        <v>218.35</v>
      </c>
    </row>
    <row r="296" spans="1:6" x14ac:dyDescent="0.25">
      <c r="A296" s="1">
        <v>39514</v>
      </c>
      <c r="B296" s="2">
        <v>0.58333333333333337</v>
      </c>
      <c r="C296" s="3">
        <v>219.05</v>
      </c>
      <c r="D296" s="3">
        <v>220.75</v>
      </c>
      <c r="E296" s="3">
        <v>211</v>
      </c>
      <c r="F296" s="3">
        <v>214.45</v>
      </c>
    </row>
    <row r="297" spans="1:6" x14ac:dyDescent="0.25">
      <c r="A297" s="1">
        <v>39517</v>
      </c>
      <c r="B297" s="2">
        <v>0.58333333333333337</v>
      </c>
      <c r="C297" s="3">
        <v>214.45</v>
      </c>
      <c r="D297" s="3">
        <v>215.55</v>
      </c>
      <c r="E297" s="3">
        <v>211.7</v>
      </c>
      <c r="F297" s="3">
        <v>215.35</v>
      </c>
    </row>
    <row r="298" spans="1:6" x14ac:dyDescent="0.25">
      <c r="A298" s="1">
        <v>39518</v>
      </c>
      <c r="B298" s="2">
        <v>0.58333333333333337</v>
      </c>
      <c r="C298" s="3">
        <v>214.65</v>
      </c>
      <c r="D298" s="3">
        <v>218.2</v>
      </c>
      <c r="E298" s="3">
        <v>213.35</v>
      </c>
      <c r="F298" s="3">
        <v>217.25</v>
      </c>
    </row>
    <row r="299" spans="1:6" x14ac:dyDescent="0.25">
      <c r="A299" s="1">
        <v>39519</v>
      </c>
      <c r="B299" s="2">
        <v>0.58333333333333337</v>
      </c>
      <c r="C299" s="3">
        <v>217.25</v>
      </c>
      <c r="D299" s="3">
        <v>219.2</v>
      </c>
      <c r="E299" s="3">
        <v>216.5</v>
      </c>
      <c r="F299" s="3">
        <v>219.05</v>
      </c>
    </row>
    <row r="300" spans="1:6" x14ac:dyDescent="0.25">
      <c r="A300" s="1">
        <v>39520</v>
      </c>
      <c r="B300" s="2">
        <v>0.58333333333333337</v>
      </c>
      <c r="C300" s="3">
        <v>219.25</v>
      </c>
      <c r="D300" s="3">
        <v>223.15</v>
      </c>
      <c r="E300" s="3">
        <v>218.55</v>
      </c>
      <c r="F300" s="3">
        <v>223</v>
      </c>
    </row>
    <row r="301" spans="1:6" x14ac:dyDescent="0.25">
      <c r="A301" s="1">
        <v>39521</v>
      </c>
      <c r="B301" s="2">
        <v>0.58333333333333337</v>
      </c>
      <c r="C301" s="3">
        <v>223.05</v>
      </c>
      <c r="D301" s="3">
        <v>223.95</v>
      </c>
      <c r="E301" s="3">
        <v>212.35</v>
      </c>
      <c r="F301" s="3">
        <v>212.55</v>
      </c>
    </row>
    <row r="302" spans="1:6" x14ac:dyDescent="0.25">
      <c r="A302" s="1">
        <v>39524</v>
      </c>
      <c r="B302" s="2">
        <v>0.58333333333333337</v>
      </c>
      <c r="C302" s="3">
        <v>213.35</v>
      </c>
      <c r="D302" s="3">
        <v>214.75</v>
      </c>
      <c r="E302" s="3">
        <v>198.55</v>
      </c>
      <c r="F302" s="3">
        <v>201.25</v>
      </c>
    </row>
    <row r="303" spans="1:6" x14ac:dyDescent="0.25">
      <c r="A303" s="1">
        <v>39525</v>
      </c>
      <c r="B303" s="2">
        <v>0.58333333333333337</v>
      </c>
      <c r="C303" s="3">
        <v>201.55</v>
      </c>
      <c r="D303" s="3">
        <v>203.8</v>
      </c>
      <c r="E303" s="3">
        <v>198.45</v>
      </c>
      <c r="F303" s="3">
        <v>201.85</v>
      </c>
    </row>
    <row r="304" spans="1:6" x14ac:dyDescent="0.25">
      <c r="A304" s="1">
        <v>39526</v>
      </c>
      <c r="B304" s="2">
        <v>0.58333333333333337</v>
      </c>
      <c r="C304" s="3">
        <v>202.1</v>
      </c>
      <c r="D304" s="3">
        <v>203.25</v>
      </c>
      <c r="E304" s="3">
        <v>194.65</v>
      </c>
      <c r="F304" s="3">
        <v>196.8</v>
      </c>
    </row>
    <row r="305" spans="1:6" x14ac:dyDescent="0.25">
      <c r="A305" s="1">
        <v>39527</v>
      </c>
      <c r="B305" s="2">
        <v>0.58333333333333337</v>
      </c>
      <c r="C305" s="3">
        <v>196.85</v>
      </c>
      <c r="D305" s="3">
        <v>198.05</v>
      </c>
      <c r="E305" s="3">
        <v>189.9</v>
      </c>
      <c r="F305" s="3">
        <v>195.7</v>
      </c>
    </row>
    <row r="306" spans="1:6" x14ac:dyDescent="0.25">
      <c r="A306" s="1">
        <v>39531</v>
      </c>
      <c r="B306" s="2">
        <v>0.58333333333333337</v>
      </c>
      <c r="C306" s="3">
        <v>195.7</v>
      </c>
      <c r="D306" s="3">
        <v>197.25</v>
      </c>
      <c r="E306" s="3">
        <v>192.1</v>
      </c>
      <c r="F306" s="3">
        <v>193.75</v>
      </c>
    </row>
    <row r="307" spans="1:6" x14ac:dyDescent="0.25">
      <c r="A307" s="1">
        <v>39532</v>
      </c>
      <c r="B307" s="2">
        <v>0.58333333333333337</v>
      </c>
      <c r="C307" s="3">
        <v>194.05</v>
      </c>
      <c r="D307" s="3">
        <v>197.8</v>
      </c>
      <c r="E307" s="3">
        <v>193.7</v>
      </c>
      <c r="F307" s="3">
        <v>197.7</v>
      </c>
    </row>
    <row r="308" spans="1:6" x14ac:dyDescent="0.25">
      <c r="A308" s="1">
        <v>39533</v>
      </c>
      <c r="B308" s="2">
        <v>0.58333333333333337</v>
      </c>
      <c r="C308" s="3">
        <v>196.75</v>
      </c>
      <c r="D308" s="3">
        <v>199.4</v>
      </c>
      <c r="E308" s="3">
        <v>194.65</v>
      </c>
      <c r="F308" s="3">
        <v>196.6</v>
      </c>
    </row>
    <row r="309" spans="1:6" x14ac:dyDescent="0.25">
      <c r="A309" s="1">
        <v>39534</v>
      </c>
      <c r="B309" s="2">
        <v>0.58333333333333337</v>
      </c>
      <c r="C309" s="3">
        <v>196.7</v>
      </c>
      <c r="D309" s="3">
        <v>197.55</v>
      </c>
      <c r="E309" s="3">
        <v>193.7</v>
      </c>
      <c r="F309" s="3">
        <v>197.2</v>
      </c>
    </row>
    <row r="310" spans="1:6" x14ac:dyDescent="0.25">
      <c r="A310" s="1">
        <v>39535</v>
      </c>
      <c r="B310" s="2">
        <v>0.58333333333333337</v>
      </c>
      <c r="C310" s="3">
        <v>197.2</v>
      </c>
      <c r="D310" s="3">
        <v>197.35</v>
      </c>
      <c r="E310" s="3">
        <v>193.5</v>
      </c>
      <c r="F310" s="3">
        <v>194.05</v>
      </c>
    </row>
    <row r="311" spans="1:6" x14ac:dyDescent="0.25">
      <c r="A311" s="1">
        <v>39538</v>
      </c>
      <c r="B311" s="2">
        <v>0.58333333333333337</v>
      </c>
      <c r="C311" s="3">
        <v>194.05</v>
      </c>
      <c r="D311" s="3">
        <v>195.55</v>
      </c>
      <c r="E311" s="3">
        <v>191</v>
      </c>
      <c r="F311" s="3">
        <v>191.1</v>
      </c>
    </row>
    <row r="312" spans="1:6" x14ac:dyDescent="0.25">
      <c r="A312" s="1">
        <v>39539</v>
      </c>
      <c r="B312" s="2">
        <v>0.58333333333333337</v>
      </c>
      <c r="C312" s="3">
        <v>191.05</v>
      </c>
      <c r="D312" s="3">
        <v>194.3</v>
      </c>
      <c r="E312" s="3">
        <v>190.25</v>
      </c>
      <c r="F312" s="3">
        <v>193.7</v>
      </c>
    </row>
    <row r="313" spans="1:6" x14ac:dyDescent="0.25">
      <c r="A313" s="1">
        <v>39540</v>
      </c>
      <c r="B313" s="2">
        <v>0.58333333333333337</v>
      </c>
      <c r="C313" s="3">
        <v>193.8</v>
      </c>
      <c r="D313" s="3">
        <v>195.5</v>
      </c>
      <c r="E313" s="3">
        <v>192.4</v>
      </c>
      <c r="F313" s="3">
        <v>193.75</v>
      </c>
    </row>
    <row r="314" spans="1:6" x14ac:dyDescent="0.25">
      <c r="A314" s="1">
        <v>39541</v>
      </c>
      <c r="B314" s="2">
        <v>0.58333333333333337</v>
      </c>
      <c r="C314" s="3">
        <v>193.3</v>
      </c>
      <c r="D314" s="3">
        <v>196.75</v>
      </c>
      <c r="E314" s="3">
        <v>192.5</v>
      </c>
      <c r="F314" s="3">
        <v>196.2</v>
      </c>
    </row>
    <row r="315" spans="1:6" x14ac:dyDescent="0.25">
      <c r="A315" s="1">
        <v>39542</v>
      </c>
      <c r="B315" s="2">
        <v>0.58333333333333337</v>
      </c>
      <c r="C315" s="3">
        <v>195.35</v>
      </c>
      <c r="D315" s="3">
        <v>196.5</v>
      </c>
      <c r="E315" s="3">
        <v>194.55</v>
      </c>
      <c r="F315" s="3">
        <v>196.15</v>
      </c>
    </row>
    <row r="316" spans="1:6" x14ac:dyDescent="0.25">
      <c r="A316" s="1">
        <v>39545</v>
      </c>
      <c r="B316" s="2">
        <v>0.58333333333333337</v>
      </c>
      <c r="C316" s="3">
        <v>196.25</v>
      </c>
      <c r="D316" s="3">
        <v>198.05</v>
      </c>
      <c r="E316" s="3">
        <v>195.8</v>
      </c>
      <c r="F316" s="3">
        <v>196.15</v>
      </c>
    </row>
    <row r="317" spans="1:6" x14ac:dyDescent="0.25">
      <c r="A317" s="1">
        <v>39546</v>
      </c>
      <c r="B317" s="2">
        <v>0.58333333333333337</v>
      </c>
      <c r="C317" s="3">
        <v>197.8</v>
      </c>
      <c r="D317" s="3">
        <v>198.55</v>
      </c>
      <c r="E317" s="3">
        <v>196.85</v>
      </c>
      <c r="F317" s="3">
        <v>197</v>
      </c>
    </row>
    <row r="318" spans="1:6" x14ac:dyDescent="0.25">
      <c r="A318" s="1">
        <v>39547</v>
      </c>
      <c r="B318" s="2">
        <v>0.58333333333333337</v>
      </c>
      <c r="C318" s="3">
        <v>197.2</v>
      </c>
      <c r="D318" s="3">
        <v>201.55</v>
      </c>
      <c r="E318" s="3">
        <v>195.5</v>
      </c>
      <c r="F318" s="3">
        <v>200.85</v>
      </c>
    </row>
    <row r="319" spans="1:6" x14ac:dyDescent="0.25">
      <c r="A319" s="1">
        <v>39548</v>
      </c>
      <c r="B319" s="2">
        <v>0.58333333333333337</v>
      </c>
      <c r="C319" s="3">
        <v>201</v>
      </c>
      <c r="D319" s="3">
        <v>202</v>
      </c>
      <c r="E319" s="3">
        <v>194.05</v>
      </c>
      <c r="F319" s="3">
        <v>201.05</v>
      </c>
    </row>
    <row r="320" spans="1:6" x14ac:dyDescent="0.25">
      <c r="A320" s="1">
        <v>39549</v>
      </c>
      <c r="B320" s="2">
        <v>0.58333333333333337</v>
      </c>
      <c r="C320" s="3">
        <v>198.55</v>
      </c>
      <c r="D320" s="3">
        <v>199.85</v>
      </c>
      <c r="E320" s="3">
        <v>196.8</v>
      </c>
      <c r="F320" s="3">
        <v>197.35</v>
      </c>
    </row>
    <row r="321" spans="1:6" x14ac:dyDescent="0.25">
      <c r="A321" s="1">
        <v>39552</v>
      </c>
      <c r="B321" s="2">
        <v>0.58333333333333337</v>
      </c>
      <c r="C321" s="3">
        <v>197.65</v>
      </c>
      <c r="D321" s="3">
        <v>198.75</v>
      </c>
      <c r="E321" s="3">
        <v>196.9</v>
      </c>
      <c r="F321" s="3">
        <v>197.1</v>
      </c>
    </row>
    <row r="322" spans="1:6" x14ac:dyDescent="0.25">
      <c r="A322" s="1">
        <v>39553</v>
      </c>
      <c r="B322" s="2">
        <v>0.58333333333333337</v>
      </c>
      <c r="C322" s="3">
        <v>197.05</v>
      </c>
      <c r="D322" s="3">
        <v>202.45</v>
      </c>
      <c r="E322" s="3">
        <v>197.05</v>
      </c>
      <c r="F322" s="3">
        <v>200</v>
      </c>
    </row>
    <row r="323" spans="1:6" x14ac:dyDescent="0.25">
      <c r="A323" s="1">
        <v>39554</v>
      </c>
      <c r="B323" s="2">
        <v>0.58333333333333337</v>
      </c>
      <c r="C323" s="3">
        <v>199.85</v>
      </c>
      <c r="D323" s="3">
        <v>203.25</v>
      </c>
      <c r="E323" s="3">
        <v>199.85</v>
      </c>
      <c r="F323" s="3">
        <v>201.05</v>
      </c>
    </row>
    <row r="324" spans="1:6" x14ac:dyDescent="0.25">
      <c r="A324" s="1">
        <v>39555</v>
      </c>
      <c r="B324" s="2">
        <v>0.58333333333333337</v>
      </c>
      <c r="C324" s="3">
        <v>201.35</v>
      </c>
      <c r="D324" s="3">
        <v>206.9</v>
      </c>
      <c r="E324" s="3">
        <v>201.15</v>
      </c>
      <c r="F324" s="3">
        <v>206.05</v>
      </c>
    </row>
    <row r="325" spans="1:6" x14ac:dyDescent="0.25">
      <c r="A325" s="1">
        <v>39556</v>
      </c>
      <c r="B325" s="2">
        <v>0.58333333333333337</v>
      </c>
      <c r="C325" s="3">
        <v>206.05</v>
      </c>
      <c r="D325" s="3">
        <v>206.05</v>
      </c>
      <c r="E325" s="3">
        <v>198.75</v>
      </c>
      <c r="F325" s="3">
        <v>201</v>
      </c>
    </row>
    <row r="326" spans="1:6" x14ac:dyDescent="0.25">
      <c r="A326" s="1">
        <v>39559</v>
      </c>
      <c r="B326" s="2">
        <v>0.58333333333333337</v>
      </c>
      <c r="C326" s="3">
        <v>201.5</v>
      </c>
      <c r="D326" s="3">
        <v>203.3</v>
      </c>
      <c r="E326" s="3">
        <v>196.95</v>
      </c>
      <c r="F326" s="3">
        <v>197.5</v>
      </c>
    </row>
    <row r="327" spans="1:6" x14ac:dyDescent="0.25">
      <c r="A327" s="1">
        <v>39560</v>
      </c>
      <c r="B327" s="2">
        <v>0.58333333333333337</v>
      </c>
      <c r="C327" s="3">
        <v>197.75</v>
      </c>
      <c r="D327" s="3">
        <v>201.9</v>
      </c>
      <c r="E327" s="3">
        <v>197.6</v>
      </c>
      <c r="F327" s="3">
        <v>200.85</v>
      </c>
    </row>
    <row r="328" spans="1:6" x14ac:dyDescent="0.25">
      <c r="A328" s="1">
        <v>39561</v>
      </c>
      <c r="B328" s="2">
        <v>0.58333333333333337</v>
      </c>
      <c r="C328" s="3">
        <v>200.9</v>
      </c>
      <c r="D328" s="3">
        <v>201.35</v>
      </c>
      <c r="E328" s="3">
        <v>198.45</v>
      </c>
      <c r="F328" s="3">
        <v>200.2</v>
      </c>
    </row>
    <row r="329" spans="1:6" x14ac:dyDescent="0.25">
      <c r="A329" s="1">
        <v>39562</v>
      </c>
      <c r="B329" s="2">
        <v>0.58333333333333337</v>
      </c>
      <c r="C329" s="3">
        <v>200.15</v>
      </c>
      <c r="D329" s="3">
        <v>200.7</v>
      </c>
      <c r="E329" s="3">
        <v>195.55</v>
      </c>
      <c r="F329" s="3">
        <v>196.15</v>
      </c>
    </row>
    <row r="330" spans="1:6" x14ac:dyDescent="0.25">
      <c r="A330" s="1">
        <v>39563</v>
      </c>
      <c r="B330" s="2">
        <v>0.58333333333333337</v>
      </c>
      <c r="C330" s="3">
        <v>196.1</v>
      </c>
      <c r="D330" s="3">
        <v>196.7</v>
      </c>
      <c r="E330" s="3">
        <v>193.35</v>
      </c>
      <c r="F330" s="3">
        <v>195.8</v>
      </c>
    </row>
    <row r="331" spans="1:6" x14ac:dyDescent="0.25">
      <c r="A331" s="1">
        <v>39566</v>
      </c>
      <c r="B331" s="2">
        <v>0.58333333333333337</v>
      </c>
      <c r="C331" s="3">
        <v>195.55</v>
      </c>
      <c r="D331" s="3">
        <v>200.15</v>
      </c>
      <c r="E331" s="3">
        <v>195.55</v>
      </c>
      <c r="F331" s="3">
        <v>198.5</v>
      </c>
    </row>
    <row r="332" spans="1:6" x14ac:dyDescent="0.25">
      <c r="A332" s="1">
        <v>39567</v>
      </c>
      <c r="B332" s="2">
        <v>0.58333333333333337</v>
      </c>
      <c r="C332" s="3">
        <v>198.6</v>
      </c>
      <c r="D332" s="3">
        <v>199.95</v>
      </c>
      <c r="E332" s="3">
        <v>196.8</v>
      </c>
      <c r="F332" s="3">
        <v>199.45</v>
      </c>
    </row>
    <row r="333" spans="1:6" x14ac:dyDescent="0.25">
      <c r="A333" s="1">
        <v>39568</v>
      </c>
      <c r="B333" s="2">
        <v>0.58333333333333337</v>
      </c>
      <c r="C333" s="3">
        <v>199.35</v>
      </c>
      <c r="D333" s="3">
        <v>200.45</v>
      </c>
      <c r="E333" s="3">
        <v>198.35</v>
      </c>
      <c r="F333" s="3">
        <v>199.5</v>
      </c>
    </row>
    <row r="334" spans="1:6" x14ac:dyDescent="0.25">
      <c r="A334" s="1">
        <v>39569</v>
      </c>
      <c r="B334" s="2">
        <v>0.58333333333333337</v>
      </c>
      <c r="C334" s="3">
        <v>199.55</v>
      </c>
      <c r="D334" s="3">
        <v>199.55</v>
      </c>
      <c r="E334" s="3">
        <v>193.1</v>
      </c>
      <c r="F334" s="3">
        <v>193.9</v>
      </c>
    </row>
    <row r="335" spans="1:6" x14ac:dyDescent="0.25">
      <c r="A335" s="1">
        <v>39570</v>
      </c>
      <c r="B335" s="2">
        <v>0.58333333333333337</v>
      </c>
      <c r="C335" s="3">
        <v>194.5</v>
      </c>
      <c r="D335" s="3">
        <v>195.6</v>
      </c>
      <c r="E335" s="3">
        <v>192.85</v>
      </c>
      <c r="F335" s="3">
        <v>193.55</v>
      </c>
    </row>
    <row r="336" spans="1:6" x14ac:dyDescent="0.25">
      <c r="A336" s="1">
        <v>39573</v>
      </c>
      <c r="B336" s="2">
        <v>0.58333333333333337</v>
      </c>
      <c r="C336" s="3">
        <v>193.55</v>
      </c>
      <c r="D336" s="3">
        <v>197.75</v>
      </c>
      <c r="E336" s="3">
        <v>192.95</v>
      </c>
      <c r="F336" s="3">
        <v>196.65</v>
      </c>
    </row>
    <row r="337" spans="1:6" x14ac:dyDescent="0.25">
      <c r="A337" s="1">
        <v>39574</v>
      </c>
      <c r="B337" s="2">
        <v>0.58333333333333337</v>
      </c>
      <c r="C337" s="3">
        <v>196.8</v>
      </c>
      <c r="D337" s="3">
        <v>198.25</v>
      </c>
      <c r="E337" s="3">
        <v>195.65</v>
      </c>
      <c r="F337" s="3">
        <v>197.9</v>
      </c>
    </row>
    <row r="338" spans="1:6" x14ac:dyDescent="0.25">
      <c r="A338" s="1">
        <v>39575</v>
      </c>
      <c r="B338" s="2">
        <v>0.58333333333333337</v>
      </c>
      <c r="C338" s="3">
        <v>197.7</v>
      </c>
      <c r="D338" s="3">
        <v>197.95</v>
      </c>
      <c r="E338" s="3">
        <v>193.85</v>
      </c>
      <c r="F338" s="3">
        <v>197.9</v>
      </c>
    </row>
    <row r="339" spans="1:6" x14ac:dyDescent="0.25">
      <c r="A339" s="1">
        <v>39576</v>
      </c>
      <c r="B339" s="2">
        <v>0.58333333333333337</v>
      </c>
      <c r="C339" s="3">
        <v>194.55</v>
      </c>
      <c r="D339" s="3">
        <v>199.25</v>
      </c>
      <c r="E339" s="3">
        <v>194.55</v>
      </c>
      <c r="F339" s="3">
        <v>198.75</v>
      </c>
    </row>
    <row r="340" spans="1:6" x14ac:dyDescent="0.25">
      <c r="A340" s="1">
        <v>39577</v>
      </c>
      <c r="B340" s="2">
        <v>0.58333333333333337</v>
      </c>
      <c r="C340" s="3">
        <v>198.6</v>
      </c>
      <c r="D340" s="3">
        <v>204.05</v>
      </c>
      <c r="E340" s="3">
        <v>198.5</v>
      </c>
      <c r="F340" s="3">
        <v>200.6</v>
      </c>
    </row>
    <row r="341" spans="1:6" x14ac:dyDescent="0.25">
      <c r="A341" s="1">
        <v>39580</v>
      </c>
      <c r="B341" s="2">
        <v>0.58333333333333337</v>
      </c>
      <c r="C341" s="3">
        <v>200.6</v>
      </c>
      <c r="D341" s="3">
        <v>203.45</v>
      </c>
      <c r="E341" s="3">
        <v>199.5</v>
      </c>
      <c r="F341" s="3">
        <v>202.95</v>
      </c>
    </row>
    <row r="342" spans="1:6" x14ac:dyDescent="0.25">
      <c r="A342" s="1">
        <v>39581</v>
      </c>
      <c r="B342" s="2">
        <v>0.58333333333333337</v>
      </c>
      <c r="C342" s="3">
        <v>202.95</v>
      </c>
      <c r="D342" s="3">
        <v>203.2</v>
      </c>
      <c r="E342" s="3">
        <v>199.7</v>
      </c>
      <c r="F342" s="3">
        <v>201.35</v>
      </c>
    </row>
    <row r="343" spans="1:6" x14ac:dyDescent="0.25">
      <c r="A343" s="1">
        <v>39582</v>
      </c>
      <c r="B343" s="2">
        <v>0.58333333333333337</v>
      </c>
      <c r="C343" s="3">
        <v>201.3</v>
      </c>
      <c r="D343" s="3">
        <v>202.65</v>
      </c>
      <c r="E343" s="3">
        <v>200.25</v>
      </c>
      <c r="F343" s="3">
        <v>202.05</v>
      </c>
    </row>
    <row r="344" spans="1:6" x14ac:dyDescent="0.25">
      <c r="A344" s="1">
        <v>39583</v>
      </c>
      <c r="B344" s="2">
        <v>0.58333333333333337</v>
      </c>
      <c r="C344" s="3">
        <v>202.05</v>
      </c>
      <c r="D344" s="3">
        <v>203.8</v>
      </c>
      <c r="E344" s="3">
        <v>193.55</v>
      </c>
      <c r="F344" s="3">
        <v>201</v>
      </c>
    </row>
    <row r="345" spans="1:6" x14ac:dyDescent="0.25">
      <c r="A345" s="1">
        <v>39584</v>
      </c>
      <c r="B345" s="2">
        <v>0.58333333333333337</v>
      </c>
      <c r="C345" s="3">
        <v>201</v>
      </c>
      <c r="D345" s="3">
        <v>202.85</v>
      </c>
      <c r="E345" s="3">
        <v>200.6</v>
      </c>
      <c r="F345" s="3">
        <v>202.5</v>
      </c>
    </row>
    <row r="346" spans="1:6" x14ac:dyDescent="0.25">
      <c r="A346" s="1">
        <v>39587</v>
      </c>
      <c r="B346" s="2">
        <v>0.58333333333333337</v>
      </c>
      <c r="C346" s="3">
        <v>202.3</v>
      </c>
      <c r="D346" s="3">
        <v>204.05</v>
      </c>
      <c r="E346" s="3">
        <v>198.95</v>
      </c>
      <c r="F346" s="3">
        <v>199.3</v>
      </c>
    </row>
    <row r="347" spans="1:6" x14ac:dyDescent="0.25">
      <c r="A347" s="1">
        <v>39588</v>
      </c>
      <c r="B347" s="2">
        <v>0.58333333333333337</v>
      </c>
      <c r="C347" s="3">
        <v>199.05</v>
      </c>
      <c r="D347" s="3">
        <v>201.75</v>
      </c>
      <c r="E347" s="3">
        <v>199.05</v>
      </c>
      <c r="F347" s="3">
        <v>200.95</v>
      </c>
    </row>
    <row r="348" spans="1:6" x14ac:dyDescent="0.25">
      <c r="A348" s="1">
        <v>39589</v>
      </c>
      <c r="B348" s="2">
        <v>0.58333333333333337</v>
      </c>
      <c r="C348" s="3">
        <v>201.05</v>
      </c>
      <c r="D348" s="3">
        <v>205.7</v>
      </c>
      <c r="E348" s="3">
        <v>200.85</v>
      </c>
      <c r="F348" s="3">
        <v>205</v>
      </c>
    </row>
    <row r="349" spans="1:6" x14ac:dyDescent="0.25">
      <c r="A349" s="1">
        <v>39590</v>
      </c>
      <c r="B349" s="2">
        <v>0.58333333333333337</v>
      </c>
      <c r="C349" s="3">
        <v>205.2</v>
      </c>
      <c r="D349" s="3">
        <v>206.05</v>
      </c>
      <c r="E349" s="3">
        <v>197.3</v>
      </c>
      <c r="F349" s="3">
        <v>198.05</v>
      </c>
    </row>
    <row r="350" spans="1:6" x14ac:dyDescent="0.25">
      <c r="A350" s="1">
        <v>39591</v>
      </c>
      <c r="B350" s="2">
        <v>0.58333333333333337</v>
      </c>
      <c r="C350" s="3">
        <v>198.35</v>
      </c>
      <c r="D350" s="3">
        <v>199.45</v>
      </c>
      <c r="E350" s="3">
        <v>197.2</v>
      </c>
      <c r="F350" s="3">
        <v>198.8</v>
      </c>
    </row>
    <row r="351" spans="1:6" x14ac:dyDescent="0.25">
      <c r="A351" s="1">
        <v>39595</v>
      </c>
      <c r="B351" s="2">
        <v>0.58333333333333337</v>
      </c>
      <c r="C351" s="3">
        <v>198.55</v>
      </c>
      <c r="D351" s="3">
        <v>199.45</v>
      </c>
      <c r="E351" s="3">
        <v>195.55</v>
      </c>
      <c r="F351" s="3">
        <v>195.9</v>
      </c>
    </row>
    <row r="352" spans="1:6" x14ac:dyDescent="0.25">
      <c r="A352" s="1">
        <v>39596</v>
      </c>
      <c r="B352" s="2">
        <v>0.58333333333333337</v>
      </c>
      <c r="C352" s="3">
        <v>196.05</v>
      </c>
      <c r="D352" s="3">
        <v>200.3</v>
      </c>
      <c r="E352" s="3">
        <v>195.4</v>
      </c>
      <c r="F352" s="3">
        <v>199.85</v>
      </c>
    </row>
    <row r="353" spans="1:6" x14ac:dyDescent="0.25">
      <c r="A353" s="1">
        <v>39597</v>
      </c>
      <c r="B353" s="2">
        <v>0.58333333333333337</v>
      </c>
      <c r="C353" s="3">
        <v>199.85</v>
      </c>
      <c r="D353" s="3">
        <v>201.05</v>
      </c>
      <c r="E353" s="3">
        <v>196.25</v>
      </c>
      <c r="F353" s="3">
        <v>196.85</v>
      </c>
    </row>
    <row r="354" spans="1:6" x14ac:dyDescent="0.25">
      <c r="A354" s="1">
        <v>39598</v>
      </c>
      <c r="B354" s="2">
        <v>0.58333333333333337</v>
      </c>
      <c r="C354" s="3">
        <v>196.7</v>
      </c>
      <c r="D354" s="3">
        <v>198.8</v>
      </c>
      <c r="E354" s="3">
        <v>196.65</v>
      </c>
      <c r="F354" s="3">
        <v>197.9</v>
      </c>
    </row>
    <row r="355" spans="1:6" x14ac:dyDescent="0.25">
      <c r="A355" s="1">
        <v>39601</v>
      </c>
      <c r="B355" s="2">
        <v>0.58333333333333337</v>
      </c>
      <c r="C355" s="3">
        <v>197.9</v>
      </c>
      <c r="D355" s="3">
        <v>202.55</v>
      </c>
      <c r="E355" s="3">
        <v>196.75</v>
      </c>
      <c r="F355" s="3">
        <v>201.65</v>
      </c>
    </row>
    <row r="356" spans="1:6" x14ac:dyDescent="0.25">
      <c r="A356" s="1">
        <v>39602</v>
      </c>
      <c r="B356" s="2">
        <v>0.58333333333333337</v>
      </c>
      <c r="C356" s="3">
        <v>201.5</v>
      </c>
      <c r="D356" s="3">
        <v>201.5</v>
      </c>
      <c r="E356" s="3">
        <v>195.6</v>
      </c>
      <c r="F356" s="3">
        <v>196.85</v>
      </c>
    </row>
    <row r="357" spans="1:6" x14ac:dyDescent="0.25">
      <c r="A357" s="1">
        <v>39603</v>
      </c>
      <c r="B357" s="2">
        <v>0.58333333333333337</v>
      </c>
      <c r="C357" s="3">
        <v>196.8</v>
      </c>
      <c r="D357" s="3">
        <v>197.8</v>
      </c>
      <c r="E357" s="3">
        <v>195.65</v>
      </c>
      <c r="F357" s="3">
        <v>196.9</v>
      </c>
    </row>
    <row r="358" spans="1:6" x14ac:dyDescent="0.25">
      <c r="A358" s="1">
        <v>39604</v>
      </c>
      <c r="B358" s="2">
        <v>0.58333333333333337</v>
      </c>
      <c r="C358" s="3">
        <v>197.2</v>
      </c>
      <c r="D358" s="3">
        <v>201.3</v>
      </c>
      <c r="E358" s="3">
        <v>196.85</v>
      </c>
      <c r="F358" s="3">
        <v>200</v>
      </c>
    </row>
    <row r="359" spans="1:6" x14ac:dyDescent="0.25">
      <c r="A359" s="1">
        <v>39605</v>
      </c>
      <c r="B359" s="2">
        <v>0.58333333333333337</v>
      </c>
      <c r="C359" s="3">
        <v>200</v>
      </c>
      <c r="D359" s="3">
        <v>201.55</v>
      </c>
      <c r="E359" s="3">
        <v>198.5</v>
      </c>
      <c r="F359" s="3">
        <v>199.8</v>
      </c>
    </row>
    <row r="360" spans="1:6" x14ac:dyDescent="0.25">
      <c r="A360" s="1">
        <v>39608</v>
      </c>
      <c r="B360" s="2">
        <v>0.58333333333333337</v>
      </c>
      <c r="C360" s="3">
        <v>199.9</v>
      </c>
      <c r="D360" s="3">
        <v>200.1</v>
      </c>
      <c r="E360" s="3">
        <v>194.55</v>
      </c>
      <c r="F360" s="3">
        <v>195.1</v>
      </c>
    </row>
    <row r="361" spans="1:6" x14ac:dyDescent="0.25">
      <c r="A361" s="1">
        <v>39609</v>
      </c>
      <c r="B361" s="2">
        <v>0.58333333333333337</v>
      </c>
      <c r="C361" s="3">
        <v>195.55</v>
      </c>
      <c r="D361" s="3">
        <v>199.9</v>
      </c>
      <c r="E361" s="3">
        <v>194.9</v>
      </c>
      <c r="F361" s="3">
        <v>199.3</v>
      </c>
    </row>
    <row r="362" spans="1:6" x14ac:dyDescent="0.25">
      <c r="A362" s="1">
        <v>39610</v>
      </c>
      <c r="B362" s="2">
        <v>0.58333333333333337</v>
      </c>
      <c r="C362" s="3">
        <v>201.15</v>
      </c>
      <c r="D362" s="3">
        <v>202.1</v>
      </c>
      <c r="E362" s="3">
        <v>198.4</v>
      </c>
      <c r="F362" s="3">
        <v>200.1</v>
      </c>
    </row>
    <row r="363" spans="1:6" x14ac:dyDescent="0.25">
      <c r="A363" s="1">
        <v>39611</v>
      </c>
      <c r="B363" s="2">
        <v>0.58333333333333337</v>
      </c>
      <c r="C363" s="3">
        <v>200.3</v>
      </c>
      <c r="D363" s="3">
        <v>201.5</v>
      </c>
      <c r="E363" s="3">
        <v>199.8</v>
      </c>
      <c r="F363" s="3">
        <v>201.1</v>
      </c>
    </row>
    <row r="364" spans="1:6" x14ac:dyDescent="0.25">
      <c r="A364" s="1">
        <v>39612</v>
      </c>
      <c r="B364" s="2">
        <v>0.58333333333333337</v>
      </c>
      <c r="C364" s="3">
        <v>201.05</v>
      </c>
      <c r="D364" s="3">
        <v>201.45</v>
      </c>
      <c r="E364" s="3">
        <v>199.85</v>
      </c>
      <c r="F364" s="3">
        <v>201.15</v>
      </c>
    </row>
    <row r="365" spans="1:6" x14ac:dyDescent="0.25">
      <c r="A365" s="1">
        <v>39615</v>
      </c>
      <c r="B365" s="2">
        <v>0.58333333333333337</v>
      </c>
      <c r="C365" s="3">
        <v>200.85</v>
      </c>
      <c r="D365" s="3">
        <v>206.05</v>
      </c>
      <c r="E365" s="3">
        <v>200.8</v>
      </c>
      <c r="F365" s="3">
        <v>203.15</v>
      </c>
    </row>
    <row r="366" spans="1:6" x14ac:dyDescent="0.25">
      <c r="A366" s="1">
        <v>39616</v>
      </c>
      <c r="B366" s="2">
        <v>0.58333333333333337</v>
      </c>
      <c r="C366" s="3">
        <v>203.15</v>
      </c>
      <c r="D366" s="3">
        <v>206</v>
      </c>
      <c r="E366" s="3">
        <v>202.1</v>
      </c>
      <c r="F366" s="3">
        <v>205.4</v>
      </c>
    </row>
    <row r="367" spans="1:6" x14ac:dyDescent="0.25">
      <c r="A367" s="1">
        <v>39617</v>
      </c>
      <c r="B367" s="2">
        <v>0.58333333333333337</v>
      </c>
      <c r="C367" s="3">
        <v>206.05</v>
      </c>
      <c r="D367" s="3">
        <v>206.8</v>
      </c>
      <c r="E367" s="3">
        <v>201.8</v>
      </c>
      <c r="F367" s="3">
        <v>204.15</v>
      </c>
    </row>
    <row r="368" spans="1:6" x14ac:dyDescent="0.25">
      <c r="A368" s="1">
        <v>39618</v>
      </c>
      <c r="B368" s="2">
        <v>0.58333333333333337</v>
      </c>
      <c r="C368" s="3">
        <v>203.9</v>
      </c>
      <c r="D368" s="3">
        <v>206.15</v>
      </c>
      <c r="E368" s="3">
        <v>202.7</v>
      </c>
      <c r="F368" s="3">
        <v>204.2</v>
      </c>
    </row>
    <row r="369" spans="1:6" x14ac:dyDescent="0.25">
      <c r="A369" s="1">
        <v>39619</v>
      </c>
      <c r="B369" s="2">
        <v>0.58333333333333337</v>
      </c>
      <c r="C369" s="3">
        <v>204.05</v>
      </c>
      <c r="D369" s="3">
        <v>212.55</v>
      </c>
      <c r="E369" s="3">
        <v>203.6</v>
      </c>
      <c r="F369" s="3">
        <v>211.1</v>
      </c>
    </row>
    <row r="370" spans="1:6" x14ac:dyDescent="0.25">
      <c r="A370" s="1">
        <v>39622</v>
      </c>
      <c r="B370" s="2">
        <v>0.58333333333333337</v>
      </c>
      <c r="C370" s="3">
        <v>210.75</v>
      </c>
      <c r="D370" s="3">
        <v>212.55</v>
      </c>
      <c r="E370" s="3">
        <v>208.35</v>
      </c>
      <c r="F370" s="3">
        <v>210.65</v>
      </c>
    </row>
    <row r="371" spans="1:6" x14ac:dyDescent="0.25">
      <c r="A371" s="1">
        <v>39623</v>
      </c>
      <c r="B371" s="2">
        <v>0.58333333333333337</v>
      </c>
      <c r="C371" s="3">
        <v>210.5</v>
      </c>
      <c r="D371" s="3">
        <v>215.15</v>
      </c>
      <c r="E371" s="3">
        <v>210.3</v>
      </c>
      <c r="F371" s="3">
        <v>213</v>
      </c>
    </row>
    <row r="372" spans="1:6" x14ac:dyDescent="0.25">
      <c r="A372" s="1">
        <v>39624</v>
      </c>
      <c r="B372" s="2">
        <v>0.58333333333333337</v>
      </c>
      <c r="C372" s="3">
        <v>213.2</v>
      </c>
      <c r="D372" s="3">
        <v>215.15</v>
      </c>
      <c r="E372" s="3">
        <v>211.65</v>
      </c>
      <c r="F372" s="3">
        <v>214.75</v>
      </c>
    </row>
    <row r="373" spans="1:6" x14ac:dyDescent="0.25">
      <c r="A373" s="1">
        <v>39625</v>
      </c>
      <c r="B373" s="2">
        <v>0.58333333333333337</v>
      </c>
      <c r="C373" s="3">
        <v>214.9</v>
      </c>
      <c r="D373" s="3">
        <v>219.25</v>
      </c>
      <c r="E373" s="3">
        <v>214.2</v>
      </c>
      <c r="F373" s="3">
        <v>219.25</v>
      </c>
    </row>
    <row r="374" spans="1:6" x14ac:dyDescent="0.25">
      <c r="A374" s="1">
        <v>39626</v>
      </c>
      <c r="B374" s="2">
        <v>0.58333333333333337</v>
      </c>
      <c r="C374" s="3">
        <v>218.25</v>
      </c>
      <c r="D374" s="3">
        <v>219.05</v>
      </c>
      <c r="E374" s="3">
        <v>215.3</v>
      </c>
      <c r="F374" s="3">
        <v>216</v>
      </c>
    </row>
    <row r="375" spans="1:6" x14ac:dyDescent="0.25">
      <c r="A375" s="1">
        <v>39629</v>
      </c>
      <c r="B375" s="2">
        <v>0.58333333333333337</v>
      </c>
      <c r="C375" s="3">
        <v>216</v>
      </c>
      <c r="D375" s="3">
        <v>220.35</v>
      </c>
      <c r="E375" s="3">
        <v>214</v>
      </c>
      <c r="F375" s="3">
        <v>217</v>
      </c>
    </row>
    <row r="376" spans="1:6" x14ac:dyDescent="0.25">
      <c r="A376" s="1">
        <v>39630</v>
      </c>
      <c r="B376" s="2">
        <v>0.58333333333333337</v>
      </c>
      <c r="C376" s="3">
        <v>217.25</v>
      </c>
      <c r="D376" s="3">
        <v>219.85</v>
      </c>
      <c r="E376" s="3">
        <v>216.55</v>
      </c>
      <c r="F376" s="3">
        <v>218.8</v>
      </c>
    </row>
    <row r="377" spans="1:6" x14ac:dyDescent="0.25">
      <c r="A377" s="1">
        <v>39631</v>
      </c>
      <c r="B377" s="2">
        <v>0.58333333333333337</v>
      </c>
      <c r="C377" s="3">
        <v>219.2</v>
      </c>
      <c r="D377" s="3">
        <v>220.25</v>
      </c>
      <c r="E377" s="3">
        <v>217.35</v>
      </c>
      <c r="F377" s="3">
        <v>219.9</v>
      </c>
    </row>
    <row r="378" spans="1:6" x14ac:dyDescent="0.25">
      <c r="A378" s="1">
        <v>39636</v>
      </c>
      <c r="B378" s="2">
        <v>0.58333333333333337</v>
      </c>
      <c r="C378" s="3">
        <v>215.3</v>
      </c>
      <c r="D378" s="3">
        <v>215.55</v>
      </c>
      <c r="E378" s="3">
        <v>205.45</v>
      </c>
      <c r="F378" s="3">
        <v>207.15</v>
      </c>
    </row>
    <row r="379" spans="1:6" x14ac:dyDescent="0.25">
      <c r="A379" s="1">
        <v>39637</v>
      </c>
      <c r="B379" s="2">
        <v>0.58333333333333337</v>
      </c>
      <c r="C379" s="3">
        <v>207.15</v>
      </c>
      <c r="D379" s="3">
        <v>207.8</v>
      </c>
      <c r="E379" s="3">
        <v>202.15</v>
      </c>
      <c r="F379" s="3">
        <v>206</v>
      </c>
    </row>
    <row r="380" spans="1:6" x14ac:dyDescent="0.25">
      <c r="A380" s="1">
        <v>39638</v>
      </c>
      <c r="B380" s="2">
        <v>0.58333333333333337</v>
      </c>
      <c r="C380" s="3">
        <v>205.9</v>
      </c>
      <c r="D380" s="3">
        <v>206.75</v>
      </c>
      <c r="E380" s="3">
        <v>203.65</v>
      </c>
      <c r="F380" s="3">
        <v>204.25</v>
      </c>
    </row>
    <row r="381" spans="1:6" x14ac:dyDescent="0.25">
      <c r="A381" s="1">
        <v>39639</v>
      </c>
      <c r="B381" s="2">
        <v>0.58333333333333337</v>
      </c>
      <c r="C381" s="3">
        <v>204.7</v>
      </c>
      <c r="D381" s="3">
        <v>206.2</v>
      </c>
      <c r="E381" s="3">
        <v>203.35</v>
      </c>
      <c r="F381" s="3">
        <v>206.15</v>
      </c>
    </row>
    <row r="382" spans="1:6" x14ac:dyDescent="0.25">
      <c r="A382" s="1">
        <v>39640</v>
      </c>
      <c r="B382" s="2">
        <v>0.58333333333333337</v>
      </c>
      <c r="C382" s="3">
        <v>206.35</v>
      </c>
      <c r="D382" s="3">
        <v>207.85</v>
      </c>
      <c r="E382" s="3">
        <v>205.2</v>
      </c>
      <c r="F382" s="3">
        <v>206.55</v>
      </c>
    </row>
    <row r="383" spans="1:6" x14ac:dyDescent="0.25">
      <c r="A383" s="1">
        <v>39643</v>
      </c>
      <c r="B383" s="2">
        <v>0.58333333333333337</v>
      </c>
      <c r="C383" s="3">
        <v>206.4</v>
      </c>
      <c r="D383" s="3">
        <v>207.95</v>
      </c>
      <c r="E383" s="3">
        <v>204.4</v>
      </c>
      <c r="F383" s="3">
        <v>206.85</v>
      </c>
    </row>
    <row r="384" spans="1:6" x14ac:dyDescent="0.25">
      <c r="A384" s="1">
        <v>39644</v>
      </c>
      <c r="B384" s="2">
        <v>0.58333333333333337</v>
      </c>
      <c r="C384" s="3">
        <v>206.85</v>
      </c>
      <c r="D384" s="3">
        <v>208.75</v>
      </c>
      <c r="E384" s="3">
        <v>203.55</v>
      </c>
      <c r="F384" s="3">
        <v>204.55</v>
      </c>
    </row>
    <row r="385" spans="1:6" x14ac:dyDescent="0.25">
      <c r="A385" s="1">
        <v>39645</v>
      </c>
      <c r="B385" s="2">
        <v>0.58333333333333337</v>
      </c>
      <c r="C385" s="3">
        <v>204.95</v>
      </c>
      <c r="D385" s="3">
        <v>205.95</v>
      </c>
      <c r="E385" s="3">
        <v>202.85</v>
      </c>
      <c r="F385" s="3">
        <v>204.55</v>
      </c>
    </row>
    <row r="386" spans="1:6" x14ac:dyDescent="0.25">
      <c r="A386" s="1">
        <v>39646</v>
      </c>
      <c r="B386" s="2">
        <v>0.58333333333333337</v>
      </c>
      <c r="C386" s="3">
        <v>205.15</v>
      </c>
      <c r="D386" s="3">
        <v>207.4</v>
      </c>
      <c r="E386" s="3">
        <v>200.85</v>
      </c>
      <c r="F386" s="3">
        <v>201.1</v>
      </c>
    </row>
    <row r="387" spans="1:6" x14ac:dyDescent="0.25">
      <c r="A387" s="1">
        <v>39647</v>
      </c>
      <c r="B387" s="2">
        <v>0.58333333333333337</v>
      </c>
      <c r="C387" s="3">
        <v>201.3</v>
      </c>
      <c r="D387" s="3">
        <v>202.8</v>
      </c>
      <c r="E387" s="3">
        <v>200.65</v>
      </c>
      <c r="F387" s="3">
        <v>201.85</v>
      </c>
    </row>
    <row r="388" spans="1:6" x14ac:dyDescent="0.25">
      <c r="A388" s="1">
        <v>39650</v>
      </c>
      <c r="B388" s="2">
        <v>0.58333333333333337</v>
      </c>
      <c r="C388" s="3">
        <v>201.8</v>
      </c>
      <c r="D388" s="3">
        <v>202.2</v>
      </c>
      <c r="E388" s="3">
        <v>200.65</v>
      </c>
      <c r="F388" s="3">
        <v>201.9</v>
      </c>
    </row>
    <row r="389" spans="1:6" x14ac:dyDescent="0.25">
      <c r="A389" s="1">
        <v>39651</v>
      </c>
      <c r="B389" s="2">
        <v>0.58333333333333337</v>
      </c>
      <c r="C389" s="3">
        <v>201.85</v>
      </c>
      <c r="D389" s="3">
        <v>202.6</v>
      </c>
      <c r="E389" s="3">
        <v>200.7</v>
      </c>
      <c r="F389" s="3">
        <v>201.25</v>
      </c>
    </row>
    <row r="390" spans="1:6" x14ac:dyDescent="0.25">
      <c r="A390" s="1">
        <v>39652</v>
      </c>
      <c r="B390" s="2">
        <v>0.58333333333333337</v>
      </c>
      <c r="C390" s="3">
        <v>201.45</v>
      </c>
      <c r="D390" s="3">
        <v>201.55</v>
      </c>
      <c r="E390" s="3">
        <v>198.95</v>
      </c>
      <c r="F390" s="3">
        <v>199.15</v>
      </c>
    </row>
    <row r="391" spans="1:6" x14ac:dyDescent="0.25">
      <c r="A391" s="1">
        <v>39653</v>
      </c>
      <c r="B391" s="2">
        <v>0.58333333333333337</v>
      </c>
      <c r="C391" s="3">
        <v>199.25</v>
      </c>
      <c r="D391" s="3">
        <v>199.8</v>
      </c>
      <c r="E391" s="3">
        <v>198</v>
      </c>
      <c r="F391" s="3">
        <v>199.25</v>
      </c>
    </row>
    <row r="392" spans="1:6" x14ac:dyDescent="0.25">
      <c r="A392" s="1">
        <v>39654</v>
      </c>
      <c r="B392" s="2">
        <v>0.58333333333333337</v>
      </c>
      <c r="C392" s="3">
        <v>199.3</v>
      </c>
      <c r="D392" s="3">
        <v>202.05</v>
      </c>
      <c r="E392" s="3">
        <v>198.4</v>
      </c>
      <c r="F392" s="3">
        <v>201.35</v>
      </c>
    </row>
    <row r="393" spans="1:6" x14ac:dyDescent="0.25">
      <c r="A393" s="1">
        <v>39657</v>
      </c>
      <c r="B393" s="2">
        <v>0.58333333333333337</v>
      </c>
      <c r="C393" s="3">
        <v>201.35</v>
      </c>
      <c r="D393" s="3">
        <v>201.6</v>
      </c>
      <c r="E393" s="3">
        <v>198.8</v>
      </c>
      <c r="F393" s="3">
        <v>199.5</v>
      </c>
    </row>
    <row r="394" spans="1:6" x14ac:dyDescent="0.25">
      <c r="A394" s="1">
        <v>39658</v>
      </c>
      <c r="B394" s="2">
        <v>0.58333333333333337</v>
      </c>
      <c r="C394" s="3">
        <v>199.55</v>
      </c>
      <c r="D394" s="3">
        <v>201.5</v>
      </c>
      <c r="E394" s="3">
        <v>199.05</v>
      </c>
      <c r="F394" s="3">
        <v>201.25</v>
      </c>
    </row>
    <row r="395" spans="1:6" x14ac:dyDescent="0.25">
      <c r="A395" s="1">
        <v>39659</v>
      </c>
      <c r="B395" s="2">
        <v>0.58333333333333337</v>
      </c>
      <c r="C395" s="3">
        <v>201.25</v>
      </c>
      <c r="D395" s="3">
        <v>202.45</v>
      </c>
      <c r="E395" s="3">
        <v>200.5</v>
      </c>
      <c r="F395" s="3">
        <v>201.8</v>
      </c>
    </row>
    <row r="396" spans="1:6" x14ac:dyDescent="0.25">
      <c r="A396" s="1">
        <v>39660</v>
      </c>
      <c r="B396" s="2">
        <v>0.58333333333333337</v>
      </c>
      <c r="C396" s="3">
        <v>201.6</v>
      </c>
      <c r="D396" s="3">
        <v>203.65</v>
      </c>
      <c r="E396" s="3">
        <v>201.05</v>
      </c>
      <c r="F396" s="3">
        <v>203.55</v>
      </c>
    </row>
    <row r="397" spans="1:6" x14ac:dyDescent="0.25">
      <c r="A397" s="1">
        <v>39661</v>
      </c>
      <c r="B397" s="2">
        <v>0.58333333333333337</v>
      </c>
      <c r="C397" s="3">
        <v>203.55</v>
      </c>
      <c r="D397" s="3">
        <v>204.8</v>
      </c>
      <c r="E397" s="3">
        <v>201.7</v>
      </c>
      <c r="F397" s="3">
        <v>204.2</v>
      </c>
    </row>
    <row r="398" spans="1:6" x14ac:dyDescent="0.25">
      <c r="A398" s="1">
        <v>39664</v>
      </c>
      <c r="B398" s="2">
        <v>0.58333333333333337</v>
      </c>
      <c r="C398" s="3">
        <v>203.85</v>
      </c>
      <c r="D398" s="3">
        <v>204.3</v>
      </c>
      <c r="E398" s="3">
        <v>198.85</v>
      </c>
      <c r="F398" s="3">
        <v>200.9</v>
      </c>
    </row>
    <row r="399" spans="1:6" x14ac:dyDescent="0.25">
      <c r="A399" s="1">
        <v>39665</v>
      </c>
      <c r="B399" s="2">
        <v>0.58333333333333337</v>
      </c>
      <c r="C399" s="3">
        <v>200.55</v>
      </c>
      <c r="D399" s="3">
        <v>206.3</v>
      </c>
      <c r="E399" s="3">
        <v>199.15</v>
      </c>
      <c r="F399" s="3">
        <v>204.25</v>
      </c>
    </row>
    <row r="400" spans="1:6" x14ac:dyDescent="0.25">
      <c r="A400" s="1">
        <v>39666</v>
      </c>
      <c r="B400" s="2">
        <v>0.58333333333333337</v>
      </c>
      <c r="C400" s="3">
        <v>204.25</v>
      </c>
      <c r="D400" s="3">
        <v>205</v>
      </c>
      <c r="E400" s="3">
        <v>201.25</v>
      </c>
      <c r="F400" s="3">
        <v>201.95</v>
      </c>
    </row>
    <row r="401" spans="1:6" x14ac:dyDescent="0.25">
      <c r="A401" s="1">
        <v>39667</v>
      </c>
      <c r="B401" s="2">
        <v>0.58333333333333337</v>
      </c>
      <c r="C401" s="3">
        <v>202.1</v>
      </c>
      <c r="D401" s="3">
        <v>205.85</v>
      </c>
      <c r="E401" s="3">
        <v>201.85</v>
      </c>
      <c r="F401" s="3">
        <v>204.5</v>
      </c>
    </row>
    <row r="402" spans="1:6" x14ac:dyDescent="0.25">
      <c r="A402" s="1">
        <v>39668</v>
      </c>
      <c r="B402" s="2">
        <v>0.58333333333333337</v>
      </c>
      <c r="C402" s="3">
        <v>204.3</v>
      </c>
      <c r="D402" s="3">
        <v>204.5</v>
      </c>
      <c r="E402" s="3">
        <v>199.65</v>
      </c>
      <c r="F402" s="3">
        <v>199.85</v>
      </c>
    </row>
    <row r="403" spans="1:6" x14ac:dyDescent="0.25">
      <c r="A403" s="1">
        <v>39671</v>
      </c>
      <c r="B403" s="2">
        <v>0.58333333333333337</v>
      </c>
      <c r="C403" s="3">
        <v>199.75</v>
      </c>
      <c r="D403" s="3">
        <v>202.15</v>
      </c>
      <c r="E403" s="3">
        <v>199.65</v>
      </c>
      <c r="F403" s="3">
        <v>199.95</v>
      </c>
    </row>
    <row r="404" spans="1:6" x14ac:dyDescent="0.25">
      <c r="A404" s="1">
        <v>39672</v>
      </c>
      <c r="B404" s="2">
        <v>0.58333333333333337</v>
      </c>
      <c r="C404" s="3">
        <v>199.95</v>
      </c>
      <c r="D404" s="3">
        <v>204.15</v>
      </c>
      <c r="E404" s="3">
        <v>198.6</v>
      </c>
      <c r="F404" s="3">
        <v>201.5</v>
      </c>
    </row>
    <row r="405" spans="1:6" x14ac:dyDescent="0.25">
      <c r="A405" s="1">
        <v>39673</v>
      </c>
      <c r="B405" s="2">
        <v>0.58333333333333337</v>
      </c>
      <c r="C405" s="3">
        <v>201.65</v>
      </c>
      <c r="D405" s="3">
        <v>201.95</v>
      </c>
      <c r="E405" s="3">
        <v>197</v>
      </c>
      <c r="F405" s="3">
        <v>199.6</v>
      </c>
    </row>
    <row r="406" spans="1:6" x14ac:dyDescent="0.25">
      <c r="A406" s="1">
        <v>39674</v>
      </c>
      <c r="B406" s="2">
        <v>0.58333333333333337</v>
      </c>
      <c r="C406" s="3">
        <v>199.6</v>
      </c>
      <c r="D406" s="3">
        <v>201</v>
      </c>
      <c r="E406" s="3">
        <v>198.7</v>
      </c>
      <c r="F406" s="3">
        <v>199.2</v>
      </c>
    </row>
    <row r="407" spans="1:6" x14ac:dyDescent="0.25">
      <c r="A407" s="1">
        <v>39675</v>
      </c>
      <c r="B407" s="2">
        <v>0.58333333333333337</v>
      </c>
      <c r="C407" s="3">
        <v>198.65</v>
      </c>
      <c r="D407" s="3">
        <v>199.2</v>
      </c>
      <c r="E407" s="3">
        <v>195.3</v>
      </c>
      <c r="F407" s="3">
        <v>196.95</v>
      </c>
    </row>
    <row r="408" spans="1:6" x14ac:dyDescent="0.25">
      <c r="A408" s="1">
        <v>39678</v>
      </c>
      <c r="B408" s="2">
        <v>0.58333333333333337</v>
      </c>
      <c r="C408" s="3">
        <v>196.85</v>
      </c>
      <c r="D408" s="3">
        <v>198.95</v>
      </c>
      <c r="E408" s="3">
        <v>196.55</v>
      </c>
      <c r="F408" s="3">
        <v>198.1</v>
      </c>
    </row>
    <row r="409" spans="1:6" x14ac:dyDescent="0.25">
      <c r="A409" s="1">
        <v>39679</v>
      </c>
      <c r="B409" s="2">
        <v>0.58333333333333337</v>
      </c>
      <c r="C409" s="3">
        <v>198.15</v>
      </c>
      <c r="D409" s="3">
        <v>201.8</v>
      </c>
      <c r="E409" s="3">
        <v>197.05</v>
      </c>
      <c r="F409" s="3">
        <v>200.25</v>
      </c>
    </row>
    <row r="410" spans="1:6" x14ac:dyDescent="0.25">
      <c r="A410" s="1">
        <v>39680</v>
      </c>
      <c r="B410" s="2">
        <v>0.58333333333333337</v>
      </c>
      <c r="C410" s="3">
        <v>200.25</v>
      </c>
      <c r="D410" s="3">
        <v>202.45</v>
      </c>
      <c r="E410" s="3">
        <v>200</v>
      </c>
      <c r="F410" s="3">
        <v>201.35</v>
      </c>
    </row>
    <row r="411" spans="1:6" x14ac:dyDescent="0.25">
      <c r="A411" s="1">
        <v>39681</v>
      </c>
      <c r="B411" s="2">
        <v>0.58333333333333337</v>
      </c>
      <c r="C411" s="3">
        <v>201.9</v>
      </c>
      <c r="D411" s="3">
        <v>205.5</v>
      </c>
      <c r="E411" s="3">
        <v>201.8</v>
      </c>
      <c r="F411" s="3">
        <v>203.8</v>
      </c>
    </row>
    <row r="412" spans="1:6" x14ac:dyDescent="0.25">
      <c r="A412" s="1">
        <v>39682</v>
      </c>
      <c r="B412" s="2">
        <v>0.58333333333333337</v>
      </c>
      <c r="C412" s="3">
        <v>203.85</v>
      </c>
      <c r="D412" s="3">
        <v>205.15</v>
      </c>
      <c r="E412" s="3">
        <v>201.95</v>
      </c>
      <c r="F412" s="3">
        <v>204.35</v>
      </c>
    </row>
    <row r="413" spans="1:6" x14ac:dyDescent="0.25">
      <c r="A413" s="1">
        <v>39685</v>
      </c>
      <c r="B413" s="2">
        <v>0.58333333333333337</v>
      </c>
      <c r="C413" s="3">
        <v>203.35</v>
      </c>
      <c r="D413" s="3">
        <v>204.35</v>
      </c>
      <c r="E413" s="3">
        <v>202.75</v>
      </c>
      <c r="F413" s="3">
        <v>203.45</v>
      </c>
    </row>
    <row r="414" spans="1:6" x14ac:dyDescent="0.25">
      <c r="A414" s="1">
        <v>39686</v>
      </c>
      <c r="B414" s="2">
        <v>0.58333333333333337</v>
      </c>
      <c r="C414" s="3">
        <v>203.45</v>
      </c>
      <c r="D414" s="3">
        <v>208.95</v>
      </c>
      <c r="E414" s="3">
        <v>202.45</v>
      </c>
      <c r="F414" s="3">
        <v>208.1</v>
      </c>
    </row>
    <row r="415" spans="1:6" x14ac:dyDescent="0.25">
      <c r="A415" s="1">
        <v>39687</v>
      </c>
      <c r="B415" s="2">
        <v>0.58333333333333337</v>
      </c>
      <c r="C415" s="3">
        <v>208.3</v>
      </c>
      <c r="D415" s="3">
        <v>212.4</v>
      </c>
      <c r="E415" s="3">
        <v>207.7</v>
      </c>
      <c r="F415" s="3">
        <v>208.25</v>
      </c>
    </row>
    <row r="416" spans="1:6" x14ac:dyDescent="0.25">
      <c r="A416" s="1">
        <v>39688</v>
      </c>
      <c r="B416" s="2">
        <v>0.58333333333333337</v>
      </c>
      <c r="C416" s="3">
        <v>207.95</v>
      </c>
      <c r="D416" s="3">
        <v>211.4</v>
      </c>
      <c r="E416" s="3">
        <v>206.65</v>
      </c>
      <c r="F416" s="3">
        <v>207.95</v>
      </c>
    </row>
    <row r="417" spans="1:6" x14ac:dyDescent="0.25">
      <c r="A417" s="1">
        <v>39689</v>
      </c>
      <c r="B417" s="2">
        <v>0.58333333333333337</v>
      </c>
      <c r="C417" s="3">
        <v>208.15</v>
      </c>
      <c r="D417" s="3">
        <v>210.35</v>
      </c>
      <c r="E417" s="3">
        <v>205.35</v>
      </c>
      <c r="F417" s="3">
        <v>205.9</v>
      </c>
    </row>
    <row r="418" spans="1:6" x14ac:dyDescent="0.25">
      <c r="A418" s="1">
        <v>39693</v>
      </c>
      <c r="B418" s="2">
        <v>0.58333333333333337</v>
      </c>
      <c r="C418" s="3">
        <v>205.15</v>
      </c>
      <c r="D418" s="3">
        <v>205.4</v>
      </c>
      <c r="E418" s="3">
        <v>201.95</v>
      </c>
      <c r="F418" s="3">
        <v>204.6</v>
      </c>
    </row>
    <row r="419" spans="1:6" x14ac:dyDescent="0.25">
      <c r="A419" s="1">
        <v>39694</v>
      </c>
      <c r="B419" s="2">
        <v>0.58333333333333337</v>
      </c>
      <c r="C419" s="3">
        <v>204.9</v>
      </c>
      <c r="D419" s="3">
        <v>205.65</v>
      </c>
      <c r="E419" s="3">
        <v>202.65</v>
      </c>
      <c r="F419" s="3">
        <v>203.55</v>
      </c>
    </row>
    <row r="420" spans="1:6" x14ac:dyDescent="0.25">
      <c r="A420" s="1">
        <v>39695</v>
      </c>
      <c r="B420" s="2">
        <v>0.58333333333333337</v>
      </c>
      <c r="C420" s="3">
        <v>204.1</v>
      </c>
      <c r="D420" s="3">
        <v>207.5</v>
      </c>
      <c r="E420" s="3">
        <v>203.15</v>
      </c>
      <c r="F420" s="3">
        <v>206.9</v>
      </c>
    </row>
    <row r="421" spans="1:6" x14ac:dyDescent="0.25">
      <c r="A421" s="1">
        <v>39696</v>
      </c>
      <c r="B421" s="2">
        <v>0.58333333333333337</v>
      </c>
      <c r="C421" s="3">
        <v>206.9</v>
      </c>
      <c r="D421" s="3">
        <v>208.15</v>
      </c>
      <c r="E421" s="3">
        <v>201.25</v>
      </c>
      <c r="F421" s="3">
        <v>202.8</v>
      </c>
    </row>
    <row r="422" spans="1:6" x14ac:dyDescent="0.25">
      <c r="A422" s="1">
        <v>39699</v>
      </c>
      <c r="B422" s="2">
        <v>0.58333333333333337</v>
      </c>
      <c r="C422" s="3">
        <v>203.35</v>
      </c>
      <c r="D422" s="3">
        <v>204.55</v>
      </c>
      <c r="E422" s="3">
        <v>201.8</v>
      </c>
      <c r="F422" s="3">
        <v>203.15</v>
      </c>
    </row>
    <row r="423" spans="1:6" x14ac:dyDescent="0.25">
      <c r="A423" s="1">
        <v>39700</v>
      </c>
      <c r="B423" s="2">
        <v>0.58333333333333337</v>
      </c>
      <c r="C423" s="3">
        <v>202.15</v>
      </c>
      <c r="D423" s="3">
        <v>203.35</v>
      </c>
      <c r="E423" s="3">
        <v>200.05</v>
      </c>
      <c r="F423" s="3">
        <v>200.25</v>
      </c>
    </row>
    <row r="424" spans="1:6" x14ac:dyDescent="0.25">
      <c r="A424" s="1">
        <v>39701</v>
      </c>
      <c r="B424" s="2">
        <v>0.58333333333333337</v>
      </c>
      <c r="C424" s="3">
        <v>200.15</v>
      </c>
      <c r="D424" s="3">
        <v>201.5</v>
      </c>
      <c r="E424" s="3">
        <v>198.65</v>
      </c>
      <c r="F424" s="3">
        <v>200.95</v>
      </c>
    </row>
    <row r="425" spans="1:6" x14ac:dyDescent="0.25">
      <c r="A425" s="1">
        <v>39702</v>
      </c>
      <c r="B425" s="2">
        <v>0.58333333333333337</v>
      </c>
      <c r="C425" s="3">
        <v>200.1</v>
      </c>
      <c r="D425" s="3">
        <v>200.4</v>
      </c>
      <c r="E425" s="3">
        <v>197.4</v>
      </c>
      <c r="F425" s="3">
        <v>198.6</v>
      </c>
    </row>
    <row r="426" spans="1:6" x14ac:dyDescent="0.25">
      <c r="A426" s="1">
        <v>39703</v>
      </c>
      <c r="B426" s="2">
        <v>0.58333333333333337</v>
      </c>
      <c r="C426" s="3">
        <v>198.65</v>
      </c>
      <c r="D426" s="3">
        <v>200.35</v>
      </c>
      <c r="E426" s="3">
        <v>198.4</v>
      </c>
      <c r="F426" s="3">
        <v>199.35</v>
      </c>
    </row>
    <row r="427" spans="1:6" x14ac:dyDescent="0.25">
      <c r="A427" s="1">
        <v>39706</v>
      </c>
      <c r="B427" s="2">
        <v>0.58333333333333337</v>
      </c>
      <c r="C427" s="3">
        <v>199.3</v>
      </c>
      <c r="D427" s="3">
        <v>200.15</v>
      </c>
      <c r="E427" s="3">
        <v>196.3</v>
      </c>
      <c r="F427" s="3">
        <v>199.2</v>
      </c>
    </row>
    <row r="428" spans="1:6" x14ac:dyDescent="0.25">
      <c r="A428" s="1">
        <v>39707</v>
      </c>
      <c r="B428" s="2">
        <v>0.58333333333333337</v>
      </c>
      <c r="C428" s="3">
        <v>198.35</v>
      </c>
      <c r="D428" s="3">
        <v>198.45</v>
      </c>
      <c r="E428" s="3">
        <v>193.05</v>
      </c>
      <c r="F428" s="3">
        <v>193.55</v>
      </c>
    </row>
    <row r="429" spans="1:6" x14ac:dyDescent="0.25">
      <c r="A429" s="1">
        <v>39708</v>
      </c>
      <c r="B429" s="2">
        <v>0.58333333333333337</v>
      </c>
      <c r="C429" s="3">
        <v>194.1</v>
      </c>
      <c r="D429" s="3">
        <v>195.35</v>
      </c>
      <c r="E429" s="3">
        <v>192</v>
      </c>
      <c r="F429" s="3">
        <v>193.05</v>
      </c>
    </row>
    <row r="430" spans="1:6" x14ac:dyDescent="0.25">
      <c r="A430" s="1">
        <v>39709</v>
      </c>
      <c r="B430" s="2">
        <v>0.58333333333333337</v>
      </c>
      <c r="C430" s="3">
        <v>193.45</v>
      </c>
      <c r="D430" s="3">
        <v>195.95</v>
      </c>
      <c r="E430" s="3">
        <v>190.5</v>
      </c>
      <c r="F430" s="3">
        <v>190.6</v>
      </c>
    </row>
    <row r="431" spans="1:6" x14ac:dyDescent="0.25">
      <c r="A431" s="1">
        <v>39710</v>
      </c>
      <c r="B431" s="2">
        <v>0.58333333333333337</v>
      </c>
      <c r="C431" s="3">
        <v>191.25</v>
      </c>
      <c r="D431" s="3">
        <v>194.55</v>
      </c>
      <c r="E431" s="3">
        <v>190.55</v>
      </c>
      <c r="F431" s="3">
        <v>193.25</v>
      </c>
    </row>
    <row r="432" spans="1:6" x14ac:dyDescent="0.25">
      <c r="A432" s="1">
        <v>39713</v>
      </c>
      <c r="B432" s="2">
        <v>0.58333333333333337</v>
      </c>
      <c r="C432" s="3">
        <v>194.55</v>
      </c>
      <c r="D432" s="3">
        <v>197.3</v>
      </c>
      <c r="E432" s="3">
        <v>194.1</v>
      </c>
      <c r="F432" s="3">
        <v>196.75</v>
      </c>
    </row>
    <row r="433" spans="1:6" x14ac:dyDescent="0.25">
      <c r="A433" s="1">
        <v>39714</v>
      </c>
      <c r="B433" s="2">
        <v>0.58333333333333337</v>
      </c>
      <c r="C433" s="3">
        <v>197.15</v>
      </c>
      <c r="D433" s="3">
        <v>197.95</v>
      </c>
      <c r="E433" s="3">
        <v>194.7</v>
      </c>
      <c r="F433" s="3">
        <v>195.05</v>
      </c>
    </row>
    <row r="434" spans="1:6" x14ac:dyDescent="0.25">
      <c r="A434" s="1">
        <v>39715</v>
      </c>
      <c r="B434" s="2">
        <v>0.58333333333333337</v>
      </c>
      <c r="C434" s="3">
        <v>195.65</v>
      </c>
      <c r="D434" s="3">
        <v>197.15</v>
      </c>
      <c r="E434" s="3">
        <v>194.8</v>
      </c>
      <c r="F434" s="3">
        <v>195.8</v>
      </c>
    </row>
    <row r="435" spans="1:6" x14ac:dyDescent="0.25">
      <c r="A435" s="1">
        <v>39716</v>
      </c>
      <c r="B435" s="2">
        <v>0.58333333333333337</v>
      </c>
      <c r="C435" s="3">
        <v>195.3</v>
      </c>
      <c r="D435" s="3">
        <v>198.65</v>
      </c>
      <c r="E435" s="3">
        <v>193.9</v>
      </c>
      <c r="F435" s="3">
        <v>197.75</v>
      </c>
    </row>
    <row r="436" spans="1:6" x14ac:dyDescent="0.25">
      <c r="A436" s="1">
        <v>39717</v>
      </c>
      <c r="B436" s="2">
        <v>0.58333333333333337</v>
      </c>
      <c r="C436" s="3">
        <v>197.75</v>
      </c>
      <c r="D436" s="3">
        <v>197.8</v>
      </c>
      <c r="E436" s="3">
        <v>193</v>
      </c>
      <c r="F436" s="3">
        <v>194.3</v>
      </c>
    </row>
    <row r="437" spans="1:6" x14ac:dyDescent="0.25">
      <c r="A437" s="1">
        <v>39720</v>
      </c>
      <c r="B437" s="2">
        <v>0.58333333333333337</v>
      </c>
      <c r="C437" s="3">
        <v>194.15</v>
      </c>
      <c r="D437" s="3">
        <v>194.15</v>
      </c>
      <c r="E437" s="3">
        <v>189.45</v>
      </c>
      <c r="F437" s="3">
        <v>190.4</v>
      </c>
    </row>
    <row r="438" spans="1:6" x14ac:dyDescent="0.25">
      <c r="A438" s="1">
        <v>39721</v>
      </c>
      <c r="B438" s="2">
        <v>0.58333333333333337</v>
      </c>
      <c r="C438" s="3">
        <v>189.95</v>
      </c>
      <c r="D438" s="3">
        <v>191.5</v>
      </c>
      <c r="E438" s="3">
        <v>188.95</v>
      </c>
      <c r="F438" s="3">
        <v>190.6</v>
      </c>
    </row>
    <row r="439" spans="1:6" x14ac:dyDescent="0.25">
      <c r="A439" s="1">
        <v>39722</v>
      </c>
      <c r="B439" s="2">
        <v>0.58333333333333337</v>
      </c>
      <c r="C439" s="3">
        <v>191.25</v>
      </c>
      <c r="D439" s="3">
        <v>192.05</v>
      </c>
      <c r="E439" s="3">
        <v>188.6</v>
      </c>
      <c r="F439" s="3">
        <v>189.25</v>
      </c>
    </row>
    <row r="440" spans="1:6" x14ac:dyDescent="0.25">
      <c r="A440" s="1">
        <v>39723</v>
      </c>
      <c r="B440" s="2">
        <v>0.58333333333333337</v>
      </c>
      <c r="C440" s="3">
        <v>189.25</v>
      </c>
      <c r="D440" s="3">
        <v>189.65</v>
      </c>
      <c r="E440" s="3">
        <v>184.95</v>
      </c>
      <c r="F440" s="3">
        <v>185.6</v>
      </c>
    </row>
    <row r="441" spans="1:6" x14ac:dyDescent="0.25">
      <c r="A441" s="1">
        <v>39724</v>
      </c>
      <c r="B441" s="2">
        <v>0.58333333333333337</v>
      </c>
      <c r="C441" s="3">
        <v>185.3</v>
      </c>
      <c r="D441" s="3">
        <v>186</v>
      </c>
      <c r="E441" s="3">
        <v>181.75</v>
      </c>
      <c r="F441" s="3">
        <v>182.2</v>
      </c>
    </row>
    <row r="442" spans="1:6" x14ac:dyDescent="0.25">
      <c r="A442" s="1">
        <v>39727</v>
      </c>
      <c r="B442" s="2">
        <v>0.58333333333333337</v>
      </c>
      <c r="C442" s="3">
        <v>181.05</v>
      </c>
      <c r="D442" s="3">
        <v>182.2</v>
      </c>
      <c r="E442" s="3">
        <v>173.1</v>
      </c>
      <c r="F442" s="3">
        <v>174.65</v>
      </c>
    </row>
    <row r="443" spans="1:6" x14ac:dyDescent="0.25">
      <c r="A443" s="1">
        <v>39728</v>
      </c>
      <c r="B443" s="2">
        <v>0.58333333333333337</v>
      </c>
      <c r="C443" s="3">
        <v>174.65</v>
      </c>
      <c r="D443" s="3">
        <v>176.45</v>
      </c>
      <c r="E443" s="3">
        <v>174.15</v>
      </c>
      <c r="F443" s="3">
        <v>174.35</v>
      </c>
    </row>
    <row r="444" spans="1:6" x14ac:dyDescent="0.25">
      <c r="A444" s="1">
        <v>39729</v>
      </c>
      <c r="B444" s="2">
        <v>0.58333333333333337</v>
      </c>
      <c r="C444" s="3">
        <v>174.15</v>
      </c>
      <c r="D444" s="3">
        <v>176.15</v>
      </c>
      <c r="E444" s="3">
        <v>169.5</v>
      </c>
      <c r="F444" s="3">
        <v>174.7</v>
      </c>
    </row>
    <row r="445" spans="1:6" x14ac:dyDescent="0.25">
      <c r="A445" s="1">
        <v>39730</v>
      </c>
      <c r="B445" s="2">
        <v>0.58333333333333337</v>
      </c>
      <c r="C445" s="3">
        <v>174.7</v>
      </c>
      <c r="D445" s="3">
        <v>176.6</v>
      </c>
      <c r="E445" s="3">
        <v>174.65</v>
      </c>
      <c r="F445" s="3">
        <v>174.8</v>
      </c>
    </row>
    <row r="446" spans="1:6" x14ac:dyDescent="0.25">
      <c r="A446" s="1">
        <v>39731</v>
      </c>
      <c r="B446" s="2">
        <v>0.58333333333333337</v>
      </c>
      <c r="C446" s="3">
        <v>173.55</v>
      </c>
      <c r="D446" s="3">
        <v>177.05</v>
      </c>
      <c r="E446" s="3">
        <v>170.45</v>
      </c>
      <c r="F446" s="3">
        <v>175.5</v>
      </c>
    </row>
    <row r="447" spans="1:6" x14ac:dyDescent="0.25">
      <c r="A447" s="1">
        <v>39734</v>
      </c>
      <c r="B447" s="2">
        <v>0.58333333333333337</v>
      </c>
      <c r="C447" s="3">
        <v>176.5</v>
      </c>
      <c r="D447" s="3">
        <v>180.5</v>
      </c>
      <c r="E447" s="3">
        <v>176.2</v>
      </c>
      <c r="F447" s="3">
        <v>177.8</v>
      </c>
    </row>
    <row r="448" spans="1:6" x14ac:dyDescent="0.25">
      <c r="A448" s="1">
        <v>39735</v>
      </c>
      <c r="B448" s="2">
        <v>0.58333333333333337</v>
      </c>
      <c r="C448" s="3">
        <v>179.1</v>
      </c>
      <c r="D448" s="3">
        <v>181.25</v>
      </c>
      <c r="E448" s="3">
        <v>178.5</v>
      </c>
      <c r="F448" s="3">
        <v>179.1</v>
      </c>
    </row>
    <row r="449" spans="1:6" x14ac:dyDescent="0.25">
      <c r="A449" s="1">
        <v>39736</v>
      </c>
      <c r="B449" s="2">
        <v>0.58333333333333337</v>
      </c>
      <c r="C449" s="3">
        <v>178.9</v>
      </c>
      <c r="D449" s="3">
        <v>178.9</v>
      </c>
      <c r="E449" s="3">
        <v>172.35</v>
      </c>
      <c r="F449" s="3">
        <v>173.4</v>
      </c>
    </row>
    <row r="450" spans="1:6" x14ac:dyDescent="0.25">
      <c r="A450" s="1">
        <v>39737</v>
      </c>
      <c r="B450" s="2">
        <v>0.58333333333333337</v>
      </c>
      <c r="C450" s="3">
        <v>172.15</v>
      </c>
      <c r="D450" s="3">
        <v>175.7</v>
      </c>
      <c r="E450" s="3">
        <v>171.6</v>
      </c>
      <c r="F450" s="3">
        <v>173.1</v>
      </c>
    </row>
    <row r="451" spans="1:6" x14ac:dyDescent="0.25">
      <c r="A451" s="1">
        <v>39738</v>
      </c>
      <c r="B451" s="2">
        <v>0.58333333333333337</v>
      </c>
      <c r="C451" s="3">
        <v>174.35</v>
      </c>
      <c r="D451" s="3">
        <v>176.5</v>
      </c>
      <c r="E451" s="3">
        <v>173.7</v>
      </c>
      <c r="F451" s="3">
        <v>175.75</v>
      </c>
    </row>
    <row r="452" spans="1:6" x14ac:dyDescent="0.25">
      <c r="A452" s="1">
        <v>39741</v>
      </c>
      <c r="B452" s="2">
        <v>0.58333333333333337</v>
      </c>
      <c r="C452" s="3">
        <v>177.15</v>
      </c>
      <c r="D452" s="3">
        <v>177.5</v>
      </c>
      <c r="E452" s="3">
        <v>174.45</v>
      </c>
      <c r="F452" s="3">
        <v>174.65</v>
      </c>
    </row>
    <row r="453" spans="1:6" x14ac:dyDescent="0.25">
      <c r="A453" s="1">
        <v>39742</v>
      </c>
      <c r="B453" s="2">
        <v>0.58333333333333337</v>
      </c>
      <c r="C453" s="3">
        <v>175.55</v>
      </c>
      <c r="D453" s="3">
        <v>176.65</v>
      </c>
      <c r="E453" s="3">
        <v>173.6</v>
      </c>
      <c r="F453" s="3">
        <v>174.4</v>
      </c>
    </row>
    <row r="454" spans="1:6" x14ac:dyDescent="0.25">
      <c r="A454" s="1">
        <v>39743</v>
      </c>
      <c r="B454" s="2">
        <v>0.58333333333333337</v>
      </c>
      <c r="C454" s="3">
        <v>174.2</v>
      </c>
      <c r="D454" s="3">
        <v>174.35</v>
      </c>
      <c r="E454" s="3">
        <v>172.3</v>
      </c>
      <c r="F454" s="3">
        <v>172.75</v>
      </c>
    </row>
    <row r="455" spans="1:6" x14ac:dyDescent="0.25">
      <c r="A455" s="1">
        <v>39744</v>
      </c>
      <c r="B455" s="2">
        <v>0.58333333333333337</v>
      </c>
      <c r="C455" s="3">
        <v>172.25</v>
      </c>
      <c r="D455" s="3">
        <v>173</v>
      </c>
      <c r="E455" s="3">
        <v>169.9</v>
      </c>
      <c r="F455" s="3">
        <v>170.25</v>
      </c>
    </row>
    <row r="456" spans="1:6" x14ac:dyDescent="0.25">
      <c r="A456" s="1">
        <v>39745</v>
      </c>
      <c r="B456" s="2">
        <v>0.58333333333333337</v>
      </c>
      <c r="C456" s="3">
        <v>170.25</v>
      </c>
      <c r="D456" s="3">
        <v>172.1</v>
      </c>
      <c r="E456" s="3">
        <v>166.45</v>
      </c>
      <c r="F456" s="3">
        <v>168.8</v>
      </c>
    </row>
    <row r="457" spans="1:6" x14ac:dyDescent="0.25">
      <c r="A457" s="1">
        <v>39748</v>
      </c>
      <c r="B457" s="2">
        <v>0.58333333333333337</v>
      </c>
      <c r="C457" s="3">
        <v>168.2</v>
      </c>
      <c r="D457" s="3">
        <v>168.65</v>
      </c>
      <c r="E457" s="3">
        <v>165.2</v>
      </c>
      <c r="F457" s="3">
        <v>167.9</v>
      </c>
    </row>
    <row r="458" spans="1:6" x14ac:dyDescent="0.25">
      <c r="A458" s="1">
        <v>39749</v>
      </c>
      <c r="B458" s="2">
        <v>0.58333333333333337</v>
      </c>
      <c r="C458" s="3">
        <v>169.1</v>
      </c>
      <c r="D458" s="3">
        <v>171.05</v>
      </c>
      <c r="E458" s="3">
        <v>167.15</v>
      </c>
      <c r="F458" s="3">
        <v>167.85</v>
      </c>
    </row>
    <row r="459" spans="1:6" x14ac:dyDescent="0.25">
      <c r="A459" s="1">
        <v>39750</v>
      </c>
      <c r="B459" s="2">
        <v>0.58333333333333337</v>
      </c>
      <c r="C459" s="3">
        <v>169.4</v>
      </c>
      <c r="D459" s="3">
        <v>174.3</v>
      </c>
      <c r="E459" s="3">
        <v>169.4</v>
      </c>
      <c r="F459" s="3">
        <v>172.35</v>
      </c>
    </row>
    <row r="460" spans="1:6" x14ac:dyDescent="0.25">
      <c r="A460" s="1">
        <v>39751</v>
      </c>
      <c r="B460" s="2">
        <v>0.58333333333333337</v>
      </c>
      <c r="C460" s="3">
        <v>174.55</v>
      </c>
      <c r="D460" s="3">
        <v>174.8</v>
      </c>
      <c r="E460" s="3">
        <v>170.65</v>
      </c>
      <c r="F460" s="3">
        <v>171.15</v>
      </c>
    </row>
    <row r="461" spans="1:6" x14ac:dyDescent="0.25">
      <c r="A461" s="1">
        <v>39752</v>
      </c>
      <c r="B461" s="2">
        <v>0.58333333333333337</v>
      </c>
      <c r="C461" s="3">
        <v>171.15</v>
      </c>
      <c r="D461" s="3">
        <v>174.2</v>
      </c>
      <c r="E461" s="3">
        <v>169.3</v>
      </c>
      <c r="F461" s="3">
        <v>173.15</v>
      </c>
    </row>
    <row r="462" spans="1:6" x14ac:dyDescent="0.25">
      <c r="A462" s="1">
        <v>39755</v>
      </c>
      <c r="B462" s="2">
        <v>0.58333333333333337</v>
      </c>
      <c r="C462" s="3">
        <v>174.15</v>
      </c>
      <c r="D462" s="3">
        <v>174.65</v>
      </c>
      <c r="E462" s="3">
        <v>171.65</v>
      </c>
      <c r="F462" s="3">
        <v>172.5</v>
      </c>
    </row>
    <row r="463" spans="1:6" x14ac:dyDescent="0.25">
      <c r="A463" s="1">
        <v>39756</v>
      </c>
      <c r="B463" s="2">
        <v>0.58333333333333337</v>
      </c>
      <c r="C463" s="3">
        <v>173.15</v>
      </c>
      <c r="D463" s="3">
        <v>178.1</v>
      </c>
      <c r="E463" s="3">
        <v>172.4</v>
      </c>
      <c r="F463" s="3">
        <v>176.85</v>
      </c>
    </row>
    <row r="464" spans="1:6" x14ac:dyDescent="0.25">
      <c r="A464" s="1">
        <v>39757</v>
      </c>
      <c r="B464" s="2">
        <v>0.58333333333333337</v>
      </c>
      <c r="C464" s="3">
        <v>176.65</v>
      </c>
      <c r="D464" s="3">
        <v>178.65</v>
      </c>
      <c r="E464" s="3">
        <v>175.15</v>
      </c>
      <c r="F464" s="3">
        <v>176.55</v>
      </c>
    </row>
    <row r="465" spans="1:6" x14ac:dyDescent="0.25">
      <c r="A465" s="1">
        <v>39758</v>
      </c>
      <c r="B465" s="2">
        <v>0.58333333333333337</v>
      </c>
      <c r="C465" s="3">
        <v>175.85</v>
      </c>
      <c r="D465" s="3">
        <v>176.4</v>
      </c>
      <c r="E465" s="3">
        <v>169.5</v>
      </c>
      <c r="F465" s="3">
        <v>171.15</v>
      </c>
    </row>
    <row r="466" spans="1:6" x14ac:dyDescent="0.25">
      <c r="A466" s="1">
        <v>39759</v>
      </c>
      <c r="B466" s="2">
        <v>0.58333333333333337</v>
      </c>
      <c r="C466" s="3">
        <v>171.15</v>
      </c>
      <c r="D466" s="3">
        <v>172.8</v>
      </c>
      <c r="E466" s="3">
        <v>170.8</v>
      </c>
      <c r="F466" s="3">
        <v>172.25</v>
      </c>
    </row>
    <row r="467" spans="1:6" x14ac:dyDescent="0.25">
      <c r="A467" s="1">
        <v>39762</v>
      </c>
      <c r="B467" s="2">
        <v>0.58333333333333337</v>
      </c>
      <c r="C467" s="3">
        <v>173.1</v>
      </c>
      <c r="D467" s="3">
        <v>176.65</v>
      </c>
      <c r="E467" s="3">
        <v>172.55</v>
      </c>
      <c r="F467" s="3">
        <v>172.95</v>
      </c>
    </row>
    <row r="468" spans="1:6" x14ac:dyDescent="0.25">
      <c r="A468" s="1">
        <v>39763</v>
      </c>
      <c r="B468" s="2">
        <v>0.58333333333333337</v>
      </c>
      <c r="C468" s="3">
        <v>172.95</v>
      </c>
      <c r="D468" s="3">
        <v>173.85</v>
      </c>
      <c r="E468" s="3">
        <v>171.8</v>
      </c>
      <c r="F468" s="3">
        <v>172.4</v>
      </c>
    </row>
    <row r="469" spans="1:6" x14ac:dyDescent="0.25">
      <c r="A469" s="1">
        <v>39764</v>
      </c>
      <c r="B469" s="2">
        <v>0.58333333333333337</v>
      </c>
      <c r="C469" s="3">
        <v>173.45</v>
      </c>
      <c r="D469" s="3">
        <v>173.45</v>
      </c>
      <c r="E469" s="3">
        <v>171.05</v>
      </c>
      <c r="F469" s="3">
        <v>171.85</v>
      </c>
    </row>
    <row r="470" spans="1:6" x14ac:dyDescent="0.25">
      <c r="A470" s="1">
        <v>39765</v>
      </c>
      <c r="B470" s="2">
        <v>0.58333333333333337</v>
      </c>
      <c r="C470" s="3">
        <v>171.35</v>
      </c>
      <c r="D470" s="3">
        <v>174.7</v>
      </c>
      <c r="E470" s="3">
        <v>170.3</v>
      </c>
      <c r="F470" s="3">
        <v>170.4</v>
      </c>
    </row>
    <row r="471" spans="1:6" x14ac:dyDescent="0.25">
      <c r="A471" s="1">
        <v>39766</v>
      </c>
      <c r="B471" s="2">
        <v>0.58333333333333337</v>
      </c>
      <c r="C471" s="3">
        <v>171.25</v>
      </c>
      <c r="D471" s="3">
        <v>172.55</v>
      </c>
      <c r="E471" s="3">
        <v>170.45</v>
      </c>
      <c r="F471" s="3">
        <v>170.9</v>
      </c>
    </row>
    <row r="472" spans="1:6" x14ac:dyDescent="0.25">
      <c r="A472" s="1">
        <v>39769</v>
      </c>
      <c r="B472" s="2">
        <v>0.58333333333333337</v>
      </c>
      <c r="C472" s="3">
        <v>170.9</v>
      </c>
      <c r="D472" s="3">
        <v>171.9</v>
      </c>
      <c r="E472" s="3">
        <v>166.05</v>
      </c>
      <c r="F472" s="3">
        <v>170.15</v>
      </c>
    </row>
    <row r="473" spans="1:6" x14ac:dyDescent="0.25">
      <c r="A473" s="1">
        <v>39770</v>
      </c>
      <c r="B473" s="2">
        <v>0.58333333333333337</v>
      </c>
      <c r="C473" s="3">
        <v>170.35</v>
      </c>
      <c r="D473" s="3">
        <v>171.3</v>
      </c>
      <c r="E473" s="3">
        <v>169.15</v>
      </c>
      <c r="F473" s="3">
        <v>170.05</v>
      </c>
    </row>
    <row r="474" spans="1:6" x14ac:dyDescent="0.25">
      <c r="A474" s="1">
        <v>39771</v>
      </c>
      <c r="B474" s="2">
        <v>0.58333333333333337</v>
      </c>
      <c r="C474" s="3">
        <v>169.6</v>
      </c>
      <c r="D474" s="3">
        <v>173.3</v>
      </c>
      <c r="E474" s="3">
        <v>168.15</v>
      </c>
      <c r="F474" s="3">
        <v>169.5</v>
      </c>
    </row>
    <row r="475" spans="1:6" x14ac:dyDescent="0.25">
      <c r="A475" s="1">
        <v>39772</v>
      </c>
      <c r="B475" s="2">
        <v>0.58333333333333337</v>
      </c>
      <c r="C475" s="3">
        <v>168.95</v>
      </c>
      <c r="D475" s="3">
        <v>168.95</v>
      </c>
      <c r="E475" s="3">
        <v>166.55</v>
      </c>
      <c r="F475" s="3">
        <v>166.8</v>
      </c>
    </row>
    <row r="476" spans="1:6" x14ac:dyDescent="0.25">
      <c r="A476" s="1">
        <v>39773</v>
      </c>
      <c r="B476" s="2">
        <v>0.58333333333333337</v>
      </c>
      <c r="C476" s="3">
        <v>166.45</v>
      </c>
      <c r="D476" s="3">
        <v>168.55</v>
      </c>
      <c r="E476" s="3">
        <v>166.1</v>
      </c>
      <c r="F476" s="3">
        <v>166.2</v>
      </c>
    </row>
    <row r="477" spans="1:6" x14ac:dyDescent="0.25">
      <c r="A477" s="1">
        <v>39776</v>
      </c>
      <c r="B477" s="2">
        <v>0.58333333333333337</v>
      </c>
      <c r="C477" s="3">
        <v>166.5</v>
      </c>
      <c r="D477" s="3">
        <v>170.7</v>
      </c>
      <c r="E477" s="3">
        <v>166.35</v>
      </c>
      <c r="F477" s="3">
        <v>169.5</v>
      </c>
    </row>
    <row r="478" spans="1:6" x14ac:dyDescent="0.25">
      <c r="A478" s="1">
        <v>39777</v>
      </c>
      <c r="B478" s="2">
        <v>0.58333333333333337</v>
      </c>
      <c r="C478" s="3">
        <v>169.55</v>
      </c>
      <c r="D478" s="3">
        <v>171.25</v>
      </c>
      <c r="E478" s="3">
        <v>168.75</v>
      </c>
      <c r="F478" s="3">
        <v>169.85</v>
      </c>
    </row>
    <row r="479" spans="1:6" x14ac:dyDescent="0.25">
      <c r="A479" s="1">
        <v>39778</v>
      </c>
      <c r="B479" s="2">
        <v>0.58333333333333337</v>
      </c>
      <c r="C479" s="3">
        <v>169.7</v>
      </c>
      <c r="D479" s="3">
        <v>172.25</v>
      </c>
      <c r="E479" s="3">
        <v>169.35</v>
      </c>
      <c r="F479" s="3">
        <v>171.75</v>
      </c>
    </row>
    <row r="480" spans="1:6" x14ac:dyDescent="0.25">
      <c r="A480" s="1">
        <v>39780</v>
      </c>
      <c r="B480" s="2">
        <v>0.58333333333333337</v>
      </c>
      <c r="C480" s="3">
        <v>172.95</v>
      </c>
      <c r="D480" s="3">
        <v>172.95</v>
      </c>
      <c r="E480" s="3">
        <v>170.35</v>
      </c>
      <c r="F480" s="3">
        <v>171.55</v>
      </c>
    </row>
    <row r="481" spans="1:6" x14ac:dyDescent="0.25">
      <c r="A481" s="1">
        <v>39783</v>
      </c>
      <c r="B481" s="2">
        <v>0.58333333333333337</v>
      </c>
      <c r="C481" s="3">
        <v>171.25</v>
      </c>
      <c r="D481" s="3">
        <v>171.45</v>
      </c>
      <c r="E481" s="3">
        <v>168.35</v>
      </c>
      <c r="F481" s="3">
        <v>169</v>
      </c>
    </row>
    <row r="482" spans="1:6" x14ac:dyDescent="0.25">
      <c r="A482" s="1">
        <v>39784</v>
      </c>
      <c r="B482" s="2">
        <v>0.58333333333333337</v>
      </c>
      <c r="C482" s="3">
        <v>168.95</v>
      </c>
      <c r="D482" s="3">
        <v>169.75</v>
      </c>
      <c r="E482" s="3">
        <v>166.35</v>
      </c>
      <c r="F482" s="3">
        <v>167.35</v>
      </c>
    </row>
    <row r="483" spans="1:6" x14ac:dyDescent="0.25">
      <c r="A483" s="1">
        <v>39785</v>
      </c>
      <c r="B483" s="2">
        <v>0.58333333333333337</v>
      </c>
      <c r="C483" s="3">
        <v>167.1</v>
      </c>
      <c r="D483" s="3">
        <v>168.45</v>
      </c>
      <c r="E483" s="3">
        <v>165.75</v>
      </c>
      <c r="F483" s="3">
        <v>166.7</v>
      </c>
    </row>
    <row r="484" spans="1:6" x14ac:dyDescent="0.25">
      <c r="A484" s="1">
        <v>39786</v>
      </c>
      <c r="B484" s="2">
        <v>0.58333333333333337</v>
      </c>
      <c r="C484" s="3">
        <v>166</v>
      </c>
      <c r="D484" s="3">
        <v>166.4</v>
      </c>
      <c r="E484" s="3">
        <v>161</v>
      </c>
      <c r="F484" s="3">
        <v>161.6</v>
      </c>
    </row>
    <row r="485" spans="1:6" x14ac:dyDescent="0.25">
      <c r="A485" s="1">
        <v>39787</v>
      </c>
      <c r="B485" s="2">
        <v>0.58333333333333337</v>
      </c>
      <c r="C485" s="3">
        <v>162.1</v>
      </c>
      <c r="D485" s="3">
        <v>163.44999999999999</v>
      </c>
      <c r="E485" s="3">
        <v>157.6</v>
      </c>
      <c r="F485" s="3">
        <v>158.65</v>
      </c>
    </row>
    <row r="486" spans="1:6" x14ac:dyDescent="0.25">
      <c r="A486" s="1">
        <v>39790</v>
      </c>
      <c r="B486" s="2">
        <v>0.58333333333333337</v>
      </c>
      <c r="C486" s="3">
        <v>160.44999999999999</v>
      </c>
      <c r="D486" s="3">
        <v>165.35</v>
      </c>
      <c r="E486" s="3">
        <v>160.4</v>
      </c>
      <c r="F486" s="3">
        <v>164.95</v>
      </c>
    </row>
    <row r="487" spans="1:6" x14ac:dyDescent="0.25">
      <c r="A487" s="1">
        <v>39791</v>
      </c>
      <c r="B487" s="2">
        <v>0.58333333333333337</v>
      </c>
      <c r="C487" s="3">
        <v>164.5</v>
      </c>
      <c r="D487" s="3">
        <v>167.55</v>
      </c>
      <c r="E487" s="3">
        <v>162.44999999999999</v>
      </c>
      <c r="F487" s="3">
        <v>165.3</v>
      </c>
    </row>
    <row r="488" spans="1:6" x14ac:dyDescent="0.25">
      <c r="A488" s="1">
        <v>39792</v>
      </c>
      <c r="B488" s="2">
        <v>0.58333333333333337</v>
      </c>
      <c r="C488" s="3">
        <v>165.3</v>
      </c>
      <c r="D488" s="3">
        <v>167.15</v>
      </c>
      <c r="E488" s="3">
        <v>164.65</v>
      </c>
      <c r="F488" s="3">
        <v>166.5</v>
      </c>
    </row>
    <row r="489" spans="1:6" x14ac:dyDescent="0.25">
      <c r="A489" s="1">
        <v>39793</v>
      </c>
      <c r="B489" s="2">
        <v>0.58333333333333337</v>
      </c>
      <c r="C489" s="3">
        <v>166.65</v>
      </c>
      <c r="D489" s="3">
        <v>169.15</v>
      </c>
      <c r="E489" s="3">
        <v>166.65</v>
      </c>
      <c r="F489" s="3">
        <v>168.15</v>
      </c>
    </row>
    <row r="490" spans="1:6" x14ac:dyDescent="0.25">
      <c r="A490" s="1">
        <v>39794</v>
      </c>
      <c r="B490" s="2">
        <v>0.58333333333333337</v>
      </c>
      <c r="C490" s="3">
        <v>167.15</v>
      </c>
      <c r="D490" s="3">
        <v>168.9</v>
      </c>
      <c r="E490" s="3">
        <v>165.85</v>
      </c>
      <c r="F490" s="3">
        <v>167.6</v>
      </c>
    </row>
    <row r="491" spans="1:6" x14ac:dyDescent="0.25">
      <c r="A491" s="1">
        <v>39797</v>
      </c>
      <c r="B491" s="2">
        <v>0.58333333333333337</v>
      </c>
      <c r="C491" s="3">
        <v>168.45</v>
      </c>
      <c r="D491" s="3">
        <v>169.45</v>
      </c>
      <c r="E491" s="3">
        <v>165.35</v>
      </c>
      <c r="F491" s="3">
        <v>166</v>
      </c>
    </row>
    <row r="492" spans="1:6" x14ac:dyDescent="0.25">
      <c r="A492" s="1">
        <v>39798</v>
      </c>
      <c r="B492" s="2">
        <v>0.58333333333333337</v>
      </c>
      <c r="C492" s="3">
        <v>166.25</v>
      </c>
      <c r="D492" s="3">
        <v>167.4</v>
      </c>
      <c r="E492" s="3">
        <v>165.7</v>
      </c>
      <c r="F492" s="3">
        <v>166.55</v>
      </c>
    </row>
    <row r="493" spans="1:6" x14ac:dyDescent="0.25">
      <c r="A493" s="1">
        <v>39799</v>
      </c>
      <c r="B493" s="2">
        <v>0.58333333333333337</v>
      </c>
      <c r="C493" s="3">
        <v>167.65</v>
      </c>
      <c r="D493" s="3">
        <v>169.25</v>
      </c>
      <c r="E493" s="3">
        <v>166.35</v>
      </c>
      <c r="F493" s="3">
        <v>167.75</v>
      </c>
    </row>
    <row r="494" spans="1:6" x14ac:dyDescent="0.25">
      <c r="A494" s="1">
        <v>39800</v>
      </c>
      <c r="B494" s="2">
        <v>0.58333333333333337</v>
      </c>
      <c r="C494" s="3">
        <v>167.95</v>
      </c>
      <c r="D494" s="3">
        <v>169.05</v>
      </c>
      <c r="E494" s="3">
        <v>167.15</v>
      </c>
      <c r="F494" s="3">
        <v>167.95</v>
      </c>
    </row>
    <row r="495" spans="1:6" x14ac:dyDescent="0.25">
      <c r="A495" s="1">
        <v>39801</v>
      </c>
      <c r="B495" s="2">
        <v>0.58333333333333337</v>
      </c>
      <c r="C495" s="3">
        <v>167.7</v>
      </c>
      <c r="D495" s="3">
        <v>167.8</v>
      </c>
      <c r="E495" s="3">
        <v>165.7</v>
      </c>
      <c r="F495" s="3">
        <v>166.4</v>
      </c>
    </row>
    <row r="496" spans="1:6" x14ac:dyDescent="0.25">
      <c r="A496" s="1">
        <v>39804</v>
      </c>
      <c r="B496" s="2">
        <v>0.58333333333333337</v>
      </c>
      <c r="C496" s="3">
        <v>166.45</v>
      </c>
      <c r="D496" s="3">
        <v>166.7</v>
      </c>
      <c r="E496" s="3">
        <v>162.5</v>
      </c>
      <c r="F496" s="3">
        <v>163.80000000000001</v>
      </c>
    </row>
    <row r="497" spans="1:6" x14ac:dyDescent="0.25">
      <c r="A497" s="1">
        <v>39805</v>
      </c>
      <c r="B497" s="2">
        <v>0.58333333333333337</v>
      </c>
      <c r="C497" s="3">
        <v>163.44999999999999</v>
      </c>
      <c r="D497" s="3">
        <v>164.35</v>
      </c>
      <c r="E497" s="3">
        <v>162.5</v>
      </c>
      <c r="F497" s="3">
        <v>162.9</v>
      </c>
    </row>
    <row r="498" spans="1:6" x14ac:dyDescent="0.25">
      <c r="A498" s="1">
        <v>39806</v>
      </c>
      <c r="B498" s="2">
        <v>0.58333333333333337</v>
      </c>
      <c r="C498" s="3">
        <v>162.94999999999999</v>
      </c>
      <c r="D498" s="3">
        <v>164</v>
      </c>
      <c r="E498" s="3">
        <v>162.80000000000001</v>
      </c>
      <c r="F498" s="3">
        <v>163.5</v>
      </c>
    </row>
    <row r="499" spans="1:6" x14ac:dyDescent="0.25">
      <c r="A499" s="1">
        <v>39808</v>
      </c>
      <c r="B499" s="2">
        <v>0.58333333333333337</v>
      </c>
      <c r="C499" s="3">
        <v>163.75</v>
      </c>
      <c r="D499" s="3">
        <v>164.8</v>
      </c>
      <c r="E499" s="3">
        <v>163.4</v>
      </c>
      <c r="F499" s="3">
        <v>163.85</v>
      </c>
    </row>
    <row r="500" spans="1:6" x14ac:dyDescent="0.25">
      <c r="A500" s="1">
        <v>39811</v>
      </c>
      <c r="B500" s="2">
        <v>0.58333333333333337</v>
      </c>
      <c r="C500" s="3">
        <v>163.69999999999999</v>
      </c>
      <c r="D500" s="3">
        <v>164.8</v>
      </c>
      <c r="E500" s="3">
        <v>161.69999999999999</v>
      </c>
      <c r="F500" s="3">
        <v>162.1</v>
      </c>
    </row>
    <row r="501" spans="1:6" x14ac:dyDescent="0.25">
      <c r="A501" s="1">
        <v>39812</v>
      </c>
      <c r="B501" s="2">
        <v>0.58333333333333337</v>
      </c>
      <c r="C501" s="3">
        <v>162.05000000000001</v>
      </c>
      <c r="D501" s="3">
        <v>163.44999999999999</v>
      </c>
      <c r="E501" s="3">
        <v>162</v>
      </c>
      <c r="F501" s="3">
        <v>163</v>
      </c>
    </row>
    <row r="502" spans="1:6" x14ac:dyDescent="0.25">
      <c r="A502" s="1">
        <v>39813</v>
      </c>
      <c r="B502" s="2">
        <v>0.58333333333333337</v>
      </c>
      <c r="C502" s="3">
        <v>163.19999999999999</v>
      </c>
      <c r="D502" s="3">
        <v>168.45</v>
      </c>
      <c r="E502" s="3">
        <v>162.69999999999999</v>
      </c>
      <c r="F502" s="3">
        <v>167.5</v>
      </c>
    </row>
    <row r="503" spans="1:6" x14ac:dyDescent="0.25">
      <c r="A503" s="1">
        <v>39815</v>
      </c>
      <c r="B503" s="2">
        <v>0.58333333333333337</v>
      </c>
      <c r="C503" s="3">
        <v>167.3</v>
      </c>
      <c r="D503" s="3">
        <v>167.5</v>
      </c>
      <c r="E503" s="3">
        <v>164.55</v>
      </c>
      <c r="F503" s="3">
        <v>166.35</v>
      </c>
    </row>
    <row r="504" spans="1:6" x14ac:dyDescent="0.25">
      <c r="A504" s="1">
        <v>39818</v>
      </c>
      <c r="B504" s="2">
        <v>0.58333333333333337</v>
      </c>
      <c r="C504" s="3">
        <v>166.35</v>
      </c>
      <c r="D504" s="3">
        <v>167.05</v>
      </c>
      <c r="E504" s="3">
        <v>161.5</v>
      </c>
      <c r="F504" s="3">
        <v>163.15</v>
      </c>
    </row>
    <row r="505" spans="1:6" x14ac:dyDescent="0.25">
      <c r="A505" s="1">
        <v>39819</v>
      </c>
      <c r="B505" s="2">
        <v>0.58333333333333337</v>
      </c>
      <c r="C505" s="3">
        <v>163.95</v>
      </c>
      <c r="D505" s="3">
        <v>172.15</v>
      </c>
      <c r="E505" s="3">
        <v>163.69999999999999</v>
      </c>
      <c r="F505" s="3">
        <v>171.55</v>
      </c>
    </row>
    <row r="506" spans="1:6" x14ac:dyDescent="0.25">
      <c r="A506" s="1">
        <v>39820</v>
      </c>
      <c r="B506" s="2">
        <v>0.58333333333333337</v>
      </c>
      <c r="C506" s="3">
        <v>171.45</v>
      </c>
      <c r="D506" s="3">
        <v>172.65</v>
      </c>
      <c r="E506" s="3">
        <v>169.2</v>
      </c>
      <c r="F506" s="3">
        <v>169.65</v>
      </c>
    </row>
    <row r="507" spans="1:6" x14ac:dyDescent="0.25">
      <c r="A507" s="1">
        <v>39821</v>
      </c>
      <c r="B507" s="2">
        <v>0.58333333333333337</v>
      </c>
      <c r="C507" s="3">
        <v>169.15</v>
      </c>
      <c r="D507" s="3">
        <v>171.85</v>
      </c>
      <c r="E507" s="3">
        <v>168.5</v>
      </c>
      <c r="F507" s="3">
        <v>168.9</v>
      </c>
    </row>
    <row r="508" spans="1:6" x14ac:dyDescent="0.25">
      <c r="A508" s="1">
        <v>39822</v>
      </c>
      <c r="B508" s="2">
        <v>0.58333333333333337</v>
      </c>
      <c r="C508" s="3">
        <v>169.5</v>
      </c>
      <c r="D508" s="3">
        <v>174.95</v>
      </c>
      <c r="E508" s="3">
        <v>169.2</v>
      </c>
      <c r="F508" s="3">
        <v>172.35</v>
      </c>
    </row>
    <row r="509" spans="1:6" x14ac:dyDescent="0.25">
      <c r="A509" s="1">
        <v>39825</v>
      </c>
      <c r="B509" s="2">
        <v>0.58333333333333337</v>
      </c>
      <c r="C509" s="3">
        <v>172.2</v>
      </c>
      <c r="D509" s="3">
        <v>174.3</v>
      </c>
      <c r="E509" s="3">
        <v>169.75</v>
      </c>
      <c r="F509" s="3">
        <v>169.95</v>
      </c>
    </row>
    <row r="510" spans="1:6" x14ac:dyDescent="0.25">
      <c r="A510" s="1">
        <v>39826</v>
      </c>
      <c r="B510" s="2">
        <v>0.58333333333333337</v>
      </c>
      <c r="C510" s="3">
        <v>169.5</v>
      </c>
      <c r="D510" s="3">
        <v>172.3</v>
      </c>
      <c r="E510" s="3">
        <v>169</v>
      </c>
      <c r="F510" s="3">
        <v>170.2</v>
      </c>
    </row>
    <row r="511" spans="1:6" x14ac:dyDescent="0.25">
      <c r="A511" s="1">
        <v>39827</v>
      </c>
      <c r="B511" s="2">
        <v>0.58333333333333337</v>
      </c>
      <c r="C511" s="3">
        <v>171.25</v>
      </c>
      <c r="D511" s="3">
        <v>172.1</v>
      </c>
      <c r="E511" s="3">
        <v>169.8</v>
      </c>
      <c r="F511" s="3">
        <v>170.1</v>
      </c>
    </row>
    <row r="512" spans="1:6" x14ac:dyDescent="0.25">
      <c r="A512" s="1">
        <v>39828</v>
      </c>
      <c r="B512" s="2">
        <v>0.58333333333333337</v>
      </c>
      <c r="C512" s="3">
        <v>170.45</v>
      </c>
      <c r="D512" s="3">
        <v>171.1</v>
      </c>
      <c r="E512" s="3">
        <v>168.7</v>
      </c>
      <c r="F512" s="3">
        <v>169.35</v>
      </c>
    </row>
    <row r="513" spans="1:6" x14ac:dyDescent="0.25">
      <c r="A513" s="1">
        <v>39829</v>
      </c>
      <c r="B513" s="2">
        <v>0.58333333333333337</v>
      </c>
      <c r="C513" s="3">
        <v>170.95</v>
      </c>
      <c r="D513" s="3">
        <v>172.95</v>
      </c>
      <c r="E513" s="3">
        <v>170.45</v>
      </c>
      <c r="F513" s="3">
        <v>171.25</v>
      </c>
    </row>
    <row r="514" spans="1:6" x14ac:dyDescent="0.25">
      <c r="A514" s="1">
        <v>39833</v>
      </c>
      <c r="B514" s="2">
        <v>0.58333333333333337</v>
      </c>
      <c r="C514" s="3">
        <v>170.6</v>
      </c>
      <c r="D514" s="3">
        <v>171.8</v>
      </c>
      <c r="E514" s="3">
        <v>169.35</v>
      </c>
      <c r="F514" s="3">
        <v>170.35</v>
      </c>
    </row>
    <row r="515" spans="1:6" x14ac:dyDescent="0.25">
      <c r="A515" s="1">
        <v>39834</v>
      </c>
      <c r="B515" s="2">
        <v>0.58333333333333337</v>
      </c>
      <c r="C515" s="3">
        <v>170.45</v>
      </c>
      <c r="D515" s="3">
        <v>173.45</v>
      </c>
      <c r="E515" s="3">
        <v>168.15</v>
      </c>
      <c r="F515" s="3">
        <v>173</v>
      </c>
    </row>
    <row r="516" spans="1:6" x14ac:dyDescent="0.25">
      <c r="A516" s="1">
        <v>39835</v>
      </c>
      <c r="B516" s="2">
        <v>0.58333333333333337</v>
      </c>
      <c r="C516" s="3">
        <v>173.2</v>
      </c>
      <c r="D516" s="3">
        <v>175.85</v>
      </c>
      <c r="E516" s="3">
        <v>173</v>
      </c>
      <c r="F516" s="3">
        <v>174.9</v>
      </c>
    </row>
    <row r="517" spans="1:6" x14ac:dyDescent="0.25">
      <c r="A517" s="1">
        <v>39836</v>
      </c>
      <c r="B517" s="2">
        <v>0.58333333333333337</v>
      </c>
      <c r="C517" s="3">
        <v>174.45</v>
      </c>
      <c r="D517" s="3">
        <v>176.05</v>
      </c>
      <c r="E517" s="3">
        <v>173.45</v>
      </c>
      <c r="F517" s="3">
        <v>175.1</v>
      </c>
    </row>
    <row r="518" spans="1:6" x14ac:dyDescent="0.25">
      <c r="A518" s="1">
        <v>39839</v>
      </c>
      <c r="B518" s="2">
        <v>0.58333333333333337</v>
      </c>
      <c r="C518" s="3">
        <v>174.5</v>
      </c>
      <c r="D518" s="3">
        <v>177.95</v>
      </c>
      <c r="E518" s="3">
        <v>174.2</v>
      </c>
      <c r="F518" s="3">
        <v>177.65</v>
      </c>
    </row>
    <row r="519" spans="1:6" x14ac:dyDescent="0.25">
      <c r="A519" s="1">
        <v>39840</v>
      </c>
      <c r="B519" s="2">
        <v>0.58333333333333337</v>
      </c>
      <c r="C519" s="3">
        <v>177.9</v>
      </c>
      <c r="D519" s="3">
        <v>178.85</v>
      </c>
      <c r="E519" s="3">
        <v>175.8</v>
      </c>
      <c r="F519" s="3">
        <v>177.35</v>
      </c>
    </row>
    <row r="520" spans="1:6" x14ac:dyDescent="0.25">
      <c r="A520" s="1">
        <v>39841</v>
      </c>
      <c r="B520" s="2">
        <v>0.58333333333333337</v>
      </c>
      <c r="C520" s="3">
        <v>177.45</v>
      </c>
      <c r="D520" s="3">
        <v>178.2</v>
      </c>
      <c r="E520" s="3">
        <v>176.35</v>
      </c>
      <c r="F520" s="3">
        <v>177.95</v>
      </c>
    </row>
    <row r="521" spans="1:6" x14ac:dyDescent="0.25">
      <c r="A521" s="1">
        <v>39842</v>
      </c>
      <c r="B521" s="2">
        <v>0.58333333333333337</v>
      </c>
      <c r="C521" s="3">
        <v>177.75</v>
      </c>
      <c r="D521" s="3">
        <v>177.95</v>
      </c>
      <c r="E521" s="3">
        <v>176.1</v>
      </c>
      <c r="F521" s="3">
        <v>176.95</v>
      </c>
    </row>
    <row r="522" spans="1:6" x14ac:dyDescent="0.25">
      <c r="A522" s="1">
        <v>39843</v>
      </c>
      <c r="B522" s="2">
        <v>0.58333333333333337</v>
      </c>
      <c r="C522" s="3">
        <v>176.75</v>
      </c>
      <c r="D522" s="3">
        <v>177.3</v>
      </c>
      <c r="E522" s="3">
        <v>173.35</v>
      </c>
      <c r="F522" s="3">
        <v>174.35</v>
      </c>
    </row>
    <row r="523" spans="1:6" x14ac:dyDescent="0.25">
      <c r="A523" s="1">
        <v>39846</v>
      </c>
      <c r="B523" s="2">
        <v>0.58333333333333337</v>
      </c>
      <c r="C523" s="3">
        <v>174.35</v>
      </c>
      <c r="D523" s="3">
        <v>175.95</v>
      </c>
      <c r="E523" s="3">
        <v>172.45</v>
      </c>
      <c r="F523" s="3">
        <v>175.2</v>
      </c>
    </row>
    <row r="524" spans="1:6" x14ac:dyDescent="0.25">
      <c r="A524" s="1">
        <v>39847</v>
      </c>
      <c r="B524" s="2">
        <v>0.58333333333333337</v>
      </c>
      <c r="C524" s="3">
        <v>175.2</v>
      </c>
      <c r="D524" s="3">
        <v>175.65</v>
      </c>
      <c r="E524" s="3">
        <v>173.25</v>
      </c>
      <c r="F524" s="3">
        <v>174.7</v>
      </c>
    </row>
    <row r="525" spans="1:6" x14ac:dyDescent="0.25">
      <c r="A525" s="1">
        <v>39848</v>
      </c>
      <c r="B525" s="2">
        <v>0.58333333333333337</v>
      </c>
      <c r="C525" s="3">
        <v>174.6</v>
      </c>
      <c r="D525" s="3">
        <v>174.7</v>
      </c>
      <c r="E525" s="3">
        <v>170.75</v>
      </c>
      <c r="F525" s="3">
        <v>171.35</v>
      </c>
    </row>
    <row r="526" spans="1:6" x14ac:dyDescent="0.25">
      <c r="A526" s="1">
        <v>39849</v>
      </c>
      <c r="B526" s="2">
        <v>0.58333333333333337</v>
      </c>
      <c r="C526" s="3">
        <v>171.3</v>
      </c>
      <c r="D526" s="3">
        <v>175.3</v>
      </c>
      <c r="E526" s="3">
        <v>169.55</v>
      </c>
      <c r="F526" s="3">
        <v>174.65</v>
      </c>
    </row>
    <row r="527" spans="1:6" x14ac:dyDescent="0.25">
      <c r="A527" s="1">
        <v>39850</v>
      </c>
      <c r="B527" s="2">
        <v>0.58333333333333337</v>
      </c>
      <c r="C527" s="3">
        <v>174.35</v>
      </c>
      <c r="D527" s="3">
        <v>176.2</v>
      </c>
      <c r="E527" s="3">
        <v>173.2</v>
      </c>
      <c r="F527" s="3">
        <v>175</v>
      </c>
    </row>
    <row r="528" spans="1:6" x14ac:dyDescent="0.25">
      <c r="A528" s="1">
        <v>39853</v>
      </c>
      <c r="B528" s="2">
        <v>0.58333333333333337</v>
      </c>
      <c r="C528" s="3">
        <v>174.65</v>
      </c>
      <c r="D528" s="3">
        <v>177.6</v>
      </c>
      <c r="E528" s="3">
        <v>173.7</v>
      </c>
      <c r="F528" s="3">
        <v>176.85</v>
      </c>
    </row>
    <row r="529" spans="1:6" x14ac:dyDescent="0.25">
      <c r="A529" s="1">
        <v>39854</v>
      </c>
      <c r="B529" s="2">
        <v>0.58333333333333337</v>
      </c>
      <c r="C529" s="3">
        <v>176.2</v>
      </c>
      <c r="D529" s="3">
        <v>176.85</v>
      </c>
      <c r="E529" s="3">
        <v>171.85</v>
      </c>
      <c r="F529" s="3">
        <v>172.3</v>
      </c>
    </row>
    <row r="530" spans="1:6" x14ac:dyDescent="0.25">
      <c r="A530" s="1">
        <v>39855</v>
      </c>
      <c r="B530" s="2">
        <v>0.58333333333333337</v>
      </c>
      <c r="C530" s="3">
        <v>169.95</v>
      </c>
      <c r="D530" s="3">
        <v>173.3</v>
      </c>
      <c r="E530" s="3">
        <v>169.1</v>
      </c>
      <c r="F530" s="3">
        <v>171.1</v>
      </c>
    </row>
    <row r="531" spans="1:6" x14ac:dyDescent="0.25">
      <c r="A531" s="1">
        <v>39856</v>
      </c>
      <c r="B531" s="2">
        <v>0.58333333333333337</v>
      </c>
      <c r="C531" s="3">
        <v>170.4</v>
      </c>
      <c r="D531" s="3">
        <v>171.7</v>
      </c>
      <c r="E531" s="3">
        <v>166.85</v>
      </c>
      <c r="F531" s="3">
        <v>167.75</v>
      </c>
    </row>
    <row r="532" spans="1:6" x14ac:dyDescent="0.25">
      <c r="A532" s="1">
        <v>39857</v>
      </c>
      <c r="B532" s="2">
        <v>0.58333333333333337</v>
      </c>
      <c r="C532" s="3">
        <v>168.8</v>
      </c>
      <c r="D532" s="3">
        <v>169.2</v>
      </c>
      <c r="E532" s="3">
        <v>167.1</v>
      </c>
      <c r="F532" s="3">
        <v>168.3</v>
      </c>
    </row>
    <row r="533" spans="1:6" x14ac:dyDescent="0.25">
      <c r="A533" s="1">
        <v>39861</v>
      </c>
      <c r="B533" s="2">
        <v>0.58333333333333337</v>
      </c>
      <c r="C533" s="3">
        <v>167.45</v>
      </c>
      <c r="D533" s="3">
        <v>168.1</v>
      </c>
      <c r="E533" s="3">
        <v>166</v>
      </c>
      <c r="F533" s="3">
        <v>166.35</v>
      </c>
    </row>
    <row r="534" spans="1:6" x14ac:dyDescent="0.25">
      <c r="A534" s="1">
        <v>39862</v>
      </c>
      <c r="B534" s="2">
        <v>0.58333333333333337</v>
      </c>
      <c r="C534" s="3">
        <v>166.2</v>
      </c>
      <c r="D534" s="3">
        <v>166.8</v>
      </c>
      <c r="E534" s="3">
        <v>164.35</v>
      </c>
      <c r="F534" s="3">
        <v>164.9</v>
      </c>
    </row>
    <row r="535" spans="1:6" x14ac:dyDescent="0.25">
      <c r="A535" s="1">
        <v>39863</v>
      </c>
      <c r="B535" s="2">
        <v>0.58333333333333337</v>
      </c>
      <c r="C535" s="3">
        <v>164.55</v>
      </c>
      <c r="D535" s="3">
        <v>166.65</v>
      </c>
      <c r="E535" s="3">
        <v>164.55</v>
      </c>
      <c r="F535" s="3">
        <v>165.8</v>
      </c>
    </row>
    <row r="536" spans="1:6" x14ac:dyDescent="0.25">
      <c r="A536" s="1">
        <v>39864</v>
      </c>
      <c r="B536" s="2">
        <v>0.58333333333333337</v>
      </c>
      <c r="C536" s="3">
        <v>165.5</v>
      </c>
      <c r="D536" s="3">
        <v>165.85</v>
      </c>
      <c r="E536" s="3">
        <v>163.85</v>
      </c>
      <c r="F536" s="3">
        <v>164.5</v>
      </c>
    </row>
    <row r="537" spans="1:6" x14ac:dyDescent="0.25">
      <c r="A537" s="1">
        <v>39867</v>
      </c>
      <c r="B537" s="2">
        <v>0.58333333333333337</v>
      </c>
      <c r="C537" s="3">
        <v>164.75</v>
      </c>
      <c r="D537" s="3">
        <v>167.65</v>
      </c>
      <c r="E537" s="3">
        <v>164.75</v>
      </c>
      <c r="F537" s="3">
        <v>166.45</v>
      </c>
    </row>
    <row r="538" spans="1:6" x14ac:dyDescent="0.25">
      <c r="A538" s="1">
        <v>39868</v>
      </c>
      <c r="B538" s="2">
        <v>0.58333333333333337</v>
      </c>
      <c r="C538" s="3">
        <v>166.15</v>
      </c>
      <c r="D538" s="3">
        <v>167.4</v>
      </c>
      <c r="E538" s="3">
        <v>165.2</v>
      </c>
      <c r="F538" s="3">
        <v>166.6</v>
      </c>
    </row>
    <row r="539" spans="1:6" x14ac:dyDescent="0.25">
      <c r="A539" s="1">
        <v>39869</v>
      </c>
      <c r="B539" s="2">
        <v>0.58333333333333337</v>
      </c>
      <c r="C539" s="3">
        <v>167.05</v>
      </c>
      <c r="D539" s="3">
        <v>167.4</v>
      </c>
      <c r="E539" s="3">
        <v>165</v>
      </c>
      <c r="F539" s="3">
        <v>166.15</v>
      </c>
    </row>
    <row r="540" spans="1:6" x14ac:dyDescent="0.25">
      <c r="A540" s="1">
        <v>39870</v>
      </c>
      <c r="B540" s="2">
        <v>0.58333333333333337</v>
      </c>
      <c r="C540" s="3">
        <v>166.3</v>
      </c>
      <c r="D540" s="3">
        <v>168.25</v>
      </c>
      <c r="E540" s="3">
        <v>165.4</v>
      </c>
      <c r="F540" s="3">
        <v>166.45</v>
      </c>
    </row>
    <row r="541" spans="1:6" x14ac:dyDescent="0.25">
      <c r="A541" s="1">
        <v>39871</v>
      </c>
      <c r="B541" s="2">
        <v>0.58333333333333337</v>
      </c>
      <c r="C541" s="3">
        <v>166.4</v>
      </c>
      <c r="D541" s="3">
        <v>166.45</v>
      </c>
      <c r="E541" s="3">
        <v>163.35</v>
      </c>
      <c r="F541" s="3">
        <v>165.2</v>
      </c>
    </row>
    <row r="542" spans="1:6" x14ac:dyDescent="0.25">
      <c r="A542" s="1">
        <v>39874</v>
      </c>
      <c r="B542" s="2">
        <v>0.58333333333333337</v>
      </c>
      <c r="C542" s="3">
        <v>164.65</v>
      </c>
      <c r="D542" s="3">
        <v>165.05</v>
      </c>
      <c r="E542" s="3">
        <v>158.80000000000001</v>
      </c>
      <c r="F542" s="3">
        <v>159</v>
      </c>
    </row>
    <row r="543" spans="1:6" x14ac:dyDescent="0.25">
      <c r="A543" s="1">
        <v>39875</v>
      </c>
      <c r="B543" s="2">
        <v>0.58333333333333337</v>
      </c>
      <c r="C543" s="3">
        <v>159.6</v>
      </c>
      <c r="D543" s="3">
        <v>161.1</v>
      </c>
      <c r="E543" s="3">
        <v>159.19999999999999</v>
      </c>
      <c r="F543" s="3">
        <v>159.80000000000001</v>
      </c>
    </row>
    <row r="544" spans="1:6" x14ac:dyDescent="0.25">
      <c r="A544" s="1">
        <v>39876</v>
      </c>
      <c r="B544" s="2">
        <v>0.58333333333333337</v>
      </c>
      <c r="C544" s="3">
        <v>160.05000000000001</v>
      </c>
      <c r="D544" s="3">
        <v>162.94999999999999</v>
      </c>
      <c r="E544" s="3">
        <v>160.05000000000001</v>
      </c>
      <c r="F544" s="3">
        <v>162</v>
      </c>
    </row>
    <row r="545" spans="1:6" x14ac:dyDescent="0.25">
      <c r="A545" s="1">
        <v>39877</v>
      </c>
      <c r="B545" s="2">
        <v>0.58333333333333337</v>
      </c>
      <c r="C545" s="3">
        <v>162.05000000000001</v>
      </c>
      <c r="D545" s="3">
        <v>162.19999999999999</v>
      </c>
      <c r="E545" s="3">
        <v>160.15</v>
      </c>
      <c r="F545" s="3">
        <v>162</v>
      </c>
    </row>
    <row r="546" spans="1:6" x14ac:dyDescent="0.25">
      <c r="A546" s="1">
        <v>39878</v>
      </c>
      <c r="B546" s="2">
        <v>0.58333333333333337</v>
      </c>
      <c r="C546" s="3">
        <v>161.80000000000001</v>
      </c>
      <c r="D546" s="3">
        <v>162.5</v>
      </c>
      <c r="E546" s="3">
        <v>160.44999999999999</v>
      </c>
      <c r="F546" s="3">
        <v>160.5</v>
      </c>
    </row>
    <row r="547" spans="1:6" x14ac:dyDescent="0.25">
      <c r="A547" s="1">
        <v>39881</v>
      </c>
      <c r="B547" s="2">
        <v>0.58333333333333337</v>
      </c>
      <c r="C547" s="3">
        <v>160.6</v>
      </c>
      <c r="D547" s="3">
        <v>160.94999999999999</v>
      </c>
      <c r="E547" s="3">
        <v>157.65</v>
      </c>
      <c r="F547" s="3">
        <v>159.6</v>
      </c>
    </row>
    <row r="548" spans="1:6" x14ac:dyDescent="0.25">
      <c r="A548" s="1">
        <v>39882</v>
      </c>
      <c r="B548" s="2">
        <v>0.58333333333333337</v>
      </c>
      <c r="C548" s="3">
        <v>159.4</v>
      </c>
      <c r="D548" s="3">
        <v>160.44999999999999</v>
      </c>
      <c r="E548" s="3">
        <v>158.9</v>
      </c>
      <c r="F548" s="3">
        <v>159.25</v>
      </c>
    </row>
    <row r="549" spans="1:6" x14ac:dyDescent="0.25">
      <c r="A549" s="1">
        <v>39883</v>
      </c>
      <c r="B549" s="2">
        <v>0.58333333333333337</v>
      </c>
      <c r="C549" s="3">
        <v>159.05000000000001</v>
      </c>
      <c r="D549" s="3">
        <v>161.15</v>
      </c>
      <c r="E549" s="3">
        <v>158.65</v>
      </c>
      <c r="F549" s="3">
        <v>160.35</v>
      </c>
    </row>
    <row r="550" spans="1:6" x14ac:dyDescent="0.25">
      <c r="A550" s="1">
        <v>39884</v>
      </c>
      <c r="B550" s="2">
        <v>0.58333333333333337</v>
      </c>
      <c r="C550" s="3">
        <v>160.30000000000001</v>
      </c>
      <c r="D550" s="3">
        <v>166.25</v>
      </c>
      <c r="E550" s="3">
        <v>157.75</v>
      </c>
      <c r="F550" s="3">
        <v>163.85</v>
      </c>
    </row>
    <row r="551" spans="1:6" x14ac:dyDescent="0.25">
      <c r="A551" s="1">
        <v>39885</v>
      </c>
      <c r="B551" s="2">
        <v>0.58333333333333337</v>
      </c>
      <c r="C551" s="3">
        <v>163.85</v>
      </c>
      <c r="D551" s="3">
        <v>165.7</v>
      </c>
      <c r="E551" s="3">
        <v>162.9</v>
      </c>
      <c r="F551" s="3">
        <v>163.44999999999999</v>
      </c>
    </row>
    <row r="552" spans="1:6" x14ac:dyDescent="0.25">
      <c r="A552" s="1">
        <v>39888</v>
      </c>
      <c r="B552" s="2">
        <v>0.58333333333333337</v>
      </c>
      <c r="C552" s="3">
        <v>162.75</v>
      </c>
      <c r="D552" s="3">
        <v>165.1</v>
      </c>
      <c r="E552" s="3">
        <v>161.9</v>
      </c>
      <c r="F552" s="3">
        <v>164.05</v>
      </c>
    </row>
    <row r="553" spans="1:6" x14ac:dyDescent="0.25">
      <c r="A553" s="1">
        <v>39889</v>
      </c>
      <c r="B553" s="2">
        <v>0.58333333333333337</v>
      </c>
      <c r="C553" s="3">
        <v>164.1</v>
      </c>
      <c r="D553" s="3">
        <v>165.4</v>
      </c>
      <c r="E553" s="3">
        <v>163.05000000000001</v>
      </c>
      <c r="F553" s="3">
        <v>164.55</v>
      </c>
    </row>
    <row r="554" spans="1:6" x14ac:dyDescent="0.25">
      <c r="A554" s="1">
        <v>39890</v>
      </c>
      <c r="B554" s="2">
        <v>0.58333333333333337</v>
      </c>
      <c r="C554" s="3">
        <v>165.3</v>
      </c>
      <c r="D554" s="3">
        <v>167.55</v>
      </c>
      <c r="E554" s="3">
        <v>164.45</v>
      </c>
      <c r="F554" s="3">
        <v>166.45</v>
      </c>
    </row>
    <row r="555" spans="1:6" x14ac:dyDescent="0.25">
      <c r="A555" s="1">
        <v>39891</v>
      </c>
      <c r="B555" s="2">
        <v>0.58333333333333337</v>
      </c>
      <c r="C555" s="3">
        <v>167.3</v>
      </c>
      <c r="D555" s="3">
        <v>170.5</v>
      </c>
      <c r="E555" s="3">
        <v>167.3</v>
      </c>
      <c r="F555" s="3">
        <v>169.45</v>
      </c>
    </row>
    <row r="556" spans="1:6" x14ac:dyDescent="0.25">
      <c r="A556" s="1">
        <v>39892</v>
      </c>
      <c r="B556" s="2">
        <v>0.58333333333333337</v>
      </c>
      <c r="C556" s="3">
        <v>169</v>
      </c>
      <c r="D556" s="3">
        <v>171.4</v>
      </c>
      <c r="E556" s="3">
        <v>168.45</v>
      </c>
      <c r="F556" s="3">
        <v>169.5</v>
      </c>
    </row>
    <row r="557" spans="1:6" x14ac:dyDescent="0.25">
      <c r="A557" s="1">
        <v>39895</v>
      </c>
      <c r="B557" s="2">
        <v>0.58333333333333337</v>
      </c>
      <c r="C557" s="3">
        <v>169.85</v>
      </c>
      <c r="D557" s="3">
        <v>170.95</v>
      </c>
      <c r="E557" s="3">
        <v>169.2</v>
      </c>
      <c r="F557" s="3">
        <v>170.8</v>
      </c>
    </row>
    <row r="558" spans="1:6" x14ac:dyDescent="0.25">
      <c r="A558" s="1">
        <v>39896</v>
      </c>
      <c r="B558" s="2">
        <v>0.58333333333333337</v>
      </c>
      <c r="C558" s="3">
        <v>170.3</v>
      </c>
      <c r="D558" s="3">
        <v>171.2</v>
      </c>
      <c r="E558" s="3">
        <v>169.55</v>
      </c>
      <c r="F558" s="3">
        <v>170.05</v>
      </c>
    </row>
    <row r="559" spans="1:6" x14ac:dyDescent="0.25">
      <c r="A559" s="1">
        <v>39897</v>
      </c>
      <c r="B559" s="2">
        <v>0.58333333333333337</v>
      </c>
      <c r="C559" s="3">
        <v>169.6</v>
      </c>
      <c r="D559" s="3">
        <v>170.5</v>
      </c>
      <c r="E559" s="3">
        <v>168.6</v>
      </c>
      <c r="F559" s="3">
        <v>170</v>
      </c>
    </row>
    <row r="560" spans="1:6" x14ac:dyDescent="0.25">
      <c r="A560" s="1">
        <v>39898</v>
      </c>
      <c r="B560" s="2">
        <v>0.58333333333333337</v>
      </c>
      <c r="C560" s="3">
        <v>170.3</v>
      </c>
      <c r="D560" s="3">
        <v>172.5</v>
      </c>
      <c r="E560" s="3">
        <v>170.3</v>
      </c>
      <c r="F560" s="3">
        <v>170.65</v>
      </c>
    </row>
    <row r="561" spans="1:6" x14ac:dyDescent="0.25">
      <c r="A561" s="1">
        <v>39899</v>
      </c>
      <c r="B561" s="2">
        <v>0.58333333333333337</v>
      </c>
      <c r="C561" s="3">
        <v>170.7</v>
      </c>
      <c r="D561" s="3">
        <v>170.95</v>
      </c>
      <c r="E561" s="3">
        <v>167.85</v>
      </c>
      <c r="F561" s="3">
        <v>169.15</v>
      </c>
    </row>
    <row r="562" spans="1:6" x14ac:dyDescent="0.25">
      <c r="A562" s="1">
        <v>39902</v>
      </c>
      <c r="B562" s="2">
        <v>0.58333333333333337</v>
      </c>
      <c r="C562" s="3">
        <v>168.8</v>
      </c>
      <c r="D562" s="3">
        <v>168.85</v>
      </c>
      <c r="E562" s="3">
        <v>166.15</v>
      </c>
      <c r="F562" s="3">
        <v>166.3</v>
      </c>
    </row>
    <row r="563" spans="1:6" x14ac:dyDescent="0.25">
      <c r="A563" s="1">
        <v>39903</v>
      </c>
      <c r="B563" s="2">
        <v>0.58333333333333337</v>
      </c>
      <c r="C563" s="3">
        <v>166.65</v>
      </c>
      <c r="D563" s="3">
        <v>169.45</v>
      </c>
      <c r="E563" s="3">
        <v>166.6</v>
      </c>
      <c r="F563" s="3">
        <v>169.05</v>
      </c>
    </row>
    <row r="564" spans="1:6" x14ac:dyDescent="0.25">
      <c r="A564" s="1">
        <v>39904</v>
      </c>
      <c r="B564" s="2">
        <v>0.58333333333333337</v>
      </c>
      <c r="C564" s="3">
        <v>168.85</v>
      </c>
      <c r="D564" s="3">
        <v>169.35</v>
      </c>
      <c r="E564" s="3">
        <v>167.45</v>
      </c>
      <c r="F564" s="3">
        <v>167.8</v>
      </c>
    </row>
    <row r="565" spans="1:6" x14ac:dyDescent="0.25">
      <c r="A565" s="1">
        <v>39905</v>
      </c>
      <c r="B565" s="2">
        <v>0.58333333333333337</v>
      </c>
      <c r="C565" s="3">
        <v>167.95</v>
      </c>
      <c r="D565" s="3">
        <v>171.45</v>
      </c>
      <c r="E565" s="3">
        <v>167.95</v>
      </c>
      <c r="F565" s="3">
        <v>170.1</v>
      </c>
    </row>
    <row r="566" spans="1:6" x14ac:dyDescent="0.25">
      <c r="A566" s="1">
        <v>39906</v>
      </c>
      <c r="B566" s="2">
        <v>0.58333333333333337</v>
      </c>
      <c r="C566" s="3">
        <v>170.1</v>
      </c>
      <c r="D566" s="3">
        <v>172.7</v>
      </c>
      <c r="E566" s="3">
        <v>169.2</v>
      </c>
      <c r="F566" s="3">
        <v>171.7</v>
      </c>
    </row>
    <row r="567" spans="1:6" x14ac:dyDescent="0.25">
      <c r="A567" s="1">
        <v>39909</v>
      </c>
      <c r="B567" s="2">
        <v>0.58333333333333337</v>
      </c>
      <c r="C567" s="3">
        <v>172.3</v>
      </c>
      <c r="D567" s="3">
        <v>172.6</v>
      </c>
      <c r="E567" s="3">
        <v>169.7</v>
      </c>
      <c r="F567" s="3">
        <v>170.8</v>
      </c>
    </row>
    <row r="568" spans="1:6" x14ac:dyDescent="0.25">
      <c r="A568" s="1">
        <v>39910</v>
      </c>
      <c r="B568" s="2">
        <v>0.58333333333333337</v>
      </c>
      <c r="C568" s="3">
        <v>170.5</v>
      </c>
      <c r="D568" s="3">
        <v>171.65</v>
      </c>
      <c r="E568" s="3">
        <v>169.35</v>
      </c>
      <c r="F568" s="3">
        <v>170.8</v>
      </c>
    </row>
    <row r="569" spans="1:6" x14ac:dyDescent="0.25">
      <c r="A569" s="1">
        <v>39911</v>
      </c>
      <c r="B569" s="2">
        <v>0.58333333333333337</v>
      </c>
      <c r="C569" s="3">
        <v>170.3</v>
      </c>
      <c r="D569" s="3">
        <v>172.1</v>
      </c>
      <c r="E569" s="3">
        <v>170.1</v>
      </c>
      <c r="F569" s="3">
        <v>171.5</v>
      </c>
    </row>
    <row r="570" spans="1:6" x14ac:dyDescent="0.25">
      <c r="A570" s="1">
        <v>39912</v>
      </c>
      <c r="B570" s="2">
        <v>0.58333333333333337</v>
      </c>
      <c r="C570" s="3">
        <v>171.75</v>
      </c>
      <c r="D570" s="3">
        <v>174.65</v>
      </c>
      <c r="E570" s="3">
        <v>171.55</v>
      </c>
      <c r="F570" s="3">
        <v>174.65</v>
      </c>
    </row>
    <row r="571" spans="1:6" x14ac:dyDescent="0.25">
      <c r="A571" s="1">
        <v>39916</v>
      </c>
      <c r="B571" s="2">
        <v>0.58333333333333337</v>
      </c>
      <c r="C571" s="3">
        <v>171.9</v>
      </c>
      <c r="D571" s="3">
        <v>173.6</v>
      </c>
      <c r="E571" s="3">
        <v>166.3</v>
      </c>
      <c r="F571" s="3">
        <v>168.55</v>
      </c>
    </row>
    <row r="572" spans="1:6" x14ac:dyDescent="0.25">
      <c r="A572" s="1">
        <v>39917</v>
      </c>
      <c r="B572" s="2">
        <v>0.58333333333333337</v>
      </c>
      <c r="C572" s="3">
        <v>168.75</v>
      </c>
      <c r="D572" s="3">
        <v>169.45</v>
      </c>
      <c r="E572" s="3">
        <v>166.95</v>
      </c>
      <c r="F572" s="3">
        <v>168.75</v>
      </c>
    </row>
    <row r="573" spans="1:6" x14ac:dyDescent="0.25">
      <c r="A573" s="1">
        <v>39918</v>
      </c>
      <c r="B573" s="2">
        <v>0.58333333333333337</v>
      </c>
      <c r="C573" s="3">
        <v>168.65</v>
      </c>
      <c r="D573" s="3">
        <v>169.55</v>
      </c>
      <c r="E573" s="3">
        <v>167.6</v>
      </c>
      <c r="F573" s="3">
        <v>168.8</v>
      </c>
    </row>
    <row r="574" spans="1:6" x14ac:dyDescent="0.25">
      <c r="A574" s="1">
        <v>39919</v>
      </c>
      <c r="B574" s="2">
        <v>0.58333333333333337</v>
      </c>
      <c r="C574" s="3">
        <v>168.6</v>
      </c>
      <c r="D574" s="3">
        <v>169.45</v>
      </c>
      <c r="E574" s="3">
        <v>166.5</v>
      </c>
      <c r="F574" s="3">
        <v>166.8</v>
      </c>
    </row>
    <row r="575" spans="1:6" x14ac:dyDescent="0.25">
      <c r="A575" s="1">
        <v>39920</v>
      </c>
      <c r="B575" s="2">
        <v>0.58333333333333337</v>
      </c>
      <c r="C575" s="3">
        <v>166.8</v>
      </c>
      <c r="D575" s="3">
        <v>167.6</v>
      </c>
      <c r="E575" s="3">
        <v>164.05</v>
      </c>
      <c r="F575" s="3">
        <v>165</v>
      </c>
    </row>
    <row r="576" spans="1:6" x14ac:dyDescent="0.25">
      <c r="A576" s="1">
        <v>39923</v>
      </c>
      <c r="B576" s="2">
        <v>0.58333333333333337</v>
      </c>
      <c r="C576" s="3">
        <v>164.8</v>
      </c>
      <c r="D576" s="3">
        <v>165.6</v>
      </c>
      <c r="E576" s="3">
        <v>164.05</v>
      </c>
      <c r="F576" s="3">
        <v>164.85</v>
      </c>
    </row>
    <row r="577" spans="1:6" x14ac:dyDescent="0.25">
      <c r="A577" s="1">
        <v>39924</v>
      </c>
      <c r="B577" s="2">
        <v>0.58333333333333337</v>
      </c>
      <c r="C577" s="3">
        <v>164.8</v>
      </c>
      <c r="D577" s="3">
        <v>165.75</v>
      </c>
      <c r="E577" s="3">
        <v>164</v>
      </c>
      <c r="F577" s="3">
        <v>165.6</v>
      </c>
    </row>
    <row r="578" spans="1:6" x14ac:dyDescent="0.25">
      <c r="A578" s="1">
        <v>39925</v>
      </c>
      <c r="B578" s="2">
        <v>0.58333333333333337</v>
      </c>
      <c r="C578" s="3">
        <v>165.55</v>
      </c>
      <c r="D578" s="3">
        <v>170.25</v>
      </c>
      <c r="E578" s="3">
        <v>164.1</v>
      </c>
      <c r="F578" s="3">
        <v>169</v>
      </c>
    </row>
    <row r="579" spans="1:6" x14ac:dyDescent="0.25">
      <c r="A579" s="1">
        <v>39926</v>
      </c>
      <c r="B579" s="2">
        <v>0.58333333333333337</v>
      </c>
      <c r="C579" s="3">
        <v>168.95</v>
      </c>
      <c r="D579" s="3">
        <v>169.7</v>
      </c>
      <c r="E579" s="3">
        <v>168.55</v>
      </c>
      <c r="F579" s="3">
        <v>169.5</v>
      </c>
    </row>
    <row r="580" spans="1:6" x14ac:dyDescent="0.25">
      <c r="A580" s="1">
        <v>39927</v>
      </c>
      <c r="B580" s="2">
        <v>0.58333333333333337</v>
      </c>
      <c r="C580" s="3">
        <v>169.25</v>
      </c>
      <c r="D580" s="3">
        <v>170.75</v>
      </c>
      <c r="E580" s="3">
        <v>167.75</v>
      </c>
      <c r="F580" s="3">
        <v>170.7</v>
      </c>
    </row>
    <row r="581" spans="1:6" x14ac:dyDescent="0.25">
      <c r="A581" s="1">
        <v>39930</v>
      </c>
      <c r="B581" s="2">
        <v>0.58333333333333337</v>
      </c>
      <c r="C581" s="3">
        <v>169.75</v>
      </c>
      <c r="D581" s="3">
        <v>170</v>
      </c>
      <c r="E581" s="3">
        <v>165.55</v>
      </c>
      <c r="F581" s="3">
        <v>166.65</v>
      </c>
    </row>
    <row r="582" spans="1:6" x14ac:dyDescent="0.25">
      <c r="A582" s="1">
        <v>39931</v>
      </c>
      <c r="B582" s="2">
        <v>0.58333333333333337</v>
      </c>
      <c r="C582" s="3">
        <v>166.65</v>
      </c>
      <c r="D582" s="3">
        <v>167.9</v>
      </c>
      <c r="E582" s="3">
        <v>165.35</v>
      </c>
      <c r="F582" s="3">
        <v>167.5</v>
      </c>
    </row>
    <row r="583" spans="1:6" x14ac:dyDescent="0.25">
      <c r="A583" s="1">
        <v>39932</v>
      </c>
      <c r="B583" s="2">
        <v>0.58333333333333337</v>
      </c>
      <c r="C583" s="3">
        <v>167.55</v>
      </c>
      <c r="D583" s="3">
        <v>168.35</v>
      </c>
      <c r="E583" s="3">
        <v>166.8</v>
      </c>
      <c r="F583" s="3">
        <v>167.75</v>
      </c>
    </row>
    <row r="584" spans="1:6" x14ac:dyDescent="0.25">
      <c r="A584" s="1">
        <v>39933</v>
      </c>
      <c r="B584" s="2">
        <v>0.58333333333333337</v>
      </c>
      <c r="C584" s="3">
        <v>167.9</v>
      </c>
      <c r="D584" s="3">
        <v>168.1</v>
      </c>
      <c r="E584" s="3">
        <v>165.65</v>
      </c>
      <c r="F584" s="3">
        <v>167.15</v>
      </c>
    </row>
    <row r="585" spans="1:6" x14ac:dyDescent="0.25">
      <c r="A585" s="1">
        <v>39934</v>
      </c>
      <c r="B585" s="2">
        <v>0.58333333333333337</v>
      </c>
      <c r="C585" s="3">
        <v>166.95</v>
      </c>
      <c r="D585" s="3">
        <v>172</v>
      </c>
      <c r="E585" s="3">
        <v>166.9</v>
      </c>
      <c r="F585" s="3">
        <v>171.65</v>
      </c>
    </row>
    <row r="586" spans="1:6" x14ac:dyDescent="0.25">
      <c r="A586" s="1">
        <v>39937</v>
      </c>
      <c r="B586" s="2">
        <v>0.58333333333333337</v>
      </c>
      <c r="C586" s="3">
        <v>171.55</v>
      </c>
      <c r="D586" s="3">
        <v>173.1</v>
      </c>
      <c r="E586" s="3">
        <v>170.4</v>
      </c>
      <c r="F586" s="3">
        <v>172.1</v>
      </c>
    </row>
    <row r="587" spans="1:6" x14ac:dyDescent="0.25">
      <c r="A587" s="1">
        <v>39938</v>
      </c>
      <c r="B587" s="2">
        <v>0.58333333333333337</v>
      </c>
      <c r="C587" s="3">
        <v>172.05</v>
      </c>
      <c r="D587" s="3">
        <v>176.05</v>
      </c>
      <c r="E587" s="3">
        <v>170.85</v>
      </c>
      <c r="F587" s="3">
        <v>175.9</v>
      </c>
    </row>
    <row r="588" spans="1:6" x14ac:dyDescent="0.25">
      <c r="A588" s="1">
        <v>39939</v>
      </c>
      <c r="B588" s="2">
        <v>0.58333333333333337</v>
      </c>
      <c r="C588" s="3">
        <v>175.55</v>
      </c>
      <c r="D588" s="3">
        <v>176.5</v>
      </c>
      <c r="E588" s="3">
        <v>174.75</v>
      </c>
      <c r="F588" s="3">
        <v>176.15</v>
      </c>
    </row>
    <row r="589" spans="1:6" x14ac:dyDescent="0.25">
      <c r="A589" s="1">
        <v>39940</v>
      </c>
      <c r="B589" s="2">
        <v>0.58333333333333337</v>
      </c>
      <c r="C589" s="3">
        <v>175.7</v>
      </c>
      <c r="D589" s="3">
        <v>177.05</v>
      </c>
      <c r="E589" s="3">
        <v>174.75</v>
      </c>
      <c r="F589" s="3">
        <v>175.85</v>
      </c>
    </row>
    <row r="590" spans="1:6" x14ac:dyDescent="0.25">
      <c r="A590" s="1">
        <v>39941</v>
      </c>
      <c r="B590" s="2">
        <v>0.58333333333333337</v>
      </c>
      <c r="C590" s="3">
        <v>175.25</v>
      </c>
      <c r="D590" s="3">
        <v>179.1</v>
      </c>
      <c r="E590" s="3">
        <v>174.8</v>
      </c>
      <c r="F590" s="3">
        <v>177.95</v>
      </c>
    </row>
    <row r="591" spans="1:6" x14ac:dyDescent="0.25">
      <c r="A591" s="1">
        <v>39944</v>
      </c>
      <c r="B591" s="2">
        <v>0.58333333333333337</v>
      </c>
      <c r="C591" s="3">
        <v>178.15</v>
      </c>
      <c r="D591" s="3">
        <v>181.45</v>
      </c>
      <c r="E591" s="3">
        <v>176.95</v>
      </c>
      <c r="F591" s="3">
        <v>179.75</v>
      </c>
    </row>
    <row r="592" spans="1:6" x14ac:dyDescent="0.25">
      <c r="A592" s="1">
        <v>39945</v>
      </c>
      <c r="B592" s="2">
        <v>0.58333333333333337</v>
      </c>
      <c r="C592" s="3">
        <v>179.35</v>
      </c>
      <c r="D592" s="3">
        <v>182</v>
      </c>
      <c r="E592" s="3">
        <v>178.7</v>
      </c>
      <c r="F592" s="3">
        <v>180.05</v>
      </c>
    </row>
    <row r="593" spans="1:6" x14ac:dyDescent="0.25">
      <c r="A593" s="1">
        <v>39946</v>
      </c>
      <c r="B593" s="2">
        <v>0.58333333333333337</v>
      </c>
      <c r="C593" s="3">
        <v>180.05</v>
      </c>
      <c r="D593" s="3">
        <v>180.05</v>
      </c>
      <c r="E593" s="3">
        <v>177.35</v>
      </c>
      <c r="F593" s="3">
        <v>178.4</v>
      </c>
    </row>
    <row r="594" spans="1:6" x14ac:dyDescent="0.25">
      <c r="A594" s="1">
        <v>39947</v>
      </c>
      <c r="B594" s="2">
        <v>0.58333333333333337</v>
      </c>
      <c r="C594" s="3">
        <v>177.7</v>
      </c>
      <c r="D594" s="3">
        <v>179.65</v>
      </c>
      <c r="E594" s="3">
        <v>176.1</v>
      </c>
      <c r="F594" s="3">
        <v>179.25</v>
      </c>
    </row>
    <row r="595" spans="1:6" x14ac:dyDescent="0.25">
      <c r="A595" s="1">
        <v>39948</v>
      </c>
      <c r="B595" s="2">
        <v>0.58333333333333337</v>
      </c>
      <c r="C595" s="3">
        <v>178.8</v>
      </c>
      <c r="D595" s="3">
        <v>180.95</v>
      </c>
      <c r="E595" s="3">
        <v>178.05</v>
      </c>
      <c r="F595" s="3">
        <v>179.05</v>
      </c>
    </row>
    <row r="596" spans="1:6" x14ac:dyDescent="0.25">
      <c r="A596" s="1">
        <v>39951</v>
      </c>
      <c r="B596" s="2">
        <v>0.58333333333333337</v>
      </c>
      <c r="C596" s="3">
        <v>178.8</v>
      </c>
      <c r="D596" s="3">
        <v>181.2</v>
      </c>
      <c r="E596" s="3">
        <v>178.3</v>
      </c>
      <c r="F596" s="3">
        <v>180.65</v>
      </c>
    </row>
    <row r="597" spans="1:6" x14ac:dyDescent="0.25">
      <c r="A597" s="1">
        <v>39952</v>
      </c>
      <c r="B597" s="2">
        <v>0.58333333333333337</v>
      </c>
      <c r="C597" s="3">
        <v>180.65</v>
      </c>
      <c r="D597" s="3">
        <v>183.7</v>
      </c>
      <c r="E597" s="3">
        <v>180.35</v>
      </c>
      <c r="F597" s="3">
        <v>183.55</v>
      </c>
    </row>
    <row r="598" spans="1:6" x14ac:dyDescent="0.25">
      <c r="A598" s="1">
        <v>39953</v>
      </c>
      <c r="B598" s="2">
        <v>0.58333333333333337</v>
      </c>
      <c r="C598" s="3">
        <v>183.1</v>
      </c>
      <c r="D598" s="3">
        <v>185.85</v>
      </c>
      <c r="E598" s="3">
        <v>182</v>
      </c>
      <c r="F598" s="3">
        <v>184.55</v>
      </c>
    </row>
    <row r="599" spans="1:6" x14ac:dyDescent="0.25">
      <c r="A599" s="1">
        <v>39954</v>
      </c>
      <c r="B599" s="2">
        <v>0.58333333333333337</v>
      </c>
      <c r="C599" s="3">
        <v>184.35</v>
      </c>
      <c r="D599" s="3">
        <v>187.2</v>
      </c>
      <c r="E599" s="3">
        <v>183</v>
      </c>
      <c r="F599" s="3">
        <v>187.05</v>
      </c>
    </row>
    <row r="600" spans="1:6" x14ac:dyDescent="0.25">
      <c r="A600" s="1">
        <v>39955</v>
      </c>
      <c r="B600" s="2">
        <v>0.58333333333333337</v>
      </c>
      <c r="C600" s="3">
        <v>186.85</v>
      </c>
      <c r="D600" s="3">
        <v>188.65</v>
      </c>
      <c r="E600" s="3">
        <v>184.9</v>
      </c>
      <c r="F600" s="3">
        <v>186.25</v>
      </c>
    </row>
    <row r="601" spans="1:6" x14ac:dyDescent="0.25">
      <c r="A601" s="1">
        <v>39959</v>
      </c>
      <c r="B601" s="2">
        <v>0.58333333333333337</v>
      </c>
      <c r="C601" s="3">
        <v>185.65</v>
      </c>
      <c r="D601" s="3">
        <v>188.4</v>
      </c>
      <c r="E601" s="3">
        <v>182.85</v>
      </c>
      <c r="F601" s="3">
        <v>187.7</v>
      </c>
    </row>
    <row r="602" spans="1:6" x14ac:dyDescent="0.25">
      <c r="A602" s="1">
        <v>39960</v>
      </c>
      <c r="B602" s="2">
        <v>0.58333333333333337</v>
      </c>
      <c r="C602" s="3">
        <v>187.95</v>
      </c>
      <c r="D602" s="3">
        <v>189.05</v>
      </c>
      <c r="E602" s="3">
        <v>185.35</v>
      </c>
      <c r="F602" s="3">
        <v>186.75</v>
      </c>
    </row>
    <row r="603" spans="1:6" x14ac:dyDescent="0.25">
      <c r="A603" s="1">
        <v>39961</v>
      </c>
      <c r="B603" s="2">
        <v>0.58333333333333337</v>
      </c>
      <c r="C603" s="3">
        <v>184.75</v>
      </c>
      <c r="D603" s="3">
        <v>188.65</v>
      </c>
      <c r="E603" s="3">
        <v>184.3</v>
      </c>
      <c r="F603" s="3">
        <v>188.05</v>
      </c>
    </row>
    <row r="604" spans="1:6" x14ac:dyDescent="0.25">
      <c r="A604" s="1">
        <v>39962</v>
      </c>
      <c r="B604" s="2">
        <v>0.58333333333333337</v>
      </c>
      <c r="C604" s="3">
        <v>187.75</v>
      </c>
      <c r="D604" s="3">
        <v>190.1</v>
      </c>
      <c r="E604" s="3">
        <v>187.05</v>
      </c>
      <c r="F604" s="3">
        <v>188.65</v>
      </c>
    </row>
    <row r="605" spans="1:6" x14ac:dyDescent="0.25">
      <c r="A605" s="1">
        <v>39965</v>
      </c>
      <c r="B605" s="2">
        <v>0.58333333333333337</v>
      </c>
      <c r="C605" s="3">
        <v>188.25</v>
      </c>
      <c r="D605" s="3">
        <v>194</v>
      </c>
      <c r="E605" s="3">
        <v>187.9</v>
      </c>
      <c r="F605" s="3">
        <v>193.5</v>
      </c>
    </row>
    <row r="606" spans="1:6" x14ac:dyDescent="0.25">
      <c r="A606" s="1">
        <v>39966</v>
      </c>
      <c r="B606" s="2">
        <v>0.58333333333333337</v>
      </c>
      <c r="C606" s="3">
        <v>192.75</v>
      </c>
      <c r="D606" s="3">
        <v>194.15</v>
      </c>
      <c r="E606" s="3">
        <v>191.25</v>
      </c>
      <c r="F606" s="3">
        <v>193.25</v>
      </c>
    </row>
    <row r="607" spans="1:6" x14ac:dyDescent="0.25">
      <c r="A607" s="1">
        <v>39967</v>
      </c>
      <c r="B607" s="2">
        <v>0.58333333333333337</v>
      </c>
      <c r="C607" s="3">
        <v>193.25</v>
      </c>
      <c r="D607" s="3">
        <v>193.5</v>
      </c>
      <c r="E607" s="3">
        <v>186.25</v>
      </c>
      <c r="F607" s="3">
        <v>189.6</v>
      </c>
    </row>
    <row r="608" spans="1:6" x14ac:dyDescent="0.25">
      <c r="A608" s="1">
        <v>39968</v>
      </c>
      <c r="B608" s="2">
        <v>0.58333333333333337</v>
      </c>
      <c r="C608" s="3">
        <v>189.6</v>
      </c>
      <c r="D608" s="3">
        <v>190.75</v>
      </c>
      <c r="E608" s="3">
        <v>187.3</v>
      </c>
      <c r="F608" s="3">
        <v>190.45</v>
      </c>
    </row>
    <row r="609" spans="1:6" x14ac:dyDescent="0.25">
      <c r="A609" s="1">
        <v>39969</v>
      </c>
      <c r="B609" s="2">
        <v>0.58333333333333337</v>
      </c>
      <c r="C609" s="3">
        <v>190.4</v>
      </c>
      <c r="D609" s="3">
        <v>190.75</v>
      </c>
      <c r="E609" s="3">
        <v>184.8</v>
      </c>
      <c r="F609" s="3">
        <v>185.1</v>
      </c>
    </row>
    <row r="610" spans="1:6" x14ac:dyDescent="0.25">
      <c r="A610" s="1">
        <v>39972</v>
      </c>
      <c r="B610" s="2">
        <v>0.58333333333333337</v>
      </c>
      <c r="C610" s="3">
        <v>184.85</v>
      </c>
      <c r="D610" s="3">
        <v>185.1</v>
      </c>
      <c r="E610" s="3">
        <v>179.75</v>
      </c>
      <c r="F610" s="3">
        <v>181.3</v>
      </c>
    </row>
    <row r="611" spans="1:6" x14ac:dyDescent="0.25">
      <c r="A611" s="1">
        <v>39973</v>
      </c>
      <c r="B611" s="2">
        <v>0.58333333333333337</v>
      </c>
      <c r="C611" s="3">
        <v>182.2</v>
      </c>
      <c r="D611" s="3">
        <v>183.5</v>
      </c>
      <c r="E611" s="3">
        <v>181.7</v>
      </c>
      <c r="F611" s="3">
        <v>182.4</v>
      </c>
    </row>
    <row r="612" spans="1:6" x14ac:dyDescent="0.25">
      <c r="A612" s="1">
        <v>39974</v>
      </c>
      <c r="B612" s="2">
        <v>0.58333333333333337</v>
      </c>
      <c r="C612" s="3">
        <v>183.25</v>
      </c>
      <c r="D612" s="3">
        <v>183.25</v>
      </c>
      <c r="E612" s="3">
        <v>179.2</v>
      </c>
      <c r="F612" s="3">
        <v>181.55</v>
      </c>
    </row>
    <row r="613" spans="1:6" x14ac:dyDescent="0.25">
      <c r="A613" s="1">
        <v>39975</v>
      </c>
      <c r="B613" s="2">
        <v>0.58333333333333337</v>
      </c>
      <c r="C613" s="3">
        <v>181.6</v>
      </c>
      <c r="D613" s="3">
        <v>183.1</v>
      </c>
      <c r="E613" s="3">
        <v>180.4</v>
      </c>
      <c r="F613" s="3">
        <v>182.8</v>
      </c>
    </row>
    <row r="614" spans="1:6" x14ac:dyDescent="0.25">
      <c r="A614" s="1">
        <v>39976</v>
      </c>
      <c r="B614" s="2">
        <v>0.58333333333333337</v>
      </c>
      <c r="C614" s="3">
        <v>182.55</v>
      </c>
      <c r="D614" s="3">
        <v>182.55</v>
      </c>
      <c r="E614" s="3">
        <v>179.4</v>
      </c>
      <c r="F614" s="3">
        <v>180.75</v>
      </c>
    </row>
    <row r="615" spans="1:6" x14ac:dyDescent="0.25">
      <c r="A615" s="1">
        <v>39979</v>
      </c>
      <c r="B615" s="2">
        <v>0.58333333333333337</v>
      </c>
      <c r="C615" s="3">
        <v>180.25</v>
      </c>
      <c r="D615" s="3">
        <v>180.25</v>
      </c>
      <c r="E615" s="3">
        <v>172.3</v>
      </c>
      <c r="F615" s="3">
        <v>172.5</v>
      </c>
    </row>
    <row r="616" spans="1:6" x14ac:dyDescent="0.25">
      <c r="A616" s="1">
        <v>39980</v>
      </c>
      <c r="B616" s="2">
        <v>0.58333333333333337</v>
      </c>
      <c r="C616" s="3">
        <v>173</v>
      </c>
      <c r="D616" s="3">
        <v>174.6</v>
      </c>
      <c r="E616" s="3">
        <v>172.7</v>
      </c>
      <c r="F616" s="3">
        <v>173.65</v>
      </c>
    </row>
    <row r="617" spans="1:6" x14ac:dyDescent="0.25">
      <c r="A617" s="1">
        <v>39981</v>
      </c>
      <c r="B617" s="2">
        <v>0.58333333333333337</v>
      </c>
      <c r="C617" s="3">
        <v>174.4</v>
      </c>
      <c r="D617" s="3">
        <v>174.5</v>
      </c>
      <c r="E617" s="3">
        <v>169.7</v>
      </c>
      <c r="F617" s="3">
        <v>169.95</v>
      </c>
    </row>
    <row r="618" spans="1:6" x14ac:dyDescent="0.25">
      <c r="A618" s="1">
        <v>39982</v>
      </c>
      <c r="B618" s="2">
        <v>0.58333333333333337</v>
      </c>
      <c r="C618" s="3">
        <v>170.3</v>
      </c>
      <c r="D618" s="3">
        <v>172.8</v>
      </c>
      <c r="E618" s="3">
        <v>169.25</v>
      </c>
      <c r="F618" s="3">
        <v>171.95</v>
      </c>
    </row>
    <row r="619" spans="1:6" x14ac:dyDescent="0.25">
      <c r="A619" s="1">
        <v>39983</v>
      </c>
      <c r="B619" s="2">
        <v>0.58333333333333337</v>
      </c>
      <c r="C619" s="3">
        <v>172.1</v>
      </c>
      <c r="D619" s="3">
        <v>172.3</v>
      </c>
      <c r="E619" s="3">
        <v>168</v>
      </c>
      <c r="F619" s="3">
        <v>168.8</v>
      </c>
    </row>
    <row r="620" spans="1:6" x14ac:dyDescent="0.25">
      <c r="A620" s="1">
        <v>39986</v>
      </c>
      <c r="B620" s="2">
        <v>0.58333333333333337</v>
      </c>
      <c r="C620" s="3">
        <v>168.8</v>
      </c>
      <c r="D620" s="3">
        <v>170</v>
      </c>
      <c r="E620" s="3">
        <v>168.3</v>
      </c>
      <c r="F620" s="3">
        <v>169.55</v>
      </c>
    </row>
    <row r="621" spans="1:6" x14ac:dyDescent="0.25">
      <c r="A621" s="1">
        <v>39987</v>
      </c>
      <c r="B621" s="2">
        <v>0.58333333333333337</v>
      </c>
      <c r="C621" s="3">
        <v>169.25</v>
      </c>
      <c r="D621" s="3">
        <v>169.7</v>
      </c>
      <c r="E621" s="3">
        <v>166.95</v>
      </c>
      <c r="F621" s="3">
        <v>168.05</v>
      </c>
    </row>
    <row r="622" spans="1:6" x14ac:dyDescent="0.25">
      <c r="A622" s="1">
        <v>39988</v>
      </c>
      <c r="B622" s="2">
        <v>0.58333333333333337</v>
      </c>
      <c r="C622" s="3">
        <v>167.5</v>
      </c>
      <c r="D622" s="3">
        <v>170.85</v>
      </c>
      <c r="E622" s="3">
        <v>167.4</v>
      </c>
      <c r="F622" s="3">
        <v>168.25</v>
      </c>
    </row>
    <row r="623" spans="1:6" x14ac:dyDescent="0.25">
      <c r="A623" s="1">
        <v>39989</v>
      </c>
      <c r="B623" s="2">
        <v>0.58333333333333337</v>
      </c>
      <c r="C623" s="3">
        <v>168.1</v>
      </c>
      <c r="D623" s="3">
        <v>169.9</v>
      </c>
      <c r="E623" s="3">
        <v>166.65</v>
      </c>
      <c r="F623" s="3">
        <v>169.35</v>
      </c>
    </row>
    <row r="624" spans="1:6" x14ac:dyDescent="0.25">
      <c r="A624" s="1">
        <v>39990</v>
      </c>
      <c r="B624" s="2">
        <v>0.58333333333333337</v>
      </c>
      <c r="C624" s="3">
        <v>169.65</v>
      </c>
      <c r="D624" s="3">
        <v>170</v>
      </c>
      <c r="E624" s="3">
        <v>167.9</v>
      </c>
      <c r="F624" s="3">
        <v>168.3</v>
      </c>
    </row>
    <row r="625" spans="1:6" x14ac:dyDescent="0.25">
      <c r="A625" s="1">
        <v>39993</v>
      </c>
      <c r="B625" s="2">
        <v>0.58333333333333337</v>
      </c>
      <c r="C625" s="3">
        <v>168.1</v>
      </c>
      <c r="D625" s="3">
        <v>170.8</v>
      </c>
      <c r="E625" s="3">
        <v>167.6</v>
      </c>
      <c r="F625" s="3">
        <v>169.35</v>
      </c>
    </row>
    <row r="626" spans="1:6" x14ac:dyDescent="0.25">
      <c r="A626" s="1">
        <v>39994</v>
      </c>
      <c r="B626" s="2">
        <v>0.58333333333333337</v>
      </c>
      <c r="C626" s="3">
        <v>168.9</v>
      </c>
      <c r="D626" s="3">
        <v>170.65</v>
      </c>
      <c r="E626" s="3">
        <v>167.8</v>
      </c>
      <c r="F626" s="3">
        <v>169</v>
      </c>
    </row>
    <row r="627" spans="1:6" x14ac:dyDescent="0.25">
      <c r="A627" s="1">
        <v>39995</v>
      </c>
      <c r="B627" s="2">
        <v>0.58333333333333337</v>
      </c>
      <c r="C627" s="3">
        <v>168.8</v>
      </c>
      <c r="D627" s="3">
        <v>170.2</v>
      </c>
      <c r="E627" s="3">
        <v>167.7</v>
      </c>
      <c r="F627" s="3">
        <v>168.15</v>
      </c>
    </row>
    <row r="628" spans="1:6" x14ac:dyDescent="0.25">
      <c r="A628" s="1">
        <v>39996</v>
      </c>
      <c r="B628" s="2">
        <v>0.58333333333333337</v>
      </c>
      <c r="C628" s="3">
        <v>168.05</v>
      </c>
      <c r="D628" s="3">
        <v>168.4</v>
      </c>
      <c r="E628" s="3">
        <v>166.15</v>
      </c>
      <c r="F628" s="3">
        <v>166.9</v>
      </c>
    </row>
    <row r="629" spans="1:6" x14ac:dyDescent="0.25">
      <c r="A629" s="1">
        <v>40000</v>
      </c>
      <c r="B629" s="2">
        <v>0.58333333333333337</v>
      </c>
      <c r="C629" s="3">
        <v>167</v>
      </c>
      <c r="D629" s="3">
        <v>169.3</v>
      </c>
      <c r="E629" s="3">
        <v>165.75</v>
      </c>
      <c r="F629" s="3">
        <v>167.2</v>
      </c>
    </row>
    <row r="630" spans="1:6" x14ac:dyDescent="0.25">
      <c r="A630" s="1">
        <v>40001</v>
      </c>
      <c r="B630" s="2">
        <v>0.58333333333333337</v>
      </c>
      <c r="C630" s="3">
        <v>167.9</v>
      </c>
      <c r="D630" s="3">
        <v>168.4</v>
      </c>
      <c r="E630" s="3">
        <v>165.6</v>
      </c>
      <c r="F630" s="3">
        <v>165.8</v>
      </c>
    </row>
    <row r="631" spans="1:6" x14ac:dyDescent="0.25">
      <c r="A631" s="1">
        <v>40002</v>
      </c>
      <c r="B631" s="2">
        <v>0.58333333333333337</v>
      </c>
      <c r="C631" s="3">
        <v>166.15</v>
      </c>
      <c r="D631" s="3">
        <v>166.5</v>
      </c>
      <c r="E631" s="3">
        <v>163.85</v>
      </c>
      <c r="F631" s="3">
        <v>164.3</v>
      </c>
    </row>
    <row r="632" spans="1:6" x14ac:dyDescent="0.25">
      <c r="A632" s="1">
        <v>40003</v>
      </c>
      <c r="B632" s="2">
        <v>0.58333333333333337</v>
      </c>
      <c r="C632" s="3">
        <v>164.5</v>
      </c>
      <c r="D632" s="3">
        <v>167.9</v>
      </c>
      <c r="E632" s="3">
        <v>163.55000000000001</v>
      </c>
      <c r="F632" s="3">
        <v>164.75</v>
      </c>
    </row>
    <row r="633" spans="1:6" x14ac:dyDescent="0.25">
      <c r="A633" s="1">
        <v>40004</v>
      </c>
      <c r="B633" s="2">
        <v>0.58333333333333337</v>
      </c>
      <c r="C633" s="3">
        <v>164.85</v>
      </c>
      <c r="D633" s="3">
        <v>166.3</v>
      </c>
      <c r="E633" s="3">
        <v>162.44999999999999</v>
      </c>
      <c r="F633" s="3">
        <v>163.5</v>
      </c>
    </row>
    <row r="634" spans="1:6" x14ac:dyDescent="0.25">
      <c r="A634" s="1">
        <v>40007</v>
      </c>
      <c r="B634" s="2">
        <v>0.58333333333333337</v>
      </c>
      <c r="C634" s="3">
        <v>163.19999999999999</v>
      </c>
      <c r="D634" s="3">
        <v>164.2</v>
      </c>
      <c r="E634" s="3">
        <v>162.5</v>
      </c>
      <c r="F634" s="3">
        <v>164</v>
      </c>
    </row>
    <row r="635" spans="1:6" x14ac:dyDescent="0.25">
      <c r="A635" s="1">
        <v>40008</v>
      </c>
      <c r="B635" s="2">
        <v>0.58333333333333337</v>
      </c>
      <c r="C635" s="3">
        <v>164</v>
      </c>
      <c r="D635" s="3">
        <v>166.7</v>
      </c>
      <c r="E635" s="3">
        <v>163.65</v>
      </c>
      <c r="F635" s="3">
        <v>164.6</v>
      </c>
    </row>
    <row r="636" spans="1:6" x14ac:dyDescent="0.25">
      <c r="A636" s="1">
        <v>40009</v>
      </c>
      <c r="B636" s="2">
        <v>0.58333333333333337</v>
      </c>
      <c r="C636" s="3">
        <v>164.75</v>
      </c>
      <c r="D636" s="3">
        <v>168.65</v>
      </c>
      <c r="E636" s="3">
        <v>164.75</v>
      </c>
      <c r="F636" s="3">
        <v>167.05</v>
      </c>
    </row>
    <row r="637" spans="1:6" x14ac:dyDescent="0.25">
      <c r="A637" s="1">
        <v>40010</v>
      </c>
      <c r="B637" s="2">
        <v>0.58333333333333337</v>
      </c>
      <c r="C637" s="3">
        <v>167.85</v>
      </c>
      <c r="D637" s="3">
        <v>168.15</v>
      </c>
      <c r="E637" s="3">
        <v>163.69999999999999</v>
      </c>
      <c r="F637" s="3">
        <v>164.75</v>
      </c>
    </row>
    <row r="638" spans="1:6" x14ac:dyDescent="0.25">
      <c r="A638" s="1">
        <v>40011</v>
      </c>
      <c r="B638" s="2">
        <v>0.58333333333333337</v>
      </c>
      <c r="C638" s="3">
        <v>165.1</v>
      </c>
      <c r="D638" s="3">
        <v>168.1</v>
      </c>
      <c r="E638" s="3">
        <v>164.9</v>
      </c>
      <c r="F638" s="3">
        <v>167.8</v>
      </c>
    </row>
    <row r="639" spans="1:6" x14ac:dyDescent="0.25">
      <c r="A639" s="1">
        <v>40014</v>
      </c>
      <c r="B639" s="2">
        <v>0.58333333333333337</v>
      </c>
      <c r="C639" s="3">
        <v>168.1</v>
      </c>
      <c r="D639" s="3">
        <v>171.9</v>
      </c>
      <c r="E639" s="3">
        <v>167.9</v>
      </c>
      <c r="F639" s="3">
        <v>171.4</v>
      </c>
    </row>
    <row r="640" spans="1:6" x14ac:dyDescent="0.25">
      <c r="A640" s="1">
        <v>40015</v>
      </c>
      <c r="B640" s="2">
        <v>0.58333333333333337</v>
      </c>
      <c r="C640" s="3">
        <v>170.75</v>
      </c>
      <c r="D640" s="3">
        <v>172.6</v>
      </c>
      <c r="E640" s="3">
        <v>170.2</v>
      </c>
      <c r="F640" s="3">
        <v>171.6</v>
      </c>
    </row>
    <row r="641" spans="1:6" x14ac:dyDescent="0.25">
      <c r="A641" s="1">
        <v>40016</v>
      </c>
      <c r="B641" s="2">
        <v>0.58333333333333337</v>
      </c>
      <c r="C641" s="3">
        <v>171.65</v>
      </c>
      <c r="D641" s="3">
        <v>172.4</v>
      </c>
      <c r="E641" s="3">
        <v>165.45</v>
      </c>
      <c r="F641" s="3">
        <v>169.2</v>
      </c>
    </row>
    <row r="642" spans="1:6" x14ac:dyDescent="0.25">
      <c r="A642" s="1">
        <v>40017</v>
      </c>
      <c r="B642" s="2">
        <v>0.58333333333333337</v>
      </c>
      <c r="C642" s="3">
        <v>169.6</v>
      </c>
      <c r="D642" s="3">
        <v>174.55</v>
      </c>
      <c r="E642" s="3">
        <v>168.75</v>
      </c>
      <c r="F642" s="3">
        <v>173.65</v>
      </c>
    </row>
    <row r="643" spans="1:6" x14ac:dyDescent="0.25">
      <c r="A643" s="1">
        <v>40018</v>
      </c>
      <c r="B643" s="2">
        <v>0.58333333333333337</v>
      </c>
      <c r="C643" s="3">
        <v>173.65</v>
      </c>
      <c r="D643" s="3">
        <v>174.5</v>
      </c>
      <c r="E643" s="3">
        <v>172.5</v>
      </c>
      <c r="F643" s="3">
        <v>173.05</v>
      </c>
    </row>
    <row r="644" spans="1:6" x14ac:dyDescent="0.25">
      <c r="A644" s="1">
        <v>40021</v>
      </c>
      <c r="B644" s="2">
        <v>0.58333333333333337</v>
      </c>
      <c r="C644" s="3">
        <v>173.1</v>
      </c>
      <c r="D644" s="3">
        <v>174.1</v>
      </c>
      <c r="E644" s="3">
        <v>172</v>
      </c>
      <c r="F644" s="3">
        <v>173.55</v>
      </c>
    </row>
    <row r="645" spans="1:6" x14ac:dyDescent="0.25">
      <c r="A645" s="1">
        <v>40022</v>
      </c>
      <c r="B645" s="2">
        <v>0.58333333333333337</v>
      </c>
      <c r="C645" s="3">
        <v>174.1</v>
      </c>
      <c r="D645" s="3">
        <v>175.4</v>
      </c>
      <c r="E645" s="3">
        <v>169.4</v>
      </c>
      <c r="F645" s="3">
        <v>171.9</v>
      </c>
    </row>
    <row r="646" spans="1:6" x14ac:dyDescent="0.25">
      <c r="A646" s="1">
        <v>40023</v>
      </c>
      <c r="B646" s="2">
        <v>0.58333333333333337</v>
      </c>
      <c r="C646" s="3">
        <v>171.5</v>
      </c>
      <c r="D646" s="3">
        <v>173.5</v>
      </c>
      <c r="E646" s="3">
        <v>170.35</v>
      </c>
      <c r="F646" s="3">
        <v>171.95</v>
      </c>
    </row>
    <row r="647" spans="1:6" x14ac:dyDescent="0.25">
      <c r="A647" s="1">
        <v>40024</v>
      </c>
      <c r="B647" s="2">
        <v>0.58333333333333337</v>
      </c>
      <c r="C647" s="3">
        <v>172.5</v>
      </c>
      <c r="D647" s="3">
        <v>175</v>
      </c>
      <c r="E647" s="3">
        <v>172.2</v>
      </c>
      <c r="F647" s="3">
        <v>174.05</v>
      </c>
    </row>
    <row r="648" spans="1:6" x14ac:dyDescent="0.25">
      <c r="A648" s="1">
        <v>40025</v>
      </c>
      <c r="B648" s="2">
        <v>0.58333333333333337</v>
      </c>
      <c r="C648" s="3">
        <v>174.2</v>
      </c>
      <c r="D648" s="3">
        <v>177.1</v>
      </c>
      <c r="E648" s="3">
        <v>172.7</v>
      </c>
      <c r="F648" s="3">
        <v>176.95</v>
      </c>
    </row>
    <row r="649" spans="1:6" x14ac:dyDescent="0.25">
      <c r="A649" s="1">
        <v>40028</v>
      </c>
      <c r="B649" s="2">
        <v>0.58333333333333337</v>
      </c>
      <c r="C649" s="3">
        <v>177.25</v>
      </c>
      <c r="D649" s="3">
        <v>182.5</v>
      </c>
      <c r="E649" s="3">
        <v>177.15</v>
      </c>
      <c r="F649" s="3">
        <v>182.15</v>
      </c>
    </row>
    <row r="650" spans="1:6" x14ac:dyDescent="0.25">
      <c r="A650" s="1">
        <v>40029</v>
      </c>
      <c r="B650" s="2">
        <v>0.58333333333333337</v>
      </c>
      <c r="C650" s="3">
        <v>181.7</v>
      </c>
      <c r="D650" s="3">
        <v>183.2</v>
      </c>
      <c r="E650" s="3">
        <v>180.4</v>
      </c>
      <c r="F650" s="3">
        <v>182.1</v>
      </c>
    </row>
    <row r="651" spans="1:6" x14ac:dyDescent="0.25">
      <c r="A651" s="1">
        <v>40030</v>
      </c>
      <c r="B651" s="2">
        <v>0.58333333333333337</v>
      </c>
      <c r="C651" s="3">
        <v>182.1</v>
      </c>
      <c r="D651" s="3">
        <v>182.95</v>
      </c>
      <c r="E651" s="3">
        <v>179.7</v>
      </c>
      <c r="F651" s="3">
        <v>180.6</v>
      </c>
    </row>
    <row r="652" spans="1:6" x14ac:dyDescent="0.25">
      <c r="A652" s="1">
        <v>40031</v>
      </c>
      <c r="B652" s="2">
        <v>0.58333333333333337</v>
      </c>
      <c r="C652" s="3">
        <v>181.3</v>
      </c>
      <c r="D652" s="3">
        <v>183.85</v>
      </c>
      <c r="E652" s="3">
        <v>180.6</v>
      </c>
      <c r="F652" s="3">
        <v>183.8</v>
      </c>
    </row>
    <row r="653" spans="1:6" x14ac:dyDescent="0.25">
      <c r="A653" s="1">
        <v>40032</v>
      </c>
      <c r="B653" s="2">
        <v>0.58333333333333337</v>
      </c>
      <c r="C653" s="3">
        <v>183.5</v>
      </c>
      <c r="D653" s="3">
        <v>187.15</v>
      </c>
      <c r="E653" s="3">
        <v>182.2</v>
      </c>
      <c r="F653" s="3">
        <v>187</v>
      </c>
    </row>
    <row r="654" spans="1:6" x14ac:dyDescent="0.25">
      <c r="A654" s="1">
        <v>40035</v>
      </c>
      <c r="B654" s="2">
        <v>0.58333333333333337</v>
      </c>
      <c r="C654" s="3">
        <v>186.45</v>
      </c>
      <c r="D654" s="3">
        <v>188.1</v>
      </c>
      <c r="E654" s="3">
        <v>184</v>
      </c>
      <c r="F654" s="3">
        <v>188.1</v>
      </c>
    </row>
    <row r="655" spans="1:6" x14ac:dyDescent="0.25">
      <c r="A655" s="1">
        <v>40036</v>
      </c>
      <c r="B655" s="2">
        <v>0.58333333333333337</v>
      </c>
      <c r="C655" s="3">
        <v>184.75</v>
      </c>
      <c r="D655" s="3">
        <v>186.45</v>
      </c>
      <c r="E655" s="3">
        <v>183.2</v>
      </c>
      <c r="F655" s="3">
        <v>186</v>
      </c>
    </row>
    <row r="656" spans="1:6" x14ac:dyDescent="0.25">
      <c r="A656" s="1">
        <v>40037</v>
      </c>
      <c r="B656" s="2">
        <v>0.58333333333333337</v>
      </c>
      <c r="C656" s="3">
        <v>185.35</v>
      </c>
      <c r="D656" s="3">
        <v>186.4</v>
      </c>
      <c r="E656" s="3">
        <v>184.05</v>
      </c>
      <c r="F656" s="3">
        <v>184.65</v>
      </c>
    </row>
    <row r="657" spans="1:6" x14ac:dyDescent="0.25">
      <c r="A657" s="1">
        <v>40038</v>
      </c>
      <c r="B657" s="2">
        <v>0.58333333333333337</v>
      </c>
      <c r="C657" s="3">
        <v>184.05</v>
      </c>
      <c r="D657" s="3">
        <v>185.35</v>
      </c>
      <c r="E657" s="3">
        <v>180.9</v>
      </c>
      <c r="F657" s="3">
        <v>182</v>
      </c>
    </row>
    <row r="658" spans="1:6" x14ac:dyDescent="0.25">
      <c r="A658" s="1">
        <v>40039</v>
      </c>
      <c r="B658" s="2">
        <v>0.58333333333333337</v>
      </c>
      <c r="C658" s="3">
        <v>181.45</v>
      </c>
      <c r="D658" s="3">
        <v>182.8</v>
      </c>
      <c r="E658" s="3">
        <v>177.5</v>
      </c>
      <c r="F658" s="3">
        <v>178.3</v>
      </c>
    </row>
    <row r="659" spans="1:6" x14ac:dyDescent="0.25">
      <c r="A659" s="1">
        <v>40042</v>
      </c>
      <c r="B659" s="2">
        <v>0.58333333333333337</v>
      </c>
      <c r="C659" s="3">
        <v>177.45</v>
      </c>
      <c r="D659" s="3">
        <v>177.45</v>
      </c>
      <c r="E659" s="3">
        <v>173.65</v>
      </c>
      <c r="F659" s="3">
        <v>174.9</v>
      </c>
    </row>
    <row r="660" spans="1:6" x14ac:dyDescent="0.25">
      <c r="A660" s="1">
        <v>40043</v>
      </c>
      <c r="B660" s="2">
        <v>0.58333333333333337</v>
      </c>
      <c r="C660" s="3">
        <v>174.95</v>
      </c>
      <c r="D660" s="3">
        <v>175.5</v>
      </c>
      <c r="E660" s="3">
        <v>172.2</v>
      </c>
      <c r="F660" s="3">
        <v>174.2</v>
      </c>
    </row>
    <row r="661" spans="1:6" x14ac:dyDescent="0.25">
      <c r="A661" s="1">
        <v>40044</v>
      </c>
      <c r="B661" s="2">
        <v>0.58333333333333337</v>
      </c>
      <c r="C661" s="3">
        <v>173.95</v>
      </c>
      <c r="D661" s="3">
        <v>174.85</v>
      </c>
      <c r="E661" s="3">
        <v>172.65</v>
      </c>
      <c r="F661" s="3">
        <v>174.65</v>
      </c>
    </row>
    <row r="662" spans="1:6" x14ac:dyDescent="0.25">
      <c r="A662" s="1">
        <v>40045</v>
      </c>
      <c r="B662" s="2">
        <v>0.58333333333333337</v>
      </c>
      <c r="C662" s="3">
        <v>174.8</v>
      </c>
      <c r="D662" s="3">
        <v>174.8</v>
      </c>
      <c r="E662" s="3">
        <v>171.55</v>
      </c>
      <c r="F662" s="3">
        <v>171.75</v>
      </c>
    </row>
    <row r="663" spans="1:6" x14ac:dyDescent="0.25">
      <c r="A663" s="1">
        <v>40046</v>
      </c>
      <c r="B663" s="2">
        <v>0.58333333333333337</v>
      </c>
      <c r="C663" s="3">
        <v>171.7</v>
      </c>
      <c r="D663" s="3">
        <v>174.45</v>
      </c>
      <c r="E663" s="3">
        <v>170.95</v>
      </c>
      <c r="F663" s="3">
        <v>171</v>
      </c>
    </row>
    <row r="664" spans="1:6" x14ac:dyDescent="0.25">
      <c r="A664" s="1">
        <v>40049</v>
      </c>
      <c r="B664" s="2">
        <v>0.58333333333333337</v>
      </c>
      <c r="C664" s="3">
        <v>171.05</v>
      </c>
      <c r="D664" s="3">
        <v>172.35</v>
      </c>
      <c r="E664" s="3">
        <v>168.2</v>
      </c>
      <c r="F664" s="3">
        <v>168.45</v>
      </c>
    </row>
    <row r="665" spans="1:6" x14ac:dyDescent="0.25">
      <c r="A665" s="1">
        <v>40050</v>
      </c>
      <c r="B665" s="2">
        <v>0.58333333333333337</v>
      </c>
      <c r="C665" s="3">
        <v>168.35</v>
      </c>
      <c r="D665" s="3">
        <v>169.65</v>
      </c>
      <c r="E665" s="3">
        <v>167.25</v>
      </c>
      <c r="F665" s="3">
        <v>167.35</v>
      </c>
    </row>
    <row r="666" spans="1:6" x14ac:dyDescent="0.25">
      <c r="A666" s="1">
        <v>40051</v>
      </c>
      <c r="B666" s="2">
        <v>0.58333333333333337</v>
      </c>
      <c r="C666" s="3">
        <v>167.35</v>
      </c>
      <c r="D666" s="3">
        <v>170.7</v>
      </c>
      <c r="E666" s="3">
        <v>166.7</v>
      </c>
      <c r="F666" s="3">
        <v>170.45</v>
      </c>
    </row>
    <row r="667" spans="1:6" x14ac:dyDescent="0.25">
      <c r="A667" s="1">
        <v>40052</v>
      </c>
      <c r="B667" s="2">
        <v>0.58333333333333337</v>
      </c>
      <c r="C667" s="3">
        <v>170.25</v>
      </c>
      <c r="D667" s="3">
        <v>170.85</v>
      </c>
      <c r="E667" s="3">
        <v>166.95</v>
      </c>
      <c r="F667" s="3">
        <v>167.3</v>
      </c>
    </row>
    <row r="668" spans="1:6" x14ac:dyDescent="0.25">
      <c r="A668" s="1">
        <v>40053</v>
      </c>
      <c r="B668" s="2">
        <v>0.58333333333333337</v>
      </c>
      <c r="C668" s="3">
        <v>167.95</v>
      </c>
      <c r="D668" s="3">
        <v>169.55</v>
      </c>
      <c r="E668" s="3">
        <v>167.65</v>
      </c>
      <c r="F668" s="3">
        <v>168.25</v>
      </c>
    </row>
    <row r="669" spans="1:6" x14ac:dyDescent="0.25">
      <c r="A669" s="1">
        <v>40056</v>
      </c>
      <c r="B669" s="2">
        <v>0.58333333333333337</v>
      </c>
      <c r="C669" s="3">
        <v>168.1</v>
      </c>
      <c r="D669" s="3">
        <v>168.65</v>
      </c>
      <c r="E669" s="3">
        <v>166.25</v>
      </c>
      <c r="F669" s="3">
        <v>168.25</v>
      </c>
    </row>
    <row r="670" spans="1:6" x14ac:dyDescent="0.25">
      <c r="A670" s="1">
        <v>40057</v>
      </c>
      <c r="B670" s="2">
        <v>0.58333333333333337</v>
      </c>
      <c r="C670" s="3">
        <v>168.55</v>
      </c>
      <c r="D670" s="3">
        <v>169.45</v>
      </c>
      <c r="E670" s="3">
        <v>165.95</v>
      </c>
      <c r="F670" s="3">
        <v>166.05</v>
      </c>
    </row>
    <row r="671" spans="1:6" x14ac:dyDescent="0.25">
      <c r="A671" s="1">
        <v>40058</v>
      </c>
      <c r="B671" s="2">
        <v>0.58333333333333337</v>
      </c>
      <c r="C671" s="3">
        <v>165.95</v>
      </c>
      <c r="D671" s="3">
        <v>168.05</v>
      </c>
      <c r="E671" s="3">
        <v>165.85</v>
      </c>
      <c r="F671" s="3">
        <v>167.1</v>
      </c>
    </row>
    <row r="672" spans="1:6" x14ac:dyDescent="0.25">
      <c r="A672" s="1">
        <v>40059</v>
      </c>
      <c r="B672" s="2">
        <v>0.58333333333333337</v>
      </c>
      <c r="C672" s="3">
        <v>167.2</v>
      </c>
      <c r="D672" s="3">
        <v>168.35</v>
      </c>
      <c r="E672" s="3">
        <v>166.05</v>
      </c>
      <c r="F672" s="3">
        <v>166.75</v>
      </c>
    </row>
    <row r="673" spans="1:6" x14ac:dyDescent="0.25">
      <c r="A673" s="1">
        <v>40060</v>
      </c>
      <c r="B673" s="2">
        <v>0.58333333333333337</v>
      </c>
      <c r="C673" s="3">
        <v>166.95</v>
      </c>
      <c r="D673" s="3">
        <v>170.75</v>
      </c>
      <c r="E673" s="3">
        <v>166.55</v>
      </c>
      <c r="F673" s="3">
        <v>170.05</v>
      </c>
    </row>
    <row r="674" spans="1:6" x14ac:dyDescent="0.25">
      <c r="A674" s="1">
        <v>40064</v>
      </c>
      <c r="B674" s="2">
        <v>0.58333333333333337</v>
      </c>
      <c r="C674" s="3">
        <v>170.95</v>
      </c>
      <c r="D674" s="3">
        <v>172.55</v>
      </c>
      <c r="E674" s="3">
        <v>169.4</v>
      </c>
      <c r="F674" s="3">
        <v>170.55</v>
      </c>
    </row>
    <row r="675" spans="1:6" x14ac:dyDescent="0.25">
      <c r="A675" s="1">
        <v>40065</v>
      </c>
      <c r="B675" s="2">
        <v>0.58333333333333337</v>
      </c>
      <c r="C675" s="3">
        <v>170.75</v>
      </c>
      <c r="D675" s="3">
        <v>172.05</v>
      </c>
      <c r="E675" s="3">
        <v>170.25</v>
      </c>
      <c r="F675" s="3">
        <v>171.15</v>
      </c>
    </row>
    <row r="676" spans="1:6" x14ac:dyDescent="0.25">
      <c r="A676" s="1">
        <v>40066</v>
      </c>
      <c r="B676" s="2">
        <v>0.58333333333333337</v>
      </c>
      <c r="C676" s="3">
        <v>171.3</v>
      </c>
      <c r="D676" s="3">
        <v>172.15</v>
      </c>
      <c r="E676" s="3">
        <v>169.15</v>
      </c>
      <c r="F676" s="3">
        <v>170.6</v>
      </c>
    </row>
    <row r="677" spans="1:6" x14ac:dyDescent="0.25">
      <c r="A677" s="1">
        <v>40067</v>
      </c>
      <c r="B677" s="2">
        <v>0.58333333333333337</v>
      </c>
      <c r="C677" s="3">
        <v>170.6</v>
      </c>
      <c r="D677" s="3">
        <v>173.95</v>
      </c>
      <c r="E677" s="3">
        <v>170.45</v>
      </c>
      <c r="F677" s="3">
        <v>172.5</v>
      </c>
    </row>
    <row r="678" spans="1:6" x14ac:dyDescent="0.25">
      <c r="A678" s="1">
        <v>40070</v>
      </c>
      <c r="B678" s="2">
        <v>0.58333333333333337</v>
      </c>
      <c r="C678" s="3">
        <v>171.6</v>
      </c>
      <c r="D678" s="3">
        <v>179.85</v>
      </c>
      <c r="E678" s="3">
        <v>171.05</v>
      </c>
      <c r="F678" s="3">
        <v>179.05</v>
      </c>
    </row>
    <row r="679" spans="1:6" x14ac:dyDescent="0.25">
      <c r="A679" s="1">
        <v>40071</v>
      </c>
      <c r="B679" s="2">
        <v>0.58333333333333337</v>
      </c>
      <c r="C679" s="3">
        <v>179.8</v>
      </c>
      <c r="D679" s="3">
        <v>181.15</v>
      </c>
      <c r="E679" s="3">
        <v>177.55</v>
      </c>
      <c r="F679" s="3">
        <v>180.55</v>
      </c>
    </row>
    <row r="680" spans="1:6" x14ac:dyDescent="0.25">
      <c r="A680" s="1">
        <v>40072</v>
      </c>
      <c r="B680" s="2">
        <v>0.58333333333333337</v>
      </c>
      <c r="C680" s="3">
        <v>180.55</v>
      </c>
      <c r="D680" s="3">
        <v>182.35</v>
      </c>
      <c r="E680" s="3">
        <v>179.3</v>
      </c>
      <c r="F680" s="3">
        <v>180.15</v>
      </c>
    </row>
    <row r="681" spans="1:6" x14ac:dyDescent="0.25">
      <c r="A681" s="1">
        <v>40073</v>
      </c>
      <c r="B681" s="2">
        <v>0.58333333333333337</v>
      </c>
      <c r="C681" s="3">
        <v>180.45</v>
      </c>
      <c r="D681" s="3">
        <v>183</v>
      </c>
      <c r="E681" s="3">
        <v>180.15</v>
      </c>
      <c r="F681" s="3">
        <v>182</v>
      </c>
    </row>
    <row r="682" spans="1:6" x14ac:dyDescent="0.25">
      <c r="A682" s="1">
        <v>40074</v>
      </c>
      <c r="B682" s="2">
        <v>0.58333333333333337</v>
      </c>
      <c r="C682" s="3">
        <v>181.45</v>
      </c>
      <c r="D682" s="3">
        <v>183.1</v>
      </c>
      <c r="E682" s="3">
        <v>179.75</v>
      </c>
      <c r="F682" s="3">
        <v>182</v>
      </c>
    </row>
    <row r="683" spans="1:6" x14ac:dyDescent="0.25">
      <c r="A683" s="1">
        <v>40077</v>
      </c>
      <c r="B683" s="2">
        <v>0.58333333333333337</v>
      </c>
      <c r="C683" s="3">
        <v>181.55</v>
      </c>
      <c r="D683" s="3">
        <v>184.25</v>
      </c>
      <c r="E683" s="3">
        <v>181.05</v>
      </c>
      <c r="F683" s="3">
        <v>181.6</v>
      </c>
    </row>
    <row r="684" spans="1:6" x14ac:dyDescent="0.25">
      <c r="A684" s="1">
        <v>40078</v>
      </c>
      <c r="B684" s="2">
        <v>0.58333333333333337</v>
      </c>
      <c r="C684" s="3">
        <v>181.95</v>
      </c>
      <c r="D684" s="3">
        <v>184.2</v>
      </c>
      <c r="E684" s="3">
        <v>181.05</v>
      </c>
      <c r="F684" s="3">
        <v>184</v>
      </c>
    </row>
    <row r="685" spans="1:6" x14ac:dyDescent="0.25">
      <c r="A685" s="1">
        <v>40079</v>
      </c>
      <c r="B685" s="2">
        <v>0.58333333333333337</v>
      </c>
      <c r="C685" s="3">
        <v>183.45</v>
      </c>
      <c r="D685" s="3">
        <v>184.2</v>
      </c>
      <c r="E685" s="3">
        <v>181</v>
      </c>
      <c r="F685" s="3">
        <v>182.35</v>
      </c>
    </row>
    <row r="686" spans="1:6" x14ac:dyDescent="0.25">
      <c r="A686" s="1">
        <v>40080</v>
      </c>
      <c r="B686" s="2">
        <v>0.58333333333333337</v>
      </c>
      <c r="C686" s="3">
        <v>181.45</v>
      </c>
      <c r="D686" s="3">
        <v>181.7</v>
      </c>
      <c r="E686" s="3">
        <v>174.45</v>
      </c>
      <c r="F686" s="3">
        <v>175.25</v>
      </c>
    </row>
    <row r="687" spans="1:6" x14ac:dyDescent="0.25">
      <c r="A687" s="1">
        <v>40081</v>
      </c>
      <c r="B687" s="2">
        <v>0.58333333333333337</v>
      </c>
      <c r="C687" s="3">
        <v>175.25</v>
      </c>
      <c r="D687" s="3">
        <v>175.8</v>
      </c>
      <c r="E687" s="3">
        <v>173.05</v>
      </c>
      <c r="F687" s="3">
        <v>173.65</v>
      </c>
    </row>
    <row r="688" spans="1:6" x14ac:dyDescent="0.25">
      <c r="A688" s="1">
        <v>40084</v>
      </c>
      <c r="B688" s="2">
        <v>0.58333333333333337</v>
      </c>
      <c r="C688" s="3">
        <v>173.3</v>
      </c>
      <c r="D688" s="3">
        <v>174.5</v>
      </c>
      <c r="E688" s="3">
        <v>172.95</v>
      </c>
      <c r="F688" s="3">
        <v>173.1</v>
      </c>
    </row>
    <row r="689" spans="1:6" x14ac:dyDescent="0.25">
      <c r="A689" s="1">
        <v>40085</v>
      </c>
      <c r="B689" s="2">
        <v>0.58333333333333337</v>
      </c>
      <c r="C689" s="3">
        <v>173.1</v>
      </c>
      <c r="D689" s="3">
        <v>173.35</v>
      </c>
      <c r="E689" s="3">
        <v>171.25</v>
      </c>
      <c r="F689" s="3">
        <v>171.45</v>
      </c>
    </row>
    <row r="690" spans="1:6" x14ac:dyDescent="0.25">
      <c r="A690" s="1">
        <v>40086</v>
      </c>
      <c r="B690" s="2">
        <v>0.58333333333333337</v>
      </c>
      <c r="C690" s="3">
        <v>171.6</v>
      </c>
      <c r="D690" s="3">
        <v>173.95</v>
      </c>
      <c r="E690" s="3">
        <v>171.5</v>
      </c>
      <c r="F690" s="3">
        <v>173.75</v>
      </c>
    </row>
    <row r="691" spans="1:6" x14ac:dyDescent="0.25">
      <c r="A691" s="1">
        <v>40087</v>
      </c>
      <c r="B691" s="2">
        <v>0.58333333333333337</v>
      </c>
      <c r="C691" s="3">
        <v>173.45</v>
      </c>
      <c r="D691" s="3">
        <v>175.7</v>
      </c>
      <c r="E691" s="3">
        <v>171.85</v>
      </c>
      <c r="F691" s="3">
        <v>172.65</v>
      </c>
    </row>
    <row r="692" spans="1:6" x14ac:dyDescent="0.25">
      <c r="A692" s="1">
        <v>40088</v>
      </c>
      <c r="B692" s="2">
        <v>0.58333333333333337</v>
      </c>
      <c r="C692" s="3">
        <v>172.65</v>
      </c>
      <c r="D692" s="3">
        <v>175.95</v>
      </c>
      <c r="E692" s="3">
        <v>172.2</v>
      </c>
      <c r="F692" s="3">
        <v>175.65</v>
      </c>
    </row>
    <row r="693" spans="1:6" x14ac:dyDescent="0.25">
      <c r="A693" s="1">
        <v>40091</v>
      </c>
      <c r="B693" s="2">
        <v>0.58333333333333337</v>
      </c>
      <c r="C693" s="3">
        <v>175.65</v>
      </c>
      <c r="D693" s="3">
        <v>177.6</v>
      </c>
      <c r="E693" s="3">
        <v>174.8</v>
      </c>
      <c r="F693" s="3">
        <v>175.4</v>
      </c>
    </row>
    <row r="694" spans="1:6" x14ac:dyDescent="0.25">
      <c r="A694" s="1">
        <v>40092</v>
      </c>
      <c r="B694" s="2">
        <v>0.58333333333333337</v>
      </c>
      <c r="C694" s="3">
        <v>175.95</v>
      </c>
      <c r="D694" s="3">
        <v>181.3</v>
      </c>
      <c r="E694" s="3">
        <v>175.65</v>
      </c>
      <c r="F694" s="3">
        <v>179.55</v>
      </c>
    </row>
    <row r="695" spans="1:6" x14ac:dyDescent="0.25">
      <c r="A695" s="1">
        <v>40093</v>
      </c>
      <c r="B695" s="2">
        <v>0.58333333333333337</v>
      </c>
      <c r="C695" s="3">
        <v>179.55</v>
      </c>
      <c r="D695" s="3">
        <v>181.3</v>
      </c>
      <c r="E695" s="3">
        <v>179</v>
      </c>
      <c r="F695" s="3">
        <v>180.2</v>
      </c>
    </row>
    <row r="696" spans="1:6" x14ac:dyDescent="0.25">
      <c r="A696" s="1">
        <v>40094</v>
      </c>
      <c r="B696" s="2">
        <v>0.58333333333333337</v>
      </c>
      <c r="C696" s="3">
        <v>180.95</v>
      </c>
      <c r="D696" s="3">
        <v>184.95</v>
      </c>
      <c r="E696" s="3">
        <v>180.85</v>
      </c>
      <c r="F696" s="3">
        <v>183.85</v>
      </c>
    </row>
    <row r="697" spans="1:6" x14ac:dyDescent="0.25">
      <c r="A697" s="1">
        <v>40095</v>
      </c>
      <c r="B697" s="2">
        <v>0.58333333333333337</v>
      </c>
      <c r="C697" s="3">
        <v>182.95</v>
      </c>
      <c r="D697" s="3">
        <v>184.9</v>
      </c>
      <c r="E697" s="3">
        <v>181.15</v>
      </c>
      <c r="F697" s="3">
        <v>181.6</v>
      </c>
    </row>
    <row r="698" spans="1:6" x14ac:dyDescent="0.25">
      <c r="A698" s="1">
        <v>40098</v>
      </c>
      <c r="B698" s="2">
        <v>0.58333333333333337</v>
      </c>
      <c r="C698" s="3">
        <v>181.2</v>
      </c>
      <c r="D698" s="3">
        <v>184.85</v>
      </c>
      <c r="E698" s="3">
        <v>179.55</v>
      </c>
      <c r="F698" s="3">
        <v>184</v>
      </c>
    </row>
    <row r="699" spans="1:6" x14ac:dyDescent="0.25">
      <c r="A699" s="1">
        <v>40099</v>
      </c>
      <c r="B699" s="2">
        <v>0.58333333333333337</v>
      </c>
      <c r="C699" s="3">
        <v>184.1</v>
      </c>
      <c r="D699" s="3">
        <v>185.7</v>
      </c>
      <c r="E699" s="3">
        <v>181.75</v>
      </c>
      <c r="F699" s="3">
        <v>184.4</v>
      </c>
    </row>
    <row r="700" spans="1:6" x14ac:dyDescent="0.25">
      <c r="A700" s="1">
        <v>40100</v>
      </c>
      <c r="B700" s="2">
        <v>0.58333333333333337</v>
      </c>
      <c r="C700" s="3">
        <v>184.7</v>
      </c>
      <c r="D700" s="3">
        <v>185.4</v>
      </c>
      <c r="E700" s="3">
        <v>183.95</v>
      </c>
      <c r="F700" s="3">
        <v>185.2</v>
      </c>
    </row>
    <row r="701" spans="1:6" x14ac:dyDescent="0.25">
      <c r="A701" s="1">
        <v>40101</v>
      </c>
      <c r="B701" s="2">
        <v>0.58333333333333337</v>
      </c>
      <c r="C701" s="3">
        <v>185.2</v>
      </c>
      <c r="D701" s="3">
        <v>185.4</v>
      </c>
      <c r="E701" s="3">
        <v>182.25</v>
      </c>
      <c r="F701" s="3">
        <v>183.7</v>
      </c>
    </row>
    <row r="702" spans="1:6" x14ac:dyDescent="0.25">
      <c r="A702" s="1">
        <v>40102</v>
      </c>
      <c r="B702" s="2">
        <v>0.58333333333333337</v>
      </c>
      <c r="C702" s="3">
        <v>183.7</v>
      </c>
      <c r="D702" s="3">
        <v>188.95</v>
      </c>
      <c r="E702" s="3">
        <v>182.55</v>
      </c>
      <c r="F702" s="3">
        <v>188.8</v>
      </c>
    </row>
    <row r="703" spans="1:6" x14ac:dyDescent="0.25">
      <c r="A703" s="1">
        <v>40105</v>
      </c>
      <c r="B703" s="2">
        <v>0.58333333333333337</v>
      </c>
      <c r="C703" s="3">
        <v>188.8</v>
      </c>
      <c r="D703" s="3">
        <v>191.35</v>
      </c>
      <c r="E703" s="3">
        <v>187.2</v>
      </c>
      <c r="F703" s="3">
        <v>190.2</v>
      </c>
    </row>
    <row r="704" spans="1:6" x14ac:dyDescent="0.25">
      <c r="A704" s="1">
        <v>40106</v>
      </c>
      <c r="B704" s="2">
        <v>0.58333333333333337</v>
      </c>
      <c r="C704" s="3">
        <v>189.95</v>
      </c>
      <c r="D704" s="3">
        <v>189.95</v>
      </c>
      <c r="E704" s="3">
        <v>185.95</v>
      </c>
      <c r="F704" s="3">
        <v>187.75</v>
      </c>
    </row>
    <row r="705" spans="1:6" x14ac:dyDescent="0.25">
      <c r="A705" s="1">
        <v>40107</v>
      </c>
      <c r="B705" s="2">
        <v>0.58333333333333337</v>
      </c>
      <c r="C705" s="3">
        <v>187.8</v>
      </c>
      <c r="D705" s="3">
        <v>190.35</v>
      </c>
      <c r="E705" s="3">
        <v>185.95</v>
      </c>
      <c r="F705" s="3">
        <v>190.25</v>
      </c>
    </row>
    <row r="706" spans="1:6" x14ac:dyDescent="0.25">
      <c r="A706" s="1">
        <v>40108</v>
      </c>
      <c r="B706" s="2">
        <v>0.58333333333333337</v>
      </c>
      <c r="C706" s="3">
        <v>189.5</v>
      </c>
      <c r="D706" s="3">
        <v>189.75</v>
      </c>
      <c r="E706" s="3">
        <v>186.25</v>
      </c>
      <c r="F706" s="3">
        <v>189.6</v>
      </c>
    </row>
    <row r="707" spans="1:6" x14ac:dyDescent="0.25">
      <c r="A707" s="1">
        <v>40109</v>
      </c>
      <c r="B707" s="2">
        <v>0.58333333333333337</v>
      </c>
      <c r="C707" s="3">
        <v>189.2</v>
      </c>
      <c r="D707" s="3">
        <v>189.2</v>
      </c>
      <c r="E707" s="3">
        <v>181.9</v>
      </c>
      <c r="F707" s="3">
        <v>183.1</v>
      </c>
    </row>
    <row r="708" spans="1:6" x14ac:dyDescent="0.25">
      <c r="A708" s="1">
        <v>40112</v>
      </c>
      <c r="B708" s="2">
        <v>0.58333333333333337</v>
      </c>
      <c r="C708" s="3">
        <v>182.7</v>
      </c>
      <c r="D708" s="3">
        <v>185.15</v>
      </c>
      <c r="E708" s="3">
        <v>180.15</v>
      </c>
      <c r="F708" s="3">
        <v>182.45</v>
      </c>
    </row>
    <row r="709" spans="1:6" x14ac:dyDescent="0.25">
      <c r="A709" s="1">
        <v>40113</v>
      </c>
      <c r="B709" s="2">
        <v>0.58333333333333337</v>
      </c>
      <c r="C709" s="3">
        <v>182.35</v>
      </c>
      <c r="D709" s="3">
        <v>183.65</v>
      </c>
      <c r="E709" s="3">
        <v>181.35</v>
      </c>
      <c r="F709" s="3">
        <v>182.3</v>
      </c>
    </row>
    <row r="710" spans="1:6" x14ac:dyDescent="0.25">
      <c r="A710" s="1">
        <v>40114</v>
      </c>
      <c r="B710" s="2">
        <v>0.58333333333333337</v>
      </c>
      <c r="C710" s="3">
        <v>182.3</v>
      </c>
      <c r="D710" s="3">
        <v>182.5</v>
      </c>
      <c r="E710" s="3">
        <v>178.9</v>
      </c>
      <c r="F710" s="3">
        <v>180.55</v>
      </c>
    </row>
    <row r="711" spans="1:6" x14ac:dyDescent="0.25">
      <c r="A711" s="1">
        <v>40115</v>
      </c>
      <c r="B711" s="2">
        <v>0.58333333333333337</v>
      </c>
      <c r="C711" s="3">
        <v>180.7</v>
      </c>
      <c r="D711" s="3">
        <v>183.5</v>
      </c>
      <c r="E711" s="3">
        <v>179.5</v>
      </c>
      <c r="F711" s="3">
        <v>182.7</v>
      </c>
    </row>
    <row r="712" spans="1:6" x14ac:dyDescent="0.25">
      <c r="A712" s="1">
        <v>40116</v>
      </c>
      <c r="B712" s="2">
        <v>0.58333333333333337</v>
      </c>
      <c r="C712" s="3">
        <v>182.9</v>
      </c>
      <c r="D712" s="3">
        <v>184.45</v>
      </c>
      <c r="E712" s="3">
        <v>179.8</v>
      </c>
      <c r="F712" s="3">
        <v>181.45</v>
      </c>
    </row>
    <row r="713" spans="1:6" x14ac:dyDescent="0.25">
      <c r="A713" s="1">
        <v>40119</v>
      </c>
      <c r="B713" s="2">
        <v>0.58333333333333337</v>
      </c>
      <c r="C713" s="3">
        <v>180.95</v>
      </c>
      <c r="D713" s="3">
        <v>189.05</v>
      </c>
      <c r="E713" s="3">
        <v>180.9</v>
      </c>
      <c r="F713" s="3">
        <v>188.3</v>
      </c>
    </row>
    <row r="714" spans="1:6" x14ac:dyDescent="0.25">
      <c r="A714" s="1">
        <v>40120</v>
      </c>
      <c r="B714" s="2">
        <v>0.58333333333333337</v>
      </c>
      <c r="C714" s="3">
        <v>187.7</v>
      </c>
      <c r="D714" s="3">
        <v>188</v>
      </c>
      <c r="E714" s="3">
        <v>184.95</v>
      </c>
      <c r="F714" s="3">
        <v>187.05</v>
      </c>
    </row>
    <row r="715" spans="1:6" x14ac:dyDescent="0.25">
      <c r="A715" s="1">
        <v>40121</v>
      </c>
      <c r="B715" s="2">
        <v>0.58333333333333337</v>
      </c>
      <c r="C715" s="3">
        <v>187.05</v>
      </c>
      <c r="D715" s="3">
        <v>188.9</v>
      </c>
      <c r="E715" s="3">
        <v>185.65</v>
      </c>
      <c r="F715" s="3">
        <v>186.7</v>
      </c>
    </row>
    <row r="716" spans="1:6" x14ac:dyDescent="0.25">
      <c r="A716" s="1">
        <v>40122</v>
      </c>
      <c r="B716" s="2">
        <v>0.58333333333333337</v>
      </c>
      <c r="C716" s="3">
        <v>186.5</v>
      </c>
      <c r="D716" s="3">
        <v>189.95</v>
      </c>
      <c r="E716" s="3">
        <v>185.7</v>
      </c>
      <c r="F716" s="3">
        <v>188.05</v>
      </c>
    </row>
    <row r="717" spans="1:6" x14ac:dyDescent="0.25">
      <c r="A717" s="1">
        <v>40123</v>
      </c>
      <c r="B717" s="2">
        <v>0.58333333333333337</v>
      </c>
      <c r="C717" s="3">
        <v>188.05</v>
      </c>
      <c r="D717" s="3">
        <v>189.1</v>
      </c>
      <c r="E717" s="3">
        <v>184.05</v>
      </c>
      <c r="F717" s="3">
        <v>184.85</v>
      </c>
    </row>
    <row r="718" spans="1:6" x14ac:dyDescent="0.25">
      <c r="A718" s="1">
        <v>40126</v>
      </c>
      <c r="B718" s="2">
        <v>0.58333333333333337</v>
      </c>
      <c r="C718" s="3">
        <v>185.45</v>
      </c>
      <c r="D718" s="3">
        <v>188.2</v>
      </c>
      <c r="E718" s="3">
        <v>185.05</v>
      </c>
      <c r="F718" s="3">
        <v>186</v>
      </c>
    </row>
    <row r="719" spans="1:6" x14ac:dyDescent="0.25">
      <c r="A719" s="1">
        <v>40127</v>
      </c>
      <c r="B719" s="2">
        <v>0.58333333333333337</v>
      </c>
      <c r="C719" s="3">
        <v>185.4</v>
      </c>
      <c r="D719" s="3">
        <v>186.05</v>
      </c>
      <c r="E719" s="3">
        <v>179.1</v>
      </c>
      <c r="F719" s="3">
        <v>180</v>
      </c>
    </row>
    <row r="720" spans="1:6" x14ac:dyDescent="0.25">
      <c r="A720" s="1">
        <v>40128</v>
      </c>
      <c r="B720" s="2">
        <v>0.58333333333333337</v>
      </c>
      <c r="C720" s="3">
        <v>180.45</v>
      </c>
      <c r="D720" s="3">
        <v>181.95</v>
      </c>
      <c r="E720" s="3">
        <v>177.95</v>
      </c>
      <c r="F720" s="3">
        <v>178.65</v>
      </c>
    </row>
    <row r="721" spans="1:6" x14ac:dyDescent="0.25">
      <c r="A721" s="1">
        <v>40129</v>
      </c>
      <c r="B721" s="2">
        <v>0.58333333333333337</v>
      </c>
      <c r="C721" s="3">
        <v>178.35</v>
      </c>
      <c r="D721" s="3">
        <v>178.65</v>
      </c>
      <c r="E721" s="3">
        <v>175.9</v>
      </c>
      <c r="F721" s="3">
        <v>176.5</v>
      </c>
    </row>
    <row r="722" spans="1:6" x14ac:dyDescent="0.25">
      <c r="A722" s="1">
        <v>40130</v>
      </c>
      <c r="B722" s="2">
        <v>0.58333333333333337</v>
      </c>
      <c r="C722" s="3">
        <v>176.1</v>
      </c>
      <c r="D722" s="3">
        <v>178.55</v>
      </c>
      <c r="E722" s="3">
        <v>175.9</v>
      </c>
      <c r="F722" s="3">
        <v>177.05</v>
      </c>
    </row>
    <row r="723" spans="1:6" x14ac:dyDescent="0.25">
      <c r="A723" s="1">
        <v>40133</v>
      </c>
      <c r="B723" s="2">
        <v>0.58333333333333337</v>
      </c>
      <c r="C723" s="3">
        <v>178.4</v>
      </c>
      <c r="D723" s="3">
        <v>183.2</v>
      </c>
      <c r="E723" s="3">
        <v>177.95</v>
      </c>
      <c r="F723" s="3">
        <v>182.3</v>
      </c>
    </row>
    <row r="724" spans="1:6" x14ac:dyDescent="0.25">
      <c r="A724" s="1">
        <v>40134</v>
      </c>
      <c r="B724" s="2">
        <v>0.58333333333333337</v>
      </c>
      <c r="C724" s="3">
        <v>182.1</v>
      </c>
      <c r="D724" s="3">
        <v>182.3</v>
      </c>
      <c r="E724" s="3">
        <v>180.1</v>
      </c>
      <c r="F724" s="3">
        <v>181.7</v>
      </c>
    </row>
    <row r="725" spans="1:6" x14ac:dyDescent="0.25">
      <c r="A725" s="1">
        <v>40135</v>
      </c>
      <c r="B725" s="2">
        <v>0.58333333333333337</v>
      </c>
      <c r="C725" s="3">
        <v>182.35</v>
      </c>
      <c r="D725" s="3">
        <v>185.6</v>
      </c>
      <c r="E725" s="3">
        <v>181.95</v>
      </c>
      <c r="F725" s="3">
        <v>183.4</v>
      </c>
    </row>
    <row r="726" spans="1:6" x14ac:dyDescent="0.25">
      <c r="A726" s="1">
        <v>40136</v>
      </c>
      <c r="B726" s="2">
        <v>0.58333333333333337</v>
      </c>
      <c r="C726" s="3">
        <v>182.85</v>
      </c>
      <c r="D726" s="3">
        <v>182.9</v>
      </c>
      <c r="E726" s="3">
        <v>178.15</v>
      </c>
      <c r="F726" s="3">
        <v>179.9</v>
      </c>
    </row>
    <row r="727" spans="1:6" x14ac:dyDescent="0.25">
      <c r="A727" s="1">
        <v>40137</v>
      </c>
      <c r="B727" s="2">
        <v>0.58333333333333337</v>
      </c>
      <c r="C727" s="3">
        <v>180.6</v>
      </c>
      <c r="D727" s="3">
        <v>180.75</v>
      </c>
      <c r="E727" s="3">
        <v>177.7</v>
      </c>
      <c r="F727" s="3">
        <v>178.6</v>
      </c>
    </row>
    <row r="728" spans="1:6" x14ac:dyDescent="0.25">
      <c r="A728" s="1">
        <v>40140</v>
      </c>
      <c r="B728" s="2">
        <v>0.58333333333333337</v>
      </c>
      <c r="C728" s="3">
        <v>179.9</v>
      </c>
      <c r="D728" s="3">
        <v>182.25</v>
      </c>
      <c r="E728" s="3">
        <v>179.9</v>
      </c>
      <c r="F728" s="3">
        <v>180.25</v>
      </c>
    </row>
    <row r="729" spans="1:6" x14ac:dyDescent="0.25">
      <c r="A729" s="1">
        <v>40141</v>
      </c>
      <c r="B729" s="2">
        <v>0.58333333333333337</v>
      </c>
      <c r="C729" s="3">
        <v>180.05</v>
      </c>
      <c r="D729" s="3">
        <v>181.05</v>
      </c>
      <c r="E729" s="3">
        <v>178.65</v>
      </c>
      <c r="F729" s="3">
        <v>179</v>
      </c>
    </row>
    <row r="730" spans="1:6" x14ac:dyDescent="0.25">
      <c r="A730" s="1">
        <v>40142</v>
      </c>
      <c r="B730" s="2">
        <v>0.58333333333333337</v>
      </c>
      <c r="C730" s="3">
        <v>179.75</v>
      </c>
      <c r="D730" s="3">
        <v>182.55</v>
      </c>
      <c r="E730" s="3">
        <v>179.6</v>
      </c>
      <c r="F730" s="3">
        <v>181.75</v>
      </c>
    </row>
    <row r="731" spans="1:6" x14ac:dyDescent="0.25">
      <c r="A731" s="1">
        <v>40144</v>
      </c>
      <c r="B731" s="2">
        <v>0.58333333333333337</v>
      </c>
      <c r="C731" s="3">
        <v>178.75</v>
      </c>
      <c r="D731" s="3">
        <v>181.35</v>
      </c>
      <c r="E731" s="3">
        <v>176.85</v>
      </c>
      <c r="F731" s="3">
        <v>180.9</v>
      </c>
    </row>
    <row r="732" spans="1:6" x14ac:dyDescent="0.25">
      <c r="A732" s="1">
        <v>40147</v>
      </c>
      <c r="B732" s="2">
        <v>0.58333333333333337</v>
      </c>
      <c r="C732" s="3">
        <v>181.6</v>
      </c>
      <c r="D732" s="3">
        <v>186.35</v>
      </c>
      <c r="E732" s="3">
        <v>181.5</v>
      </c>
      <c r="F732" s="3">
        <v>184.85</v>
      </c>
    </row>
    <row r="733" spans="1:6" x14ac:dyDescent="0.25">
      <c r="A733" s="1">
        <v>40148</v>
      </c>
      <c r="B733" s="2">
        <v>0.58333333333333337</v>
      </c>
      <c r="C733" s="3">
        <v>184.85</v>
      </c>
      <c r="D733" s="3">
        <v>187.45</v>
      </c>
      <c r="E733" s="3">
        <v>184.05</v>
      </c>
      <c r="F733" s="3">
        <v>185.55</v>
      </c>
    </row>
    <row r="734" spans="1:6" x14ac:dyDescent="0.25">
      <c r="A734" s="1">
        <v>40149</v>
      </c>
      <c r="B734" s="2">
        <v>0.58333333333333337</v>
      </c>
      <c r="C734" s="3">
        <v>185.85</v>
      </c>
      <c r="D734" s="3">
        <v>187.15</v>
      </c>
      <c r="E734" s="3">
        <v>185.15</v>
      </c>
      <c r="F734" s="3">
        <v>186.55</v>
      </c>
    </row>
    <row r="735" spans="1:6" x14ac:dyDescent="0.25">
      <c r="A735" s="1">
        <v>40150</v>
      </c>
      <c r="B735" s="2">
        <v>0.58333333333333337</v>
      </c>
      <c r="C735" s="3">
        <v>186.85</v>
      </c>
      <c r="D735" s="3">
        <v>188.2</v>
      </c>
      <c r="E735" s="3">
        <v>186.2</v>
      </c>
      <c r="F735" s="3">
        <v>187.5</v>
      </c>
    </row>
    <row r="736" spans="1:6" x14ac:dyDescent="0.25">
      <c r="A736" s="1">
        <v>40151</v>
      </c>
      <c r="B736" s="2">
        <v>0.58333333333333337</v>
      </c>
      <c r="C736" s="3">
        <v>186.85</v>
      </c>
      <c r="D736" s="3">
        <v>187.5</v>
      </c>
      <c r="E736" s="3">
        <v>182.35</v>
      </c>
      <c r="F736" s="3">
        <v>184.2</v>
      </c>
    </row>
    <row r="737" spans="1:6" x14ac:dyDescent="0.25">
      <c r="A737" s="1">
        <v>40154</v>
      </c>
      <c r="B737" s="2">
        <v>0.58333333333333337</v>
      </c>
      <c r="C737" s="3">
        <v>184.85</v>
      </c>
      <c r="D737" s="3">
        <v>190.75</v>
      </c>
      <c r="E737" s="3">
        <v>183.4</v>
      </c>
      <c r="F737" s="3">
        <v>189.45</v>
      </c>
    </row>
    <row r="738" spans="1:6" x14ac:dyDescent="0.25">
      <c r="A738" s="1">
        <v>40155</v>
      </c>
      <c r="B738" s="2">
        <v>0.58333333333333337</v>
      </c>
      <c r="C738" s="3">
        <v>188.85</v>
      </c>
      <c r="D738" s="3">
        <v>189.35</v>
      </c>
      <c r="E738" s="3">
        <v>186.45</v>
      </c>
      <c r="F738" s="3">
        <v>186.75</v>
      </c>
    </row>
    <row r="739" spans="1:6" x14ac:dyDescent="0.25">
      <c r="A739" s="1">
        <v>40156</v>
      </c>
      <c r="B739" s="2">
        <v>0.58333333333333337</v>
      </c>
      <c r="C739" s="3">
        <v>186.95</v>
      </c>
      <c r="D739" s="3">
        <v>189.5</v>
      </c>
      <c r="E739" s="3">
        <v>184.1</v>
      </c>
      <c r="F739" s="3">
        <v>184.5</v>
      </c>
    </row>
    <row r="740" spans="1:6" x14ac:dyDescent="0.25">
      <c r="A740" s="1">
        <v>40157</v>
      </c>
      <c r="B740" s="2">
        <v>0.58333333333333337</v>
      </c>
      <c r="C740" s="3">
        <v>184.55</v>
      </c>
      <c r="D740" s="3">
        <v>187.05</v>
      </c>
      <c r="E740" s="3">
        <v>184.55</v>
      </c>
      <c r="F740" s="3">
        <v>185.55</v>
      </c>
    </row>
    <row r="741" spans="1:6" x14ac:dyDescent="0.25">
      <c r="A741" s="1">
        <v>40158</v>
      </c>
      <c r="B741" s="2">
        <v>0.58333333333333337</v>
      </c>
      <c r="C741" s="3">
        <v>185.6</v>
      </c>
      <c r="D741" s="3">
        <v>187.35</v>
      </c>
      <c r="E741" s="3">
        <v>183.15</v>
      </c>
      <c r="F741" s="3">
        <v>185.5</v>
      </c>
    </row>
    <row r="742" spans="1:6" x14ac:dyDescent="0.25">
      <c r="A742" s="1">
        <v>40161</v>
      </c>
      <c r="B742" s="2">
        <v>0.58333333333333337</v>
      </c>
      <c r="C742" s="3">
        <v>186.05</v>
      </c>
      <c r="D742" s="3">
        <v>189.45</v>
      </c>
      <c r="E742" s="3">
        <v>185.7</v>
      </c>
      <c r="F742" s="3">
        <v>188.75</v>
      </c>
    </row>
    <row r="743" spans="1:6" x14ac:dyDescent="0.25">
      <c r="A743" s="1">
        <v>40162</v>
      </c>
      <c r="B743" s="2">
        <v>0.58333333333333337</v>
      </c>
      <c r="C743" s="3">
        <v>188.75</v>
      </c>
      <c r="D743" s="3">
        <v>192.25</v>
      </c>
      <c r="E743" s="3">
        <v>187.55</v>
      </c>
      <c r="F743" s="3">
        <v>190.1</v>
      </c>
    </row>
    <row r="744" spans="1:6" x14ac:dyDescent="0.25">
      <c r="A744" s="1">
        <v>40163</v>
      </c>
      <c r="B744" s="2">
        <v>0.58333333333333337</v>
      </c>
      <c r="C744" s="3">
        <v>190.45</v>
      </c>
      <c r="D744" s="3">
        <v>192.35</v>
      </c>
      <c r="E744" s="3">
        <v>190.45</v>
      </c>
      <c r="F744" s="3">
        <v>191.15</v>
      </c>
    </row>
    <row r="745" spans="1:6" x14ac:dyDescent="0.25">
      <c r="A745" s="1">
        <v>40164</v>
      </c>
      <c r="B745" s="2">
        <v>0.58333333333333337</v>
      </c>
      <c r="C745" s="3">
        <v>190.55</v>
      </c>
      <c r="D745" s="3">
        <v>191.05</v>
      </c>
      <c r="E745" s="3">
        <v>187.75</v>
      </c>
      <c r="F745" s="3">
        <v>189.05</v>
      </c>
    </row>
    <row r="746" spans="1:6" x14ac:dyDescent="0.25">
      <c r="A746" s="1">
        <v>40165</v>
      </c>
      <c r="B746" s="2">
        <v>0.58333333333333337</v>
      </c>
      <c r="C746" s="3">
        <v>189.4</v>
      </c>
      <c r="D746" s="3">
        <v>190.4</v>
      </c>
      <c r="E746" s="3">
        <v>186.15</v>
      </c>
      <c r="F746" s="3">
        <v>188.1</v>
      </c>
    </row>
    <row r="747" spans="1:6" x14ac:dyDescent="0.25">
      <c r="A747" s="1">
        <v>40168</v>
      </c>
      <c r="B747" s="2">
        <v>0.58333333333333337</v>
      </c>
      <c r="C747" s="3">
        <v>189.25</v>
      </c>
      <c r="D747" s="3">
        <v>190.1</v>
      </c>
      <c r="E747" s="3">
        <v>188</v>
      </c>
      <c r="F747" s="3">
        <v>188.45</v>
      </c>
    </row>
    <row r="748" spans="1:6" x14ac:dyDescent="0.25">
      <c r="A748" s="1">
        <v>40169</v>
      </c>
      <c r="B748" s="2">
        <v>0.58333333333333337</v>
      </c>
      <c r="C748" s="3">
        <v>188.35</v>
      </c>
      <c r="D748" s="3">
        <v>188.6</v>
      </c>
      <c r="E748" s="3">
        <v>183.55</v>
      </c>
      <c r="F748" s="3">
        <v>185.3</v>
      </c>
    </row>
    <row r="749" spans="1:6" x14ac:dyDescent="0.25">
      <c r="A749" s="1">
        <v>40170</v>
      </c>
      <c r="B749" s="2">
        <v>0.58333333333333337</v>
      </c>
      <c r="C749" s="3">
        <v>185.15</v>
      </c>
      <c r="D749" s="3">
        <v>186.25</v>
      </c>
      <c r="E749" s="3">
        <v>183.9</v>
      </c>
      <c r="F749" s="3">
        <v>185.5</v>
      </c>
    </row>
    <row r="750" spans="1:6" x14ac:dyDescent="0.25">
      <c r="A750" s="1">
        <v>40171</v>
      </c>
      <c r="B750" s="2">
        <v>0.58333333333333337</v>
      </c>
      <c r="C750" s="3">
        <v>186.1</v>
      </c>
      <c r="D750" s="3">
        <v>186.4</v>
      </c>
      <c r="E750" s="3">
        <v>181.95</v>
      </c>
      <c r="F750" s="3">
        <v>182.15</v>
      </c>
    </row>
    <row r="751" spans="1:6" x14ac:dyDescent="0.25">
      <c r="A751" s="1">
        <v>40175</v>
      </c>
      <c r="B751" s="2">
        <v>0.58333333333333337</v>
      </c>
      <c r="C751" s="3">
        <v>182.7</v>
      </c>
      <c r="D751" s="3">
        <v>183.45</v>
      </c>
      <c r="E751" s="3">
        <v>179.7</v>
      </c>
      <c r="F751" s="3">
        <v>179.8</v>
      </c>
    </row>
    <row r="752" spans="1:6" x14ac:dyDescent="0.25">
      <c r="A752" s="1">
        <v>40176</v>
      </c>
      <c r="B752" s="2">
        <v>0.58333333333333337</v>
      </c>
      <c r="C752" s="3">
        <v>180.1</v>
      </c>
      <c r="D752" s="3">
        <v>181.85</v>
      </c>
      <c r="E752" s="3">
        <v>179.15</v>
      </c>
      <c r="F752" s="3">
        <v>179.2</v>
      </c>
    </row>
    <row r="753" spans="1:6" x14ac:dyDescent="0.25">
      <c r="A753" s="1">
        <v>40177</v>
      </c>
      <c r="B753" s="2">
        <v>0.58333333333333337</v>
      </c>
      <c r="C753" s="3">
        <v>179.35</v>
      </c>
      <c r="D753" s="3">
        <v>181</v>
      </c>
      <c r="E753" s="3">
        <v>178.85</v>
      </c>
      <c r="F753" s="3">
        <v>179.5</v>
      </c>
    </row>
    <row r="754" spans="1:6" x14ac:dyDescent="0.25">
      <c r="A754" s="1">
        <v>40178</v>
      </c>
      <c r="B754" s="2">
        <v>0.58333333333333337</v>
      </c>
      <c r="C754" s="3">
        <v>180.8</v>
      </c>
      <c r="D754" s="3">
        <v>181.05</v>
      </c>
      <c r="E754" s="3">
        <v>178.65</v>
      </c>
      <c r="F754" s="3">
        <v>178.8</v>
      </c>
    </row>
    <row r="755" spans="1:6" x14ac:dyDescent="0.25">
      <c r="A755" s="1">
        <v>40182</v>
      </c>
      <c r="B755" s="2">
        <v>0.58333333333333337</v>
      </c>
      <c r="C755" s="3">
        <v>178.85</v>
      </c>
      <c r="D755" s="3">
        <v>185.3</v>
      </c>
      <c r="E755" s="3">
        <v>178.85</v>
      </c>
      <c r="F755" s="3">
        <v>184.7</v>
      </c>
    </row>
    <row r="756" spans="1:6" x14ac:dyDescent="0.25">
      <c r="A756" s="1">
        <v>40183</v>
      </c>
      <c r="B756" s="2">
        <v>0.58333333333333337</v>
      </c>
      <c r="C756" s="3">
        <v>184.7</v>
      </c>
      <c r="D756" s="3">
        <v>185.55</v>
      </c>
      <c r="E756" s="3">
        <v>183.25</v>
      </c>
      <c r="F756" s="3">
        <v>183.85</v>
      </c>
    </row>
    <row r="757" spans="1:6" x14ac:dyDescent="0.25">
      <c r="A757" s="1">
        <v>40184</v>
      </c>
      <c r="B757" s="2">
        <v>0.58333333333333337</v>
      </c>
      <c r="C757" s="3">
        <v>184.45</v>
      </c>
      <c r="D757" s="3">
        <v>185.5</v>
      </c>
      <c r="E757" s="3">
        <v>182.9</v>
      </c>
      <c r="F757" s="3">
        <v>184.45</v>
      </c>
    </row>
    <row r="758" spans="1:6" x14ac:dyDescent="0.25">
      <c r="A758" s="1">
        <v>40185</v>
      </c>
      <c r="B758" s="2">
        <v>0.58333333333333337</v>
      </c>
      <c r="C758" s="3">
        <v>184.4</v>
      </c>
      <c r="D758" s="3">
        <v>185.25</v>
      </c>
      <c r="E758" s="3">
        <v>182.7</v>
      </c>
      <c r="F758" s="3">
        <v>184.75</v>
      </c>
    </row>
    <row r="759" spans="1:6" x14ac:dyDescent="0.25">
      <c r="A759" s="1">
        <v>40186</v>
      </c>
      <c r="B759" s="2">
        <v>0.58333333333333337</v>
      </c>
      <c r="C759" s="3">
        <v>185.3</v>
      </c>
      <c r="D759" s="3">
        <v>188.85</v>
      </c>
      <c r="E759" s="3">
        <v>184.8</v>
      </c>
      <c r="F759" s="3">
        <v>188.2</v>
      </c>
    </row>
    <row r="760" spans="1:6" x14ac:dyDescent="0.25">
      <c r="A760" s="1">
        <v>40189</v>
      </c>
      <c r="B760" s="2">
        <v>0.58333333333333337</v>
      </c>
      <c r="C760" s="3">
        <v>188.7</v>
      </c>
      <c r="D760" s="3">
        <v>189.8</v>
      </c>
      <c r="E760" s="3">
        <v>185.4</v>
      </c>
      <c r="F760" s="3">
        <v>186.55</v>
      </c>
    </row>
    <row r="761" spans="1:6" x14ac:dyDescent="0.25">
      <c r="A761" s="1">
        <v>40190</v>
      </c>
      <c r="B761" s="2">
        <v>0.58333333333333337</v>
      </c>
      <c r="C761" s="3">
        <v>186.85</v>
      </c>
      <c r="D761" s="3">
        <v>187.7</v>
      </c>
      <c r="E761" s="3">
        <v>185.35</v>
      </c>
      <c r="F761" s="3">
        <v>185.95</v>
      </c>
    </row>
    <row r="762" spans="1:6" x14ac:dyDescent="0.25">
      <c r="A762" s="1">
        <v>40191</v>
      </c>
      <c r="B762" s="2">
        <v>0.58333333333333337</v>
      </c>
      <c r="C762" s="3">
        <v>185.8</v>
      </c>
      <c r="D762" s="3">
        <v>188.9</v>
      </c>
      <c r="E762" s="3">
        <v>185.6</v>
      </c>
      <c r="F762" s="3">
        <v>188</v>
      </c>
    </row>
    <row r="763" spans="1:6" x14ac:dyDescent="0.25">
      <c r="A763" s="1">
        <v>40192</v>
      </c>
      <c r="B763" s="2">
        <v>0.58333333333333337</v>
      </c>
      <c r="C763" s="3">
        <v>188</v>
      </c>
      <c r="D763" s="3">
        <v>188.55</v>
      </c>
      <c r="E763" s="3">
        <v>186.4</v>
      </c>
      <c r="F763" s="3">
        <v>187.2</v>
      </c>
    </row>
    <row r="764" spans="1:6" x14ac:dyDescent="0.25">
      <c r="A764" s="1">
        <v>40193</v>
      </c>
      <c r="B764" s="2">
        <v>0.58333333333333337</v>
      </c>
      <c r="C764" s="3">
        <v>186.7</v>
      </c>
      <c r="D764" s="3">
        <v>187.4</v>
      </c>
      <c r="E764" s="3">
        <v>183.25</v>
      </c>
      <c r="F764" s="3">
        <v>183.6</v>
      </c>
    </row>
    <row r="765" spans="1:6" x14ac:dyDescent="0.25">
      <c r="A765" s="1">
        <v>40197</v>
      </c>
      <c r="B765" s="2">
        <v>0.58333333333333337</v>
      </c>
      <c r="C765" s="3">
        <v>183.85</v>
      </c>
      <c r="D765" s="3">
        <v>185.1</v>
      </c>
      <c r="E765" s="3">
        <v>183</v>
      </c>
      <c r="F765" s="3">
        <v>183.75</v>
      </c>
    </row>
    <row r="766" spans="1:6" x14ac:dyDescent="0.25">
      <c r="A766" s="1">
        <v>40198</v>
      </c>
      <c r="B766" s="2">
        <v>0.58333333333333337</v>
      </c>
      <c r="C766" s="3">
        <v>183.35</v>
      </c>
      <c r="D766" s="3">
        <v>183.35</v>
      </c>
      <c r="E766" s="3">
        <v>181.3</v>
      </c>
      <c r="F766" s="3">
        <v>182.05</v>
      </c>
    </row>
    <row r="767" spans="1:6" x14ac:dyDescent="0.25">
      <c r="A767" s="1">
        <v>40199</v>
      </c>
      <c r="B767" s="2">
        <v>0.58333333333333337</v>
      </c>
      <c r="C767" s="3">
        <v>182.3</v>
      </c>
      <c r="D767" s="3">
        <v>183</v>
      </c>
      <c r="E767" s="3">
        <v>180.4</v>
      </c>
      <c r="F767" s="3">
        <v>181.55</v>
      </c>
    </row>
    <row r="768" spans="1:6" x14ac:dyDescent="0.25">
      <c r="A768" s="1">
        <v>40200</v>
      </c>
      <c r="B768" s="2">
        <v>0.58333333333333337</v>
      </c>
      <c r="C768" s="3">
        <v>181.6</v>
      </c>
      <c r="D768" s="3">
        <v>184.1</v>
      </c>
      <c r="E768" s="3">
        <v>180.15</v>
      </c>
      <c r="F768" s="3">
        <v>182.45</v>
      </c>
    </row>
    <row r="769" spans="1:6" x14ac:dyDescent="0.25">
      <c r="A769" s="1">
        <v>40203</v>
      </c>
      <c r="B769" s="2">
        <v>0.58333333333333337</v>
      </c>
      <c r="C769" s="3">
        <v>182.65</v>
      </c>
      <c r="D769" s="3">
        <v>183.25</v>
      </c>
      <c r="E769" s="3">
        <v>181.4</v>
      </c>
      <c r="F769" s="3">
        <v>182.25</v>
      </c>
    </row>
    <row r="770" spans="1:6" x14ac:dyDescent="0.25">
      <c r="A770" s="1">
        <v>40204</v>
      </c>
      <c r="B770" s="2">
        <v>0.58333333333333337</v>
      </c>
      <c r="C770" s="3">
        <v>181.9</v>
      </c>
      <c r="D770" s="3">
        <v>182.05</v>
      </c>
      <c r="E770" s="3">
        <v>179.85</v>
      </c>
      <c r="F770" s="3">
        <v>181.1</v>
      </c>
    </row>
    <row r="771" spans="1:6" x14ac:dyDescent="0.25">
      <c r="A771" s="1">
        <v>40205</v>
      </c>
      <c r="B771" s="2">
        <v>0.58333333333333337</v>
      </c>
      <c r="C771" s="3">
        <v>180.85</v>
      </c>
      <c r="D771" s="3">
        <v>181.85</v>
      </c>
      <c r="E771" s="3">
        <v>176.2</v>
      </c>
      <c r="F771" s="3">
        <v>176.4</v>
      </c>
    </row>
    <row r="772" spans="1:6" x14ac:dyDescent="0.25">
      <c r="A772" s="1">
        <v>40206</v>
      </c>
      <c r="B772" s="2">
        <v>0.58333333333333337</v>
      </c>
      <c r="C772" s="3">
        <v>176.8</v>
      </c>
      <c r="D772" s="3">
        <v>177.75</v>
      </c>
      <c r="E772" s="3">
        <v>174.9</v>
      </c>
      <c r="F772" s="3">
        <v>175.8</v>
      </c>
    </row>
    <row r="773" spans="1:6" x14ac:dyDescent="0.25">
      <c r="A773" s="1">
        <v>40207</v>
      </c>
      <c r="B773" s="2">
        <v>0.58333333333333337</v>
      </c>
      <c r="C773" s="3">
        <v>175.45</v>
      </c>
      <c r="D773" s="3">
        <v>176.75</v>
      </c>
      <c r="E773" s="3">
        <v>174.45</v>
      </c>
      <c r="F773" s="3">
        <v>174.55</v>
      </c>
    </row>
    <row r="774" spans="1:6" x14ac:dyDescent="0.25">
      <c r="A774" s="1">
        <v>40210</v>
      </c>
      <c r="B774" s="2">
        <v>0.58333333333333337</v>
      </c>
      <c r="C774" s="3">
        <v>174.85</v>
      </c>
      <c r="D774" s="3">
        <v>176.05</v>
      </c>
      <c r="E774" s="3">
        <v>174.05</v>
      </c>
      <c r="F774" s="3">
        <v>175.4</v>
      </c>
    </row>
    <row r="775" spans="1:6" x14ac:dyDescent="0.25">
      <c r="A775" s="1">
        <v>40211</v>
      </c>
      <c r="B775" s="2">
        <v>0.58333333333333337</v>
      </c>
      <c r="C775" s="3">
        <v>175.7</v>
      </c>
      <c r="D775" s="3">
        <v>178.5</v>
      </c>
      <c r="E775" s="3">
        <v>175.05</v>
      </c>
      <c r="F775" s="3">
        <v>177.9</v>
      </c>
    </row>
    <row r="776" spans="1:6" x14ac:dyDescent="0.25">
      <c r="A776" s="1">
        <v>40212</v>
      </c>
      <c r="B776" s="2">
        <v>0.58333333333333337</v>
      </c>
      <c r="C776" s="3">
        <v>178.3</v>
      </c>
      <c r="D776" s="3">
        <v>178.8</v>
      </c>
      <c r="E776" s="3">
        <v>175.25</v>
      </c>
      <c r="F776" s="3">
        <v>175.85</v>
      </c>
    </row>
    <row r="777" spans="1:6" x14ac:dyDescent="0.25">
      <c r="A777" s="1">
        <v>40213</v>
      </c>
      <c r="B777" s="2">
        <v>0.58333333333333337</v>
      </c>
      <c r="C777" s="3">
        <v>175.6</v>
      </c>
      <c r="D777" s="3">
        <v>176</v>
      </c>
      <c r="E777" s="3">
        <v>172.9</v>
      </c>
      <c r="F777" s="3">
        <v>174.4</v>
      </c>
    </row>
    <row r="778" spans="1:6" x14ac:dyDescent="0.25">
      <c r="A778" s="1">
        <v>40214</v>
      </c>
      <c r="B778" s="2">
        <v>0.58333333333333337</v>
      </c>
      <c r="C778" s="3">
        <v>174.3</v>
      </c>
      <c r="D778" s="3">
        <v>174.7</v>
      </c>
      <c r="E778" s="3">
        <v>171.35</v>
      </c>
      <c r="F778" s="3">
        <v>171.65</v>
      </c>
    </row>
    <row r="779" spans="1:6" x14ac:dyDescent="0.25">
      <c r="A779" s="1">
        <v>40217</v>
      </c>
      <c r="B779" s="2">
        <v>0.58333333333333337</v>
      </c>
      <c r="C779" s="3">
        <v>172.2</v>
      </c>
      <c r="D779" s="3">
        <v>174.45</v>
      </c>
      <c r="E779" s="3">
        <v>171.35</v>
      </c>
      <c r="F779" s="3">
        <v>173.5</v>
      </c>
    </row>
    <row r="780" spans="1:6" x14ac:dyDescent="0.25">
      <c r="A780" s="1">
        <v>40218</v>
      </c>
      <c r="B780" s="2">
        <v>0.58333333333333337</v>
      </c>
      <c r="C780" s="3">
        <v>173.3</v>
      </c>
      <c r="D780" s="3">
        <v>175.05</v>
      </c>
      <c r="E780" s="3">
        <v>172.3</v>
      </c>
      <c r="F780" s="3">
        <v>173.25</v>
      </c>
    </row>
    <row r="781" spans="1:6" x14ac:dyDescent="0.25">
      <c r="A781" s="1">
        <v>40219</v>
      </c>
      <c r="B781" s="2">
        <v>0.58333333333333337</v>
      </c>
      <c r="C781" s="3">
        <v>172.95</v>
      </c>
      <c r="D781" s="3">
        <v>175.5</v>
      </c>
      <c r="E781" s="3">
        <v>172.25</v>
      </c>
      <c r="F781" s="3">
        <v>175.05</v>
      </c>
    </row>
    <row r="782" spans="1:6" x14ac:dyDescent="0.25">
      <c r="A782" s="1">
        <v>40220</v>
      </c>
      <c r="B782" s="2">
        <v>0.58333333333333337</v>
      </c>
      <c r="C782" s="3">
        <v>175.05</v>
      </c>
      <c r="D782" s="3">
        <v>176.7</v>
      </c>
      <c r="E782" s="3">
        <v>174.35</v>
      </c>
      <c r="F782" s="3">
        <v>174.9</v>
      </c>
    </row>
    <row r="783" spans="1:6" x14ac:dyDescent="0.25">
      <c r="A783" s="1">
        <v>40221</v>
      </c>
      <c r="B783" s="2">
        <v>0.58333333333333337</v>
      </c>
      <c r="C783" s="3">
        <v>174.75</v>
      </c>
      <c r="D783" s="3">
        <v>176</v>
      </c>
      <c r="E783" s="3">
        <v>172.7</v>
      </c>
      <c r="F783" s="3">
        <v>175.55</v>
      </c>
    </row>
    <row r="784" spans="1:6" x14ac:dyDescent="0.25">
      <c r="A784" s="1">
        <v>40225</v>
      </c>
      <c r="B784" s="2">
        <v>0.58333333333333337</v>
      </c>
      <c r="C784" s="3">
        <v>175.95</v>
      </c>
      <c r="D784" s="3">
        <v>177.7</v>
      </c>
      <c r="E784" s="3">
        <v>174.85</v>
      </c>
      <c r="F784" s="3">
        <v>176.3</v>
      </c>
    </row>
    <row r="785" spans="1:6" x14ac:dyDescent="0.25">
      <c r="A785" s="1">
        <v>40226</v>
      </c>
      <c r="B785" s="2">
        <v>0.58333333333333337</v>
      </c>
      <c r="C785" s="3">
        <v>176.5</v>
      </c>
      <c r="D785" s="3">
        <v>176.9</v>
      </c>
      <c r="E785" s="3">
        <v>174.85</v>
      </c>
      <c r="F785" s="3">
        <v>175.9</v>
      </c>
    </row>
    <row r="786" spans="1:6" x14ac:dyDescent="0.25">
      <c r="A786" s="1">
        <v>40227</v>
      </c>
      <c r="B786" s="2">
        <v>0.58333333333333337</v>
      </c>
      <c r="C786" s="3">
        <v>175.5</v>
      </c>
      <c r="D786" s="3">
        <v>178.6</v>
      </c>
      <c r="E786" s="3">
        <v>175.3</v>
      </c>
      <c r="F786" s="3">
        <v>177.65</v>
      </c>
    </row>
    <row r="787" spans="1:6" x14ac:dyDescent="0.25">
      <c r="A787" s="1">
        <v>40228</v>
      </c>
      <c r="B787" s="2">
        <v>0.58333333333333337</v>
      </c>
      <c r="C787" s="3">
        <v>176.75</v>
      </c>
      <c r="D787" s="3">
        <v>178.4</v>
      </c>
      <c r="E787" s="3">
        <v>176</v>
      </c>
      <c r="F787" s="3">
        <v>178.3</v>
      </c>
    </row>
    <row r="788" spans="1:6" x14ac:dyDescent="0.25">
      <c r="A788" s="1">
        <v>40231</v>
      </c>
      <c r="B788" s="2">
        <v>0.58333333333333337</v>
      </c>
      <c r="C788" s="3">
        <v>177.9</v>
      </c>
      <c r="D788" s="3">
        <v>178.25</v>
      </c>
      <c r="E788" s="3">
        <v>172.55</v>
      </c>
      <c r="F788" s="3">
        <v>173.15</v>
      </c>
    </row>
    <row r="789" spans="1:6" x14ac:dyDescent="0.25">
      <c r="A789" s="1">
        <v>40232</v>
      </c>
      <c r="B789" s="2">
        <v>0.58333333333333337</v>
      </c>
      <c r="C789" s="3">
        <v>173.25</v>
      </c>
      <c r="D789" s="3">
        <v>174.05</v>
      </c>
      <c r="E789" s="3">
        <v>172.55</v>
      </c>
      <c r="F789" s="3">
        <v>173.5</v>
      </c>
    </row>
    <row r="790" spans="1:6" x14ac:dyDescent="0.25">
      <c r="A790" s="1">
        <v>40233</v>
      </c>
      <c r="B790" s="2">
        <v>0.58333333333333337</v>
      </c>
      <c r="C790" s="3">
        <v>173.6</v>
      </c>
      <c r="D790" s="3">
        <v>174.55</v>
      </c>
      <c r="E790" s="3">
        <v>173.05</v>
      </c>
      <c r="F790" s="3">
        <v>174.1</v>
      </c>
    </row>
    <row r="791" spans="1:6" x14ac:dyDescent="0.25">
      <c r="A791" s="1">
        <v>40234</v>
      </c>
      <c r="B791" s="2">
        <v>0.58333333333333337</v>
      </c>
      <c r="C791" s="3">
        <v>173.15</v>
      </c>
      <c r="D791" s="3">
        <v>173.55</v>
      </c>
      <c r="E791" s="3">
        <v>169.5</v>
      </c>
      <c r="F791" s="3">
        <v>171.05</v>
      </c>
    </row>
    <row r="792" spans="1:6" x14ac:dyDescent="0.25">
      <c r="A792" s="1">
        <v>40235</v>
      </c>
      <c r="B792" s="2">
        <v>0.58333333333333337</v>
      </c>
      <c r="C792" s="3">
        <v>171.5</v>
      </c>
      <c r="D792" s="3">
        <v>173.45</v>
      </c>
      <c r="E792" s="3">
        <v>171.2</v>
      </c>
      <c r="F792" s="3">
        <v>172.45</v>
      </c>
    </row>
    <row r="793" spans="1:6" x14ac:dyDescent="0.25">
      <c r="A793" s="1">
        <v>40238</v>
      </c>
      <c r="B793" s="2">
        <v>0.58333333333333337</v>
      </c>
      <c r="C793" s="3">
        <v>172.45</v>
      </c>
      <c r="D793" s="3">
        <v>174.3</v>
      </c>
      <c r="E793" s="3">
        <v>171.45</v>
      </c>
      <c r="F793" s="3">
        <v>173</v>
      </c>
    </row>
    <row r="794" spans="1:6" x14ac:dyDescent="0.25">
      <c r="A794" s="1">
        <v>40239</v>
      </c>
      <c r="B794" s="2">
        <v>0.58333333333333337</v>
      </c>
      <c r="C794" s="3">
        <v>172.5</v>
      </c>
      <c r="D794" s="3">
        <v>174.1</v>
      </c>
      <c r="E794" s="3">
        <v>172.05</v>
      </c>
      <c r="F794" s="3">
        <v>173.55</v>
      </c>
    </row>
    <row r="795" spans="1:6" x14ac:dyDescent="0.25">
      <c r="A795" s="1">
        <v>40240</v>
      </c>
      <c r="B795" s="2">
        <v>0.58333333333333337</v>
      </c>
      <c r="C795" s="3">
        <v>172.95</v>
      </c>
      <c r="D795" s="3">
        <v>173.95</v>
      </c>
      <c r="E795" s="3">
        <v>171.5</v>
      </c>
      <c r="F795" s="3">
        <v>173.35</v>
      </c>
    </row>
    <row r="796" spans="1:6" x14ac:dyDescent="0.25">
      <c r="A796" s="1">
        <v>40241</v>
      </c>
      <c r="B796" s="2">
        <v>0.58333333333333337</v>
      </c>
      <c r="C796" s="3">
        <v>173.05</v>
      </c>
      <c r="D796" s="3">
        <v>173.4</v>
      </c>
      <c r="E796" s="3">
        <v>169.95</v>
      </c>
      <c r="F796" s="3">
        <v>171.45</v>
      </c>
    </row>
    <row r="797" spans="1:6" x14ac:dyDescent="0.25">
      <c r="A797" s="1">
        <v>40242</v>
      </c>
      <c r="B797" s="2">
        <v>0.58333333333333337</v>
      </c>
      <c r="C797" s="3">
        <v>171.65</v>
      </c>
      <c r="D797" s="3">
        <v>172.5</v>
      </c>
      <c r="E797" s="3">
        <v>171.25</v>
      </c>
      <c r="F797" s="3">
        <v>171.65</v>
      </c>
    </row>
    <row r="798" spans="1:6" x14ac:dyDescent="0.25">
      <c r="A798" s="1">
        <v>40245</v>
      </c>
      <c r="B798" s="2">
        <v>0.58333333333333337</v>
      </c>
      <c r="C798" s="3">
        <v>171.65</v>
      </c>
      <c r="D798" s="3">
        <v>173.2</v>
      </c>
      <c r="E798" s="3">
        <v>171.25</v>
      </c>
      <c r="F798" s="3">
        <v>172.35</v>
      </c>
    </row>
    <row r="799" spans="1:6" x14ac:dyDescent="0.25">
      <c r="A799" s="1">
        <v>40246</v>
      </c>
      <c r="B799" s="2">
        <v>0.58333333333333337</v>
      </c>
      <c r="C799" s="3">
        <v>172.2</v>
      </c>
      <c r="D799" s="3">
        <v>175.5</v>
      </c>
      <c r="E799" s="3">
        <v>171.35</v>
      </c>
      <c r="F799" s="3">
        <v>174</v>
      </c>
    </row>
    <row r="800" spans="1:6" x14ac:dyDescent="0.25">
      <c r="A800" s="1">
        <v>40247</v>
      </c>
      <c r="B800" s="2">
        <v>0.58333333333333337</v>
      </c>
      <c r="C800" s="3">
        <v>173.75</v>
      </c>
      <c r="D800" s="3">
        <v>175</v>
      </c>
      <c r="E800" s="3">
        <v>172.65</v>
      </c>
      <c r="F800" s="3">
        <v>174</v>
      </c>
    </row>
    <row r="801" spans="1:6" x14ac:dyDescent="0.25">
      <c r="A801" s="1">
        <v>40248</v>
      </c>
      <c r="B801" s="2">
        <v>0.58333333333333337</v>
      </c>
      <c r="C801" s="3">
        <v>173.7</v>
      </c>
      <c r="D801" s="3">
        <v>175.25</v>
      </c>
      <c r="E801" s="3">
        <v>173.7</v>
      </c>
      <c r="F801" s="3">
        <v>175</v>
      </c>
    </row>
    <row r="802" spans="1:6" x14ac:dyDescent="0.25">
      <c r="A802" s="1">
        <v>40249</v>
      </c>
      <c r="B802" s="2">
        <v>0.58333333333333337</v>
      </c>
      <c r="C802" s="3">
        <v>175.25</v>
      </c>
      <c r="D802" s="3">
        <v>176.45</v>
      </c>
      <c r="E802" s="3">
        <v>173</v>
      </c>
      <c r="F802" s="3">
        <v>173.75</v>
      </c>
    </row>
    <row r="803" spans="1:6" x14ac:dyDescent="0.25">
      <c r="A803" s="1">
        <v>40252</v>
      </c>
      <c r="B803" s="2">
        <v>0.58333333333333337</v>
      </c>
      <c r="C803" s="3">
        <v>173.65</v>
      </c>
      <c r="D803" s="3">
        <v>174.15</v>
      </c>
      <c r="E803" s="3">
        <v>170.95</v>
      </c>
      <c r="F803" s="3">
        <v>172.3</v>
      </c>
    </row>
    <row r="804" spans="1:6" x14ac:dyDescent="0.25">
      <c r="A804" s="1">
        <v>40253</v>
      </c>
      <c r="B804" s="2">
        <v>0.58333333333333337</v>
      </c>
      <c r="C804" s="3">
        <v>172.5</v>
      </c>
      <c r="D804" s="3">
        <v>174.65</v>
      </c>
      <c r="E804" s="3">
        <v>171.85</v>
      </c>
      <c r="F804" s="3">
        <v>174</v>
      </c>
    </row>
    <row r="805" spans="1:6" x14ac:dyDescent="0.25">
      <c r="A805" s="1">
        <v>40254</v>
      </c>
      <c r="B805" s="2">
        <v>0.58333333333333337</v>
      </c>
      <c r="C805" s="3">
        <v>174.25</v>
      </c>
      <c r="D805" s="3">
        <v>175.1</v>
      </c>
      <c r="E805" s="3">
        <v>173.75</v>
      </c>
      <c r="F805" s="3">
        <v>174.85</v>
      </c>
    </row>
    <row r="806" spans="1:6" x14ac:dyDescent="0.25">
      <c r="A806" s="1">
        <v>40255</v>
      </c>
      <c r="B806" s="2">
        <v>0.58333333333333337</v>
      </c>
      <c r="C806" s="3">
        <v>174.65</v>
      </c>
      <c r="D806" s="3">
        <v>178.05</v>
      </c>
      <c r="E806" s="3">
        <v>173.9</v>
      </c>
      <c r="F806" s="3">
        <v>176.8</v>
      </c>
    </row>
    <row r="807" spans="1:6" x14ac:dyDescent="0.25">
      <c r="A807" s="1">
        <v>40256</v>
      </c>
      <c r="B807" s="2">
        <v>0.58333333333333337</v>
      </c>
      <c r="C807" s="3">
        <v>176.55</v>
      </c>
      <c r="D807" s="3">
        <v>177</v>
      </c>
      <c r="E807" s="3">
        <v>171.9</v>
      </c>
      <c r="F807" s="3">
        <v>173.75</v>
      </c>
    </row>
    <row r="808" spans="1:6" x14ac:dyDescent="0.25">
      <c r="A808" s="1">
        <v>40259</v>
      </c>
      <c r="B808" s="2">
        <v>0.58333333333333337</v>
      </c>
      <c r="C808" s="3">
        <v>173.35</v>
      </c>
      <c r="D808" s="3">
        <v>174.9</v>
      </c>
      <c r="E808" s="3">
        <v>172.1</v>
      </c>
      <c r="F808" s="3">
        <v>174.25</v>
      </c>
    </row>
    <row r="809" spans="1:6" x14ac:dyDescent="0.25">
      <c r="A809" s="1">
        <v>40260</v>
      </c>
      <c r="B809" s="2">
        <v>0.58333333333333337</v>
      </c>
      <c r="C809" s="3">
        <v>174.25</v>
      </c>
      <c r="D809" s="3">
        <v>176.25</v>
      </c>
      <c r="E809" s="3">
        <v>173.65</v>
      </c>
      <c r="F809" s="3">
        <v>176</v>
      </c>
    </row>
    <row r="810" spans="1:6" x14ac:dyDescent="0.25">
      <c r="A810" s="1">
        <v>40261</v>
      </c>
      <c r="B810" s="2">
        <v>0.58333333333333337</v>
      </c>
      <c r="C810" s="3">
        <v>175.7</v>
      </c>
      <c r="D810" s="3">
        <v>176.45</v>
      </c>
      <c r="E810" s="3">
        <v>174.55</v>
      </c>
      <c r="F810" s="3">
        <v>175.55</v>
      </c>
    </row>
    <row r="811" spans="1:6" x14ac:dyDescent="0.25">
      <c r="A811" s="1">
        <v>40262</v>
      </c>
      <c r="B811" s="2">
        <v>0.58333333333333337</v>
      </c>
      <c r="C811" s="3">
        <v>175.55</v>
      </c>
      <c r="D811" s="3">
        <v>178.7</v>
      </c>
      <c r="E811" s="3">
        <v>175.4</v>
      </c>
      <c r="F811" s="3">
        <v>178.25</v>
      </c>
    </row>
    <row r="812" spans="1:6" x14ac:dyDescent="0.25">
      <c r="A812" s="1">
        <v>40263</v>
      </c>
      <c r="B812" s="2">
        <v>0.58333333333333337</v>
      </c>
      <c r="C812" s="3">
        <v>178.1</v>
      </c>
      <c r="D812" s="3">
        <v>179.2</v>
      </c>
      <c r="E812" s="3">
        <v>176.6</v>
      </c>
      <c r="F812" s="3">
        <v>177.1</v>
      </c>
    </row>
    <row r="813" spans="1:6" x14ac:dyDescent="0.25">
      <c r="A813" s="1">
        <v>40266</v>
      </c>
      <c r="B813" s="2">
        <v>0.58333333333333337</v>
      </c>
      <c r="C813" s="3">
        <v>177.2</v>
      </c>
      <c r="D813" s="3">
        <v>179.8</v>
      </c>
      <c r="E813" s="3">
        <v>177.1</v>
      </c>
      <c r="F813" s="3">
        <v>179.4</v>
      </c>
    </row>
    <row r="814" spans="1:6" x14ac:dyDescent="0.25">
      <c r="A814" s="1">
        <v>40267</v>
      </c>
      <c r="B814" s="2">
        <v>0.58333333333333337</v>
      </c>
      <c r="C814" s="3">
        <v>179.5</v>
      </c>
      <c r="D814" s="3">
        <v>180.25</v>
      </c>
      <c r="E814" s="3">
        <v>178.55</v>
      </c>
      <c r="F814" s="3">
        <v>180.2</v>
      </c>
    </row>
    <row r="815" spans="1:6" x14ac:dyDescent="0.25">
      <c r="A815" s="1">
        <v>40268</v>
      </c>
      <c r="B815" s="2">
        <v>0.58333333333333337</v>
      </c>
      <c r="C815" s="3">
        <v>180.25</v>
      </c>
      <c r="D815" s="3">
        <v>180.3</v>
      </c>
      <c r="E815" s="3">
        <v>175.95</v>
      </c>
      <c r="F815" s="3">
        <v>177.4</v>
      </c>
    </row>
    <row r="816" spans="1:6" x14ac:dyDescent="0.25">
      <c r="A816" s="1">
        <v>40269</v>
      </c>
      <c r="B816" s="2">
        <v>0.58333333333333337</v>
      </c>
      <c r="C816" s="3">
        <v>177.8</v>
      </c>
      <c r="D816" s="3">
        <v>179.2</v>
      </c>
      <c r="E816" s="3">
        <v>177.55</v>
      </c>
      <c r="F816" s="3">
        <v>178.65</v>
      </c>
    </row>
    <row r="817" spans="1:6" x14ac:dyDescent="0.25">
      <c r="A817" s="1">
        <v>40273</v>
      </c>
      <c r="B817" s="2">
        <v>0.58333333333333337</v>
      </c>
      <c r="C817" s="3">
        <v>178.75</v>
      </c>
      <c r="D817" s="3">
        <v>181.1</v>
      </c>
      <c r="E817" s="3">
        <v>178.55</v>
      </c>
      <c r="F817" s="3">
        <v>180.9</v>
      </c>
    </row>
    <row r="818" spans="1:6" x14ac:dyDescent="0.25">
      <c r="A818" s="1">
        <v>40274</v>
      </c>
      <c r="B818" s="2">
        <v>0.58333333333333337</v>
      </c>
      <c r="C818" s="3">
        <v>180.75</v>
      </c>
      <c r="D818" s="3">
        <v>181</v>
      </c>
      <c r="E818" s="3">
        <v>179</v>
      </c>
      <c r="F818" s="3">
        <v>180.45</v>
      </c>
    </row>
    <row r="819" spans="1:6" x14ac:dyDescent="0.25">
      <c r="A819" s="1">
        <v>40275</v>
      </c>
      <c r="B819" s="2">
        <v>0.58333333333333337</v>
      </c>
      <c r="C819" s="3">
        <v>180.1</v>
      </c>
      <c r="D819" s="3">
        <v>180.45</v>
      </c>
      <c r="E819" s="3">
        <v>177.75</v>
      </c>
      <c r="F819" s="3">
        <v>178.8</v>
      </c>
    </row>
    <row r="820" spans="1:6" x14ac:dyDescent="0.25">
      <c r="A820" s="1">
        <v>40276</v>
      </c>
      <c r="B820" s="2">
        <v>0.58333333333333337</v>
      </c>
      <c r="C820" s="3">
        <v>178.65</v>
      </c>
      <c r="D820" s="3">
        <v>178.85</v>
      </c>
      <c r="E820" s="3">
        <v>175.05</v>
      </c>
      <c r="F820" s="3">
        <v>175.95</v>
      </c>
    </row>
    <row r="821" spans="1:6" x14ac:dyDescent="0.25">
      <c r="A821" s="1">
        <v>40277</v>
      </c>
      <c r="B821" s="2">
        <v>0.58333333333333337</v>
      </c>
      <c r="C821" s="3">
        <v>176.45</v>
      </c>
      <c r="D821" s="3">
        <v>176.75</v>
      </c>
      <c r="E821" s="3">
        <v>173.75</v>
      </c>
      <c r="F821" s="3">
        <v>173.95</v>
      </c>
    </row>
    <row r="822" spans="1:6" x14ac:dyDescent="0.25">
      <c r="A822" s="1">
        <v>40280</v>
      </c>
      <c r="B822" s="2">
        <v>0.58333333333333337</v>
      </c>
      <c r="C822" s="3">
        <v>174.6</v>
      </c>
      <c r="D822" s="3">
        <v>175.4</v>
      </c>
      <c r="E822" s="3">
        <v>174.3</v>
      </c>
      <c r="F822" s="3">
        <v>174.75</v>
      </c>
    </row>
    <row r="823" spans="1:6" x14ac:dyDescent="0.25">
      <c r="A823" s="1">
        <v>40281</v>
      </c>
      <c r="B823" s="2">
        <v>0.58333333333333337</v>
      </c>
      <c r="C823" s="3">
        <v>174.75</v>
      </c>
      <c r="D823" s="3">
        <v>175.2</v>
      </c>
      <c r="E823" s="3">
        <v>173.05</v>
      </c>
      <c r="F823" s="3">
        <v>173.3</v>
      </c>
    </row>
    <row r="824" spans="1:6" x14ac:dyDescent="0.25">
      <c r="A824" s="1">
        <v>40282</v>
      </c>
      <c r="B824" s="2">
        <v>0.58333333333333337</v>
      </c>
      <c r="C824" s="3">
        <v>173.3</v>
      </c>
      <c r="D824" s="3">
        <v>174.15</v>
      </c>
      <c r="E824" s="3">
        <v>172.85</v>
      </c>
      <c r="F824" s="3">
        <v>172.95</v>
      </c>
    </row>
    <row r="825" spans="1:6" x14ac:dyDescent="0.25">
      <c r="A825" s="1">
        <v>40283</v>
      </c>
      <c r="B825" s="2">
        <v>0.58333333333333337</v>
      </c>
      <c r="C825" s="3">
        <v>172.7</v>
      </c>
      <c r="D825" s="3">
        <v>173.4</v>
      </c>
      <c r="E825" s="3">
        <v>171.1</v>
      </c>
      <c r="F825" s="3">
        <v>172.85</v>
      </c>
    </row>
    <row r="826" spans="1:6" x14ac:dyDescent="0.25">
      <c r="A826" s="1">
        <v>40284</v>
      </c>
      <c r="B826" s="2">
        <v>0.58333333333333337</v>
      </c>
      <c r="C826" s="3">
        <v>172.45</v>
      </c>
      <c r="D826" s="3">
        <v>173.2</v>
      </c>
      <c r="E826" s="3">
        <v>170.15</v>
      </c>
      <c r="F826" s="3">
        <v>170.25</v>
      </c>
    </row>
    <row r="827" spans="1:6" x14ac:dyDescent="0.25">
      <c r="A827" s="1">
        <v>40287</v>
      </c>
      <c r="B827" s="2">
        <v>0.58333333333333337</v>
      </c>
      <c r="C827" s="3">
        <v>170.05</v>
      </c>
      <c r="D827" s="3">
        <v>171.05</v>
      </c>
      <c r="E827" s="3">
        <v>170</v>
      </c>
      <c r="F827" s="3">
        <v>170.2</v>
      </c>
    </row>
    <row r="828" spans="1:6" x14ac:dyDescent="0.25">
      <c r="A828" s="1">
        <v>40288</v>
      </c>
      <c r="B828" s="2">
        <v>0.58333333333333337</v>
      </c>
      <c r="C828" s="3">
        <v>170.75</v>
      </c>
      <c r="D828" s="3">
        <v>171.65</v>
      </c>
      <c r="E828" s="3">
        <v>170.15</v>
      </c>
      <c r="F828" s="3">
        <v>170.35</v>
      </c>
    </row>
    <row r="829" spans="1:6" x14ac:dyDescent="0.25">
      <c r="A829" s="1">
        <v>40289</v>
      </c>
      <c r="B829" s="2">
        <v>0.58333333333333337</v>
      </c>
      <c r="C829" s="3">
        <v>170.35</v>
      </c>
      <c r="D829" s="3">
        <v>171.3</v>
      </c>
      <c r="E829" s="3">
        <v>169.8</v>
      </c>
      <c r="F829" s="3">
        <v>170.7</v>
      </c>
    </row>
    <row r="830" spans="1:6" x14ac:dyDescent="0.25">
      <c r="A830" s="1">
        <v>40290</v>
      </c>
      <c r="B830" s="2">
        <v>0.58333333333333337</v>
      </c>
      <c r="C830" s="3">
        <v>170.8</v>
      </c>
      <c r="D830" s="3">
        <v>171.55</v>
      </c>
      <c r="E830" s="3">
        <v>169.7</v>
      </c>
      <c r="F830" s="3">
        <v>170.9</v>
      </c>
    </row>
    <row r="831" spans="1:6" x14ac:dyDescent="0.25">
      <c r="A831" s="1">
        <v>40291</v>
      </c>
      <c r="B831" s="2">
        <v>0.58333333333333337</v>
      </c>
      <c r="C831" s="3">
        <v>171.1</v>
      </c>
      <c r="D831" s="3">
        <v>172.6</v>
      </c>
      <c r="E831" s="3">
        <v>170.5</v>
      </c>
      <c r="F831" s="3">
        <v>171.4</v>
      </c>
    </row>
    <row r="832" spans="1:6" x14ac:dyDescent="0.25">
      <c r="A832" s="1">
        <v>40294</v>
      </c>
      <c r="B832" s="2">
        <v>0.58333333333333337</v>
      </c>
      <c r="C832" s="3">
        <v>171.65</v>
      </c>
      <c r="D832" s="3">
        <v>172.85</v>
      </c>
      <c r="E832" s="3">
        <v>171.3</v>
      </c>
      <c r="F832" s="3">
        <v>172.1</v>
      </c>
    </row>
    <row r="833" spans="1:6" x14ac:dyDescent="0.25">
      <c r="A833" s="1">
        <v>40295</v>
      </c>
      <c r="B833" s="2">
        <v>0.58333333333333337</v>
      </c>
      <c r="C833" s="3">
        <v>171.55</v>
      </c>
      <c r="D833" s="3">
        <v>171.85</v>
      </c>
      <c r="E833" s="3">
        <v>169.65</v>
      </c>
      <c r="F833" s="3">
        <v>170.3</v>
      </c>
    </row>
    <row r="834" spans="1:6" x14ac:dyDescent="0.25">
      <c r="A834" s="1">
        <v>40296</v>
      </c>
      <c r="B834" s="2">
        <v>0.58333333333333337</v>
      </c>
      <c r="C834" s="3">
        <v>170.3</v>
      </c>
      <c r="D834" s="3">
        <v>174.15</v>
      </c>
      <c r="E834" s="3">
        <v>170.15</v>
      </c>
      <c r="F834" s="3">
        <v>173.35</v>
      </c>
    </row>
    <row r="835" spans="1:6" x14ac:dyDescent="0.25">
      <c r="A835" s="1">
        <v>40297</v>
      </c>
      <c r="B835" s="2">
        <v>0.58333333333333337</v>
      </c>
      <c r="C835" s="3">
        <v>173.35</v>
      </c>
      <c r="D835" s="3">
        <v>174.45</v>
      </c>
      <c r="E835" s="3">
        <v>172.65</v>
      </c>
      <c r="F835" s="3">
        <v>174.05</v>
      </c>
    </row>
    <row r="836" spans="1:6" x14ac:dyDescent="0.25">
      <c r="A836" s="1">
        <v>40298</v>
      </c>
      <c r="B836" s="2">
        <v>0.58333333333333337</v>
      </c>
      <c r="C836" s="3">
        <v>174.25</v>
      </c>
      <c r="D836" s="3">
        <v>175.2</v>
      </c>
      <c r="E836" s="3">
        <v>173.6</v>
      </c>
      <c r="F836" s="3">
        <v>174.75</v>
      </c>
    </row>
    <row r="837" spans="1:6" x14ac:dyDescent="0.25">
      <c r="A837" s="1">
        <v>40301</v>
      </c>
      <c r="B837" s="2">
        <v>0.58333333333333337</v>
      </c>
      <c r="C837" s="3">
        <v>174.65</v>
      </c>
      <c r="D837" s="3">
        <v>178.1</v>
      </c>
      <c r="E837" s="3">
        <v>174.25</v>
      </c>
      <c r="F837" s="3">
        <v>178</v>
      </c>
    </row>
    <row r="838" spans="1:6" x14ac:dyDescent="0.25">
      <c r="A838" s="1">
        <v>40302</v>
      </c>
      <c r="B838" s="2">
        <v>0.58333333333333337</v>
      </c>
      <c r="C838" s="3">
        <v>178</v>
      </c>
      <c r="D838" s="3">
        <v>178.15</v>
      </c>
      <c r="E838" s="3">
        <v>175.85</v>
      </c>
      <c r="F838" s="3">
        <v>176.95</v>
      </c>
    </row>
    <row r="839" spans="1:6" x14ac:dyDescent="0.25">
      <c r="A839" s="1">
        <v>40303</v>
      </c>
      <c r="B839" s="2">
        <v>0.58333333333333337</v>
      </c>
      <c r="C839" s="3">
        <v>176.95</v>
      </c>
      <c r="D839" s="3">
        <v>177.2</v>
      </c>
      <c r="E839" s="3">
        <v>176</v>
      </c>
      <c r="F839" s="3">
        <v>176.75</v>
      </c>
    </row>
    <row r="840" spans="1:6" x14ac:dyDescent="0.25">
      <c r="A840" s="1">
        <v>40304</v>
      </c>
      <c r="B840" s="2">
        <v>0.58333333333333337</v>
      </c>
      <c r="C840" s="3">
        <v>176.45</v>
      </c>
      <c r="D840" s="3">
        <v>176.55</v>
      </c>
      <c r="E840" s="3">
        <v>172.45</v>
      </c>
      <c r="F840" s="3">
        <v>172.65</v>
      </c>
    </row>
    <row r="841" spans="1:6" x14ac:dyDescent="0.25">
      <c r="A841" s="1">
        <v>40305</v>
      </c>
      <c r="B841" s="2">
        <v>0.58333333333333337</v>
      </c>
      <c r="C841" s="3">
        <v>172.65</v>
      </c>
      <c r="D841" s="3">
        <v>174.05</v>
      </c>
      <c r="E841" s="3">
        <v>170.7</v>
      </c>
      <c r="F841" s="3">
        <v>173.35</v>
      </c>
    </row>
    <row r="842" spans="1:6" x14ac:dyDescent="0.25">
      <c r="A842" s="1">
        <v>40308</v>
      </c>
      <c r="B842" s="2">
        <v>0.58333333333333337</v>
      </c>
      <c r="C842" s="3">
        <v>173.95</v>
      </c>
      <c r="D842" s="3">
        <v>174.3</v>
      </c>
      <c r="E842" s="3">
        <v>172.45</v>
      </c>
      <c r="F842" s="3">
        <v>173.6</v>
      </c>
    </row>
    <row r="843" spans="1:6" x14ac:dyDescent="0.25">
      <c r="A843" s="1">
        <v>40309</v>
      </c>
      <c r="B843" s="2">
        <v>0.58333333333333337</v>
      </c>
      <c r="C843" s="3">
        <v>173.35</v>
      </c>
      <c r="D843" s="3">
        <v>176.3</v>
      </c>
      <c r="E843" s="3">
        <v>173.05</v>
      </c>
      <c r="F843" s="3">
        <v>175.6</v>
      </c>
    </row>
    <row r="844" spans="1:6" x14ac:dyDescent="0.25">
      <c r="A844" s="1">
        <v>40310</v>
      </c>
      <c r="B844" s="2">
        <v>0.58333333333333337</v>
      </c>
      <c r="C844" s="3">
        <v>175.35</v>
      </c>
      <c r="D844" s="3">
        <v>178.05</v>
      </c>
      <c r="E844" s="3">
        <v>175</v>
      </c>
      <c r="F844" s="3">
        <v>176.3</v>
      </c>
    </row>
    <row r="845" spans="1:6" x14ac:dyDescent="0.25">
      <c r="A845" s="1">
        <v>40311</v>
      </c>
      <c r="B845" s="2">
        <v>0.58333333333333337</v>
      </c>
      <c r="C845" s="3">
        <v>176.45</v>
      </c>
      <c r="D845" s="3">
        <v>177.4</v>
      </c>
      <c r="E845" s="3">
        <v>175.95</v>
      </c>
      <c r="F845" s="3">
        <v>176.55</v>
      </c>
    </row>
    <row r="846" spans="1:6" x14ac:dyDescent="0.25">
      <c r="A846" s="1">
        <v>40312</v>
      </c>
      <c r="B846" s="2">
        <v>0.58333333333333337</v>
      </c>
      <c r="C846" s="3">
        <v>176.4</v>
      </c>
      <c r="D846" s="3">
        <v>177.35</v>
      </c>
      <c r="E846" s="3">
        <v>172.55</v>
      </c>
      <c r="F846" s="3">
        <v>173.75</v>
      </c>
    </row>
    <row r="847" spans="1:6" x14ac:dyDescent="0.25">
      <c r="A847" s="1">
        <v>40315</v>
      </c>
      <c r="B847" s="2">
        <v>0.58333333333333337</v>
      </c>
      <c r="C847" s="3">
        <v>173.5</v>
      </c>
      <c r="D847" s="3">
        <v>173.5</v>
      </c>
      <c r="E847" s="3">
        <v>171.45</v>
      </c>
      <c r="F847" s="3">
        <v>172</v>
      </c>
    </row>
    <row r="848" spans="1:6" x14ac:dyDescent="0.25">
      <c r="A848" s="1">
        <v>40316</v>
      </c>
      <c r="B848" s="2">
        <v>0.58333333333333337</v>
      </c>
      <c r="C848" s="3">
        <v>172.5</v>
      </c>
      <c r="D848" s="3">
        <v>174.3</v>
      </c>
      <c r="E848" s="3">
        <v>172.45</v>
      </c>
      <c r="F848" s="3">
        <v>173.7</v>
      </c>
    </row>
    <row r="849" spans="1:6" x14ac:dyDescent="0.25">
      <c r="A849" s="1">
        <v>40317</v>
      </c>
      <c r="B849" s="2">
        <v>0.58333333333333337</v>
      </c>
      <c r="C849" s="3">
        <v>173.45</v>
      </c>
      <c r="D849" s="3">
        <v>173.45</v>
      </c>
      <c r="E849" s="3">
        <v>171.65</v>
      </c>
      <c r="F849" s="3">
        <v>171.95</v>
      </c>
    </row>
    <row r="850" spans="1:6" x14ac:dyDescent="0.25">
      <c r="A850" s="1">
        <v>40318</v>
      </c>
      <c r="B850" s="2">
        <v>0.58333333333333337</v>
      </c>
      <c r="C850" s="3">
        <v>172.25</v>
      </c>
      <c r="D850" s="3">
        <v>172.65</v>
      </c>
      <c r="E850" s="3">
        <v>169.7</v>
      </c>
      <c r="F850" s="3">
        <v>171.1</v>
      </c>
    </row>
    <row r="851" spans="1:6" x14ac:dyDescent="0.25">
      <c r="A851" s="1">
        <v>40319</v>
      </c>
      <c r="B851" s="2">
        <v>0.58333333333333337</v>
      </c>
      <c r="C851" s="3">
        <v>171.6</v>
      </c>
      <c r="D851" s="3">
        <v>172.5</v>
      </c>
      <c r="E851" s="3">
        <v>170.55</v>
      </c>
      <c r="F851" s="3">
        <v>171.85</v>
      </c>
    </row>
    <row r="852" spans="1:6" x14ac:dyDescent="0.25">
      <c r="A852" s="1">
        <v>40322</v>
      </c>
      <c r="B852" s="2">
        <v>0.58333333333333337</v>
      </c>
      <c r="C852" s="3">
        <v>171.85</v>
      </c>
      <c r="D852" s="3">
        <v>172.45</v>
      </c>
      <c r="E852" s="3">
        <v>171.05</v>
      </c>
      <c r="F852" s="3">
        <v>171.7</v>
      </c>
    </row>
    <row r="853" spans="1:6" x14ac:dyDescent="0.25">
      <c r="A853" s="1">
        <v>40323</v>
      </c>
      <c r="B853" s="2">
        <v>0.58333333333333337</v>
      </c>
      <c r="C853" s="3">
        <v>171.35</v>
      </c>
      <c r="D853" s="3">
        <v>172.75</v>
      </c>
      <c r="E853" s="3">
        <v>170.05</v>
      </c>
      <c r="F853" s="3">
        <v>172.2</v>
      </c>
    </row>
    <row r="854" spans="1:6" x14ac:dyDescent="0.25">
      <c r="A854" s="1">
        <v>40324</v>
      </c>
      <c r="B854" s="2">
        <v>0.58333333333333337</v>
      </c>
      <c r="C854" s="3">
        <v>172.2</v>
      </c>
      <c r="D854" s="3">
        <v>175.05</v>
      </c>
      <c r="E854" s="3">
        <v>172.05</v>
      </c>
      <c r="F854" s="3">
        <v>173.15</v>
      </c>
    </row>
    <row r="855" spans="1:6" x14ac:dyDescent="0.25">
      <c r="A855" s="1">
        <v>40325</v>
      </c>
      <c r="B855" s="2">
        <v>0.58333333333333337</v>
      </c>
      <c r="C855" s="3">
        <v>173.45</v>
      </c>
      <c r="D855" s="3">
        <v>174.6</v>
      </c>
      <c r="E855" s="3">
        <v>173</v>
      </c>
      <c r="F855" s="3">
        <v>174.2</v>
      </c>
    </row>
    <row r="856" spans="1:6" x14ac:dyDescent="0.25">
      <c r="A856" s="1">
        <v>40326</v>
      </c>
      <c r="B856" s="2">
        <v>0.58333333333333337</v>
      </c>
      <c r="C856" s="3">
        <v>174.45</v>
      </c>
      <c r="D856" s="3">
        <v>174.9</v>
      </c>
      <c r="E856" s="3">
        <v>173.35</v>
      </c>
      <c r="F856" s="3">
        <v>173.7</v>
      </c>
    </row>
    <row r="857" spans="1:6" x14ac:dyDescent="0.25">
      <c r="A857" s="1">
        <v>40330</v>
      </c>
      <c r="B857" s="2">
        <v>0.58333333333333337</v>
      </c>
      <c r="C857" s="3">
        <v>173.45</v>
      </c>
      <c r="D857" s="3">
        <v>177.05</v>
      </c>
      <c r="E857" s="3">
        <v>172.6</v>
      </c>
      <c r="F857" s="3">
        <v>176</v>
      </c>
    </row>
    <row r="858" spans="1:6" x14ac:dyDescent="0.25">
      <c r="A858" s="1">
        <v>40331</v>
      </c>
      <c r="B858" s="2">
        <v>0.58333333333333337</v>
      </c>
      <c r="C858" s="3">
        <v>176</v>
      </c>
      <c r="D858" s="3">
        <v>177.55</v>
      </c>
      <c r="E858" s="3">
        <v>174.65</v>
      </c>
      <c r="F858" s="3">
        <v>174.85</v>
      </c>
    </row>
    <row r="859" spans="1:6" x14ac:dyDescent="0.25">
      <c r="A859" s="1">
        <v>40332</v>
      </c>
      <c r="B859" s="2">
        <v>0.58333333333333337</v>
      </c>
      <c r="C859" s="3">
        <v>175.3</v>
      </c>
      <c r="D859" s="3">
        <v>175.75</v>
      </c>
      <c r="E859" s="3">
        <v>174.45</v>
      </c>
      <c r="F859" s="3">
        <v>175.05</v>
      </c>
    </row>
    <row r="860" spans="1:6" x14ac:dyDescent="0.25">
      <c r="A860" s="1">
        <v>40333</v>
      </c>
      <c r="B860" s="2">
        <v>0.58333333333333337</v>
      </c>
      <c r="C860" s="3">
        <v>175.55</v>
      </c>
      <c r="D860" s="3">
        <v>175.6</v>
      </c>
      <c r="E860" s="3">
        <v>172.85</v>
      </c>
      <c r="F860" s="3">
        <v>173.2</v>
      </c>
    </row>
    <row r="861" spans="1:6" x14ac:dyDescent="0.25">
      <c r="A861" s="1">
        <v>40336</v>
      </c>
      <c r="B861" s="2">
        <v>0.58333333333333337</v>
      </c>
      <c r="C861" s="3">
        <v>172.85</v>
      </c>
      <c r="D861" s="3">
        <v>173.1</v>
      </c>
      <c r="E861" s="3">
        <v>172</v>
      </c>
      <c r="F861" s="3">
        <v>172.55</v>
      </c>
    </row>
    <row r="862" spans="1:6" x14ac:dyDescent="0.25">
      <c r="A862" s="1">
        <v>40337</v>
      </c>
      <c r="B862" s="2">
        <v>0.58333333333333337</v>
      </c>
      <c r="C862" s="3">
        <v>172.55</v>
      </c>
      <c r="D862" s="3">
        <v>173.55</v>
      </c>
      <c r="E862" s="3">
        <v>172.25</v>
      </c>
      <c r="F862" s="3">
        <v>173</v>
      </c>
    </row>
    <row r="863" spans="1:6" x14ac:dyDescent="0.25">
      <c r="A863" s="1">
        <v>40338</v>
      </c>
      <c r="B863" s="2">
        <v>0.58333333333333337</v>
      </c>
      <c r="C863" s="3">
        <v>173.45</v>
      </c>
      <c r="D863" s="3">
        <v>174.1</v>
      </c>
      <c r="E863" s="3">
        <v>172.7</v>
      </c>
      <c r="F863" s="3">
        <v>173.9</v>
      </c>
    </row>
    <row r="864" spans="1:6" x14ac:dyDescent="0.25">
      <c r="A864" s="1">
        <v>40339</v>
      </c>
      <c r="B864" s="2">
        <v>0.58333333333333337</v>
      </c>
      <c r="C864" s="3">
        <v>174</v>
      </c>
      <c r="D864" s="3">
        <v>177.15</v>
      </c>
      <c r="E864" s="3">
        <v>173.25</v>
      </c>
      <c r="F864" s="3">
        <v>176.45</v>
      </c>
    </row>
    <row r="865" spans="1:6" x14ac:dyDescent="0.25">
      <c r="A865" s="1">
        <v>40340</v>
      </c>
      <c r="B865" s="2">
        <v>0.58333333333333337</v>
      </c>
      <c r="C865" s="3">
        <v>176.55</v>
      </c>
      <c r="D865" s="3">
        <v>185.45</v>
      </c>
      <c r="E865" s="3">
        <v>176.45</v>
      </c>
      <c r="F865" s="3">
        <v>184</v>
      </c>
    </row>
    <row r="866" spans="1:6" x14ac:dyDescent="0.25">
      <c r="A866" s="1">
        <v>40343</v>
      </c>
      <c r="B866" s="2">
        <v>0.58333333333333337</v>
      </c>
      <c r="C866" s="3">
        <v>184</v>
      </c>
      <c r="D866" s="3">
        <v>190.2</v>
      </c>
      <c r="E866" s="3">
        <v>183.05</v>
      </c>
      <c r="F866" s="3">
        <v>189.5</v>
      </c>
    </row>
    <row r="867" spans="1:6" x14ac:dyDescent="0.25">
      <c r="A867" s="1">
        <v>40344</v>
      </c>
      <c r="B867" s="2">
        <v>0.58333333333333337</v>
      </c>
      <c r="C867" s="3">
        <v>188.9</v>
      </c>
      <c r="D867" s="3">
        <v>198.95</v>
      </c>
      <c r="E867" s="3">
        <v>186.05</v>
      </c>
      <c r="F867" s="3">
        <v>197.85</v>
      </c>
    </row>
    <row r="868" spans="1:6" x14ac:dyDescent="0.25">
      <c r="A868" s="1">
        <v>40345</v>
      </c>
      <c r="B868" s="2">
        <v>0.58333333333333337</v>
      </c>
      <c r="C868" s="3">
        <v>197.5</v>
      </c>
      <c r="D868" s="3">
        <v>200.85</v>
      </c>
      <c r="E868" s="3">
        <v>195.5</v>
      </c>
      <c r="F868" s="3">
        <v>197.5</v>
      </c>
    </row>
    <row r="869" spans="1:6" x14ac:dyDescent="0.25">
      <c r="A869" s="1">
        <v>40346</v>
      </c>
      <c r="B869" s="2">
        <v>0.58333333333333337</v>
      </c>
      <c r="C869" s="3">
        <v>196.7</v>
      </c>
      <c r="D869" s="3">
        <v>198.8</v>
      </c>
      <c r="E869" s="3">
        <v>194.55</v>
      </c>
      <c r="F869" s="3">
        <v>195.7</v>
      </c>
    </row>
    <row r="870" spans="1:6" x14ac:dyDescent="0.25">
      <c r="A870" s="1">
        <v>40347</v>
      </c>
      <c r="B870" s="2">
        <v>0.58333333333333337</v>
      </c>
      <c r="C870" s="3">
        <v>195.4</v>
      </c>
      <c r="D870" s="3">
        <v>200.95</v>
      </c>
      <c r="E870" s="3">
        <v>193.3</v>
      </c>
      <c r="F870" s="3">
        <v>200</v>
      </c>
    </row>
    <row r="871" spans="1:6" x14ac:dyDescent="0.25">
      <c r="A871" s="1">
        <v>40350</v>
      </c>
      <c r="B871" s="2">
        <v>0.58333333333333337</v>
      </c>
      <c r="C871" s="3">
        <v>199.9</v>
      </c>
      <c r="D871" s="3">
        <v>203.35</v>
      </c>
      <c r="E871" s="3">
        <v>196.25</v>
      </c>
      <c r="F871" s="3">
        <v>198.7</v>
      </c>
    </row>
    <row r="872" spans="1:6" x14ac:dyDescent="0.25">
      <c r="A872" s="1">
        <v>40351</v>
      </c>
      <c r="B872" s="2">
        <v>0.58333333333333337</v>
      </c>
      <c r="C872" s="3">
        <v>197.65</v>
      </c>
      <c r="D872" s="3">
        <v>200.35</v>
      </c>
      <c r="E872" s="3">
        <v>195.35</v>
      </c>
      <c r="F872" s="3">
        <v>198.65</v>
      </c>
    </row>
    <row r="873" spans="1:6" x14ac:dyDescent="0.25">
      <c r="A873" s="1">
        <v>40352</v>
      </c>
      <c r="B873" s="2">
        <v>0.58333333333333337</v>
      </c>
      <c r="C873" s="3">
        <v>198.2</v>
      </c>
      <c r="D873" s="3">
        <v>199.35</v>
      </c>
      <c r="E873" s="3">
        <v>196.75</v>
      </c>
      <c r="F873" s="3">
        <v>198.4</v>
      </c>
    </row>
    <row r="874" spans="1:6" x14ac:dyDescent="0.25">
      <c r="A874" s="1">
        <v>40353</v>
      </c>
      <c r="B874" s="2">
        <v>0.58333333333333337</v>
      </c>
      <c r="C874" s="3">
        <v>198.4</v>
      </c>
      <c r="D874" s="3">
        <v>214.4</v>
      </c>
      <c r="E874" s="3">
        <v>198.4</v>
      </c>
      <c r="F874" s="3">
        <v>206.65</v>
      </c>
    </row>
    <row r="875" spans="1:6" x14ac:dyDescent="0.25">
      <c r="A875" s="1">
        <v>40354</v>
      </c>
      <c r="B875" s="2">
        <v>0.58333333333333337</v>
      </c>
      <c r="C875" s="3">
        <v>206.7</v>
      </c>
      <c r="D875" s="3">
        <v>208.75</v>
      </c>
      <c r="E875" s="3">
        <v>203.9</v>
      </c>
      <c r="F875" s="3">
        <v>206.8</v>
      </c>
    </row>
    <row r="876" spans="1:6" x14ac:dyDescent="0.25">
      <c r="A876" s="1">
        <v>40357</v>
      </c>
      <c r="B876" s="2">
        <v>0.58333333333333337</v>
      </c>
      <c r="C876" s="3">
        <v>205.9</v>
      </c>
      <c r="D876" s="3">
        <v>208.55</v>
      </c>
      <c r="E876" s="3">
        <v>205.3</v>
      </c>
      <c r="F876" s="3">
        <v>206</v>
      </c>
    </row>
    <row r="877" spans="1:6" x14ac:dyDescent="0.25">
      <c r="A877" s="1">
        <v>40358</v>
      </c>
      <c r="B877" s="2">
        <v>0.58333333333333337</v>
      </c>
      <c r="C877" s="3">
        <v>205.4</v>
      </c>
      <c r="D877" s="3">
        <v>205.9</v>
      </c>
      <c r="E877" s="3">
        <v>198</v>
      </c>
      <c r="F877" s="3">
        <v>201.05</v>
      </c>
    </row>
    <row r="878" spans="1:6" x14ac:dyDescent="0.25">
      <c r="A878" s="1">
        <v>40359</v>
      </c>
      <c r="B878" s="2">
        <v>0.58333333333333337</v>
      </c>
      <c r="C878" s="3">
        <v>201.05</v>
      </c>
      <c r="D878" s="3">
        <v>204.5</v>
      </c>
      <c r="E878" s="3">
        <v>198.45</v>
      </c>
      <c r="F878" s="3">
        <v>203.75</v>
      </c>
    </row>
    <row r="879" spans="1:6" x14ac:dyDescent="0.25">
      <c r="A879" s="1">
        <v>40360</v>
      </c>
      <c r="B879" s="2">
        <v>0.58333333333333337</v>
      </c>
      <c r="C879" s="3">
        <v>203.35</v>
      </c>
      <c r="D879" s="3">
        <v>207.15</v>
      </c>
      <c r="E879" s="3">
        <v>202.1</v>
      </c>
      <c r="F879" s="3">
        <v>206.15</v>
      </c>
    </row>
    <row r="880" spans="1:6" x14ac:dyDescent="0.25">
      <c r="A880" s="1">
        <v>40361</v>
      </c>
      <c r="B880" s="2">
        <v>0.58333333333333337</v>
      </c>
      <c r="C880" s="3">
        <v>205.7</v>
      </c>
      <c r="D880" s="3">
        <v>206.1</v>
      </c>
      <c r="E880" s="3">
        <v>201.65</v>
      </c>
      <c r="F880" s="3">
        <v>202.2</v>
      </c>
    </row>
    <row r="881" spans="1:6" x14ac:dyDescent="0.25">
      <c r="A881" s="1">
        <v>40365</v>
      </c>
      <c r="B881" s="2">
        <v>0.58333333333333337</v>
      </c>
      <c r="C881" s="3">
        <v>201.35</v>
      </c>
      <c r="D881" s="3">
        <v>201.4</v>
      </c>
      <c r="E881" s="3">
        <v>194.75</v>
      </c>
      <c r="F881" s="3">
        <v>195.55</v>
      </c>
    </row>
    <row r="882" spans="1:6" x14ac:dyDescent="0.25">
      <c r="A882" s="1">
        <v>40366</v>
      </c>
      <c r="B882" s="2">
        <v>0.58333333333333337</v>
      </c>
      <c r="C882" s="3">
        <v>195.55</v>
      </c>
      <c r="D882" s="3">
        <v>201.85</v>
      </c>
      <c r="E882" s="3">
        <v>194.95</v>
      </c>
      <c r="F882" s="3">
        <v>200.95</v>
      </c>
    </row>
    <row r="883" spans="1:6" x14ac:dyDescent="0.25">
      <c r="A883" s="1">
        <v>40367</v>
      </c>
      <c r="B883" s="2">
        <v>0.58333333333333337</v>
      </c>
      <c r="C883" s="3">
        <v>200.95</v>
      </c>
      <c r="D883" s="3">
        <v>201.7</v>
      </c>
      <c r="E883" s="3">
        <v>198.75</v>
      </c>
      <c r="F883" s="3">
        <v>200</v>
      </c>
    </row>
    <row r="884" spans="1:6" x14ac:dyDescent="0.25">
      <c r="A884" s="1">
        <v>40368</v>
      </c>
      <c r="B884" s="2">
        <v>0.58333333333333337</v>
      </c>
      <c r="C884" s="3">
        <v>200.15</v>
      </c>
      <c r="D884" s="3">
        <v>205.1</v>
      </c>
      <c r="E884" s="3">
        <v>199.95</v>
      </c>
      <c r="F884" s="3">
        <v>201.75</v>
      </c>
    </row>
    <row r="885" spans="1:6" x14ac:dyDescent="0.25">
      <c r="A885" s="1">
        <v>40371</v>
      </c>
      <c r="B885" s="2">
        <v>0.58333333333333337</v>
      </c>
      <c r="C885" s="3">
        <v>200.65</v>
      </c>
      <c r="D885" s="3">
        <v>202.3</v>
      </c>
      <c r="E885" s="3">
        <v>196.9</v>
      </c>
      <c r="F885" s="3">
        <v>201.45</v>
      </c>
    </row>
    <row r="886" spans="1:6" x14ac:dyDescent="0.25">
      <c r="A886" s="1">
        <v>40372</v>
      </c>
      <c r="B886" s="2">
        <v>0.58333333333333337</v>
      </c>
      <c r="C886" s="3">
        <v>200.4</v>
      </c>
      <c r="D886" s="3">
        <v>204.9</v>
      </c>
      <c r="E886" s="3">
        <v>200</v>
      </c>
      <c r="F886" s="3">
        <v>203.55</v>
      </c>
    </row>
    <row r="887" spans="1:6" x14ac:dyDescent="0.25">
      <c r="A887" s="1">
        <v>40373</v>
      </c>
      <c r="B887" s="2">
        <v>0.58333333333333337</v>
      </c>
      <c r="C887" s="3">
        <v>203.15</v>
      </c>
      <c r="D887" s="3">
        <v>204.45</v>
      </c>
      <c r="E887" s="3">
        <v>201.9</v>
      </c>
      <c r="F887" s="3">
        <v>202.8</v>
      </c>
    </row>
    <row r="888" spans="1:6" x14ac:dyDescent="0.25">
      <c r="A888" s="1">
        <v>40374</v>
      </c>
      <c r="B888" s="2">
        <v>0.58333333333333337</v>
      </c>
      <c r="C888" s="3">
        <v>202.5</v>
      </c>
      <c r="D888" s="3">
        <v>207.35</v>
      </c>
      <c r="E888" s="3">
        <v>202.2</v>
      </c>
      <c r="F888" s="3">
        <v>205</v>
      </c>
    </row>
    <row r="889" spans="1:6" x14ac:dyDescent="0.25">
      <c r="A889" s="1">
        <v>40375</v>
      </c>
      <c r="B889" s="2">
        <v>0.58333333333333337</v>
      </c>
      <c r="C889" s="3">
        <v>205.35</v>
      </c>
      <c r="D889" s="3">
        <v>207.7</v>
      </c>
      <c r="E889" s="3">
        <v>202.95</v>
      </c>
      <c r="F889" s="3">
        <v>204.95</v>
      </c>
    </row>
    <row r="890" spans="1:6" x14ac:dyDescent="0.25">
      <c r="A890" s="1">
        <v>40378</v>
      </c>
      <c r="B890" s="2">
        <v>0.58333333333333337</v>
      </c>
      <c r="C890" s="3">
        <v>204.55</v>
      </c>
      <c r="D890" s="3">
        <v>204.8</v>
      </c>
      <c r="E890" s="3">
        <v>199.15</v>
      </c>
      <c r="F890" s="3">
        <v>201.7</v>
      </c>
    </row>
    <row r="891" spans="1:6" x14ac:dyDescent="0.25">
      <c r="A891" s="1">
        <v>40379</v>
      </c>
      <c r="B891" s="2">
        <v>0.58333333333333337</v>
      </c>
      <c r="C891" s="3">
        <v>201.95</v>
      </c>
      <c r="D891" s="3">
        <v>202.1</v>
      </c>
      <c r="E891" s="3">
        <v>196.15</v>
      </c>
      <c r="F891" s="3">
        <v>196.45</v>
      </c>
    </row>
    <row r="892" spans="1:6" x14ac:dyDescent="0.25">
      <c r="A892" s="1">
        <v>40380</v>
      </c>
      <c r="B892" s="2">
        <v>0.58333333333333337</v>
      </c>
      <c r="C892" s="3">
        <v>197</v>
      </c>
      <c r="D892" s="3">
        <v>198.65</v>
      </c>
      <c r="E892" s="3">
        <v>193.7</v>
      </c>
      <c r="F892" s="3">
        <v>195.2</v>
      </c>
    </row>
    <row r="893" spans="1:6" x14ac:dyDescent="0.25">
      <c r="A893" s="1">
        <v>40381</v>
      </c>
      <c r="B893" s="2">
        <v>0.58333333333333337</v>
      </c>
      <c r="C893" s="3">
        <v>195.5</v>
      </c>
      <c r="D893" s="3">
        <v>199.85</v>
      </c>
      <c r="E893" s="3">
        <v>195.5</v>
      </c>
      <c r="F893" s="3">
        <v>199.6</v>
      </c>
    </row>
    <row r="894" spans="1:6" x14ac:dyDescent="0.25">
      <c r="A894" s="1">
        <v>40382</v>
      </c>
      <c r="B894" s="2">
        <v>0.58333333333333337</v>
      </c>
      <c r="C894" s="3">
        <v>199.6</v>
      </c>
      <c r="D894" s="3">
        <v>205.5</v>
      </c>
      <c r="E894" s="3">
        <v>198.35</v>
      </c>
      <c r="F894" s="3">
        <v>203.9</v>
      </c>
    </row>
    <row r="895" spans="1:6" x14ac:dyDescent="0.25">
      <c r="A895" s="1">
        <v>40385</v>
      </c>
      <c r="B895" s="2">
        <v>0.58333333333333337</v>
      </c>
      <c r="C895" s="3">
        <v>203.7</v>
      </c>
      <c r="D895" s="3">
        <v>205.1</v>
      </c>
      <c r="E895" s="3">
        <v>202.15</v>
      </c>
      <c r="F895" s="3">
        <v>203.5</v>
      </c>
    </row>
    <row r="896" spans="1:6" x14ac:dyDescent="0.25">
      <c r="A896" s="1">
        <v>40386</v>
      </c>
      <c r="B896" s="2">
        <v>0.58333333333333337</v>
      </c>
      <c r="C896" s="3">
        <v>202.5</v>
      </c>
      <c r="D896" s="3">
        <v>204.45</v>
      </c>
      <c r="E896" s="3">
        <v>201.1</v>
      </c>
      <c r="F896" s="3">
        <v>201.65</v>
      </c>
    </row>
    <row r="897" spans="1:6" x14ac:dyDescent="0.25">
      <c r="A897" s="1">
        <v>40387</v>
      </c>
      <c r="B897" s="2">
        <v>0.58333333333333337</v>
      </c>
      <c r="C897" s="3">
        <v>202</v>
      </c>
      <c r="D897" s="3">
        <v>206</v>
      </c>
      <c r="E897" s="3">
        <v>201.55</v>
      </c>
      <c r="F897" s="3">
        <v>205.3</v>
      </c>
    </row>
    <row r="898" spans="1:6" x14ac:dyDescent="0.25">
      <c r="A898" s="1">
        <v>40388</v>
      </c>
      <c r="B898" s="2">
        <v>0.58333333333333337</v>
      </c>
      <c r="C898" s="3">
        <v>205.3</v>
      </c>
      <c r="D898" s="3">
        <v>212.5</v>
      </c>
      <c r="E898" s="3">
        <v>204.35</v>
      </c>
      <c r="F898" s="3">
        <v>210.95</v>
      </c>
    </row>
    <row r="899" spans="1:6" x14ac:dyDescent="0.25">
      <c r="A899" s="1">
        <v>40389</v>
      </c>
      <c r="B899" s="2">
        <v>0.58333333333333337</v>
      </c>
      <c r="C899" s="3">
        <v>210.95</v>
      </c>
      <c r="D899" s="3">
        <v>216.65</v>
      </c>
      <c r="E899" s="3">
        <v>210.55</v>
      </c>
      <c r="F899" s="3">
        <v>214.2</v>
      </c>
    </row>
    <row r="900" spans="1:6" x14ac:dyDescent="0.25">
      <c r="A900" s="1">
        <v>40392</v>
      </c>
      <c r="B900" s="2">
        <v>0.58333333333333337</v>
      </c>
      <c r="C900" s="3">
        <v>213.5</v>
      </c>
      <c r="D900" s="3">
        <v>219.4</v>
      </c>
      <c r="E900" s="3">
        <v>209.95</v>
      </c>
      <c r="F900" s="3">
        <v>210.4</v>
      </c>
    </row>
    <row r="901" spans="1:6" x14ac:dyDescent="0.25">
      <c r="A901" s="1">
        <v>40393</v>
      </c>
      <c r="B901" s="2">
        <v>0.58333333333333337</v>
      </c>
      <c r="C901" s="3">
        <v>210.7</v>
      </c>
      <c r="D901" s="3">
        <v>212.35</v>
      </c>
      <c r="E901" s="3">
        <v>203.05</v>
      </c>
      <c r="F901" s="3">
        <v>204.55</v>
      </c>
    </row>
    <row r="902" spans="1:6" x14ac:dyDescent="0.25">
      <c r="A902" s="1">
        <v>40394</v>
      </c>
      <c r="B902" s="2">
        <v>0.58333333333333337</v>
      </c>
      <c r="C902" s="3">
        <v>205.5</v>
      </c>
      <c r="D902" s="3">
        <v>209.6</v>
      </c>
      <c r="E902" s="3">
        <v>205.5</v>
      </c>
      <c r="F902" s="3">
        <v>207.65</v>
      </c>
    </row>
    <row r="903" spans="1:6" x14ac:dyDescent="0.25">
      <c r="A903" s="1">
        <v>40395</v>
      </c>
      <c r="B903" s="2">
        <v>0.58333333333333337</v>
      </c>
      <c r="C903" s="3">
        <v>207.4</v>
      </c>
      <c r="D903" s="3">
        <v>210.55</v>
      </c>
      <c r="E903" s="3">
        <v>207</v>
      </c>
      <c r="F903" s="3">
        <v>207.75</v>
      </c>
    </row>
    <row r="904" spans="1:6" x14ac:dyDescent="0.25">
      <c r="A904" s="1">
        <v>40396</v>
      </c>
      <c r="B904" s="2">
        <v>0.58333333333333337</v>
      </c>
      <c r="C904" s="3">
        <v>208.2</v>
      </c>
      <c r="D904" s="3">
        <v>209.25</v>
      </c>
      <c r="E904" s="3">
        <v>203.15</v>
      </c>
      <c r="F904" s="3">
        <v>205.3</v>
      </c>
    </row>
    <row r="905" spans="1:6" x14ac:dyDescent="0.25">
      <c r="A905" s="1">
        <v>40399</v>
      </c>
      <c r="B905" s="2">
        <v>0.58333333333333337</v>
      </c>
      <c r="C905" s="3">
        <v>205.4</v>
      </c>
      <c r="D905" s="3">
        <v>208.7</v>
      </c>
      <c r="E905" s="3">
        <v>204.15</v>
      </c>
      <c r="F905" s="3">
        <v>207.5</v>
      </c>
    </row>
    <row r="906" spans="1:6" x14ac:dyDescent="0.25">
      <c r="A906" s="1">
        <v>40400</v>
      </c>
      <c r="B906" s="2">
        <v>0.58333333333333337</v>
      </c>
      <c r="C906" s="3">
        <v>206.95</v>
      </c>
      <c r="D906" s="3">
        <v>209.9</v>
      </c>
      <c r="E906" s="3">
        <v>205.2</v>
      </c>
      <c r="F906" s="3">
        <v>207.55</v>
      </c>
    </row>
    <row r="907" spans="1:6" x14ac:dyDescent="0.25">
      <c r="A907" s="1">
        <v>40401</v>
      </c>
      <c r="B907" s="2">
        <v>0.58333333333333337</v>
      </c>
      <c r="C907" s="3">
        <v>207.55</v>
      </c>
      <c r="D907" s="3">
        <v>209.75</v>
      </c>
      <c r="E907" s="3">
        <v>207</v>
      </c>
      <c r="F907" s="3">
        <v>208.6</v>
      </c>
    </row>
    <row r="908" spans="1:6" x14ac:dyDescent="0.25">
      <c r="A908" s="1">
        <v>40402</v>
      </c>
      <c r="B908" s="2">
        <v>0.58333333333333337</v>
      </c>
      <c r="C908" s="3">
        <v>208.45</v>
      </c>
      <c r="D908" s="3">
        <v>215.75</v>
      </c>
      <c r="E908" s="3">
        <v>208.05</v>
      </c>
      <c r="F908" s="3">
        <v>213.8</v>
      </c>
    </row>
    <row r="909" spans="1:6" x14ac:dyDescent="0.25">
      <c r="A909" s="1">
        <v>40403</v>
      </c>
      <c r="B909" s="2">
        <v>0.58333333333333337</v>
      </c>
      <c r="C909" s="3">
        <v>213.75</v>
      </c>
      <c r="D909" s="3">
        <v>216.7</v>
      </c>
      <c r="E909" s="3">
        <v>211.65</v>
      </c>
      <c r="F909" s="3">
        <v>213.85</v>
      </c>
    </row>
    <row r="910" spans="1:6" x14ac:dyDescent="0.25">
      <c r="A910" s="1">
        <v>40406</v>
      </c>
      <c r="B910" s="2">
        <v>0.58333333333333337</v>
      </c>
      <c r="C910" s="3">
        <v>212.85</v>
      </c>
      <c r="D910" s="3">
        <v>219.15</v>
      </c>
      <c r="E910" s="3">
        <v>211.85</v>
      </c>
      <c r="F910" s="3">
        <v>217.35</v>
      </c>
    </row>
    <row r="911" spans="1:6" x14ac:dyDescent="0.25">
      <c r="A911" s="1">
        <v>40407</v>
      </c>
      <c r="B911" s="2">
        <v>0.58333333333333337</v>
      </c>
      <c r="C911" s="3">
        <v>216.75</v>
      </c>
      <c r="D911" s="3">
        <v>219.05</v>
      </c>
      <c r="E911" s="3">
        <v>213.85</v>
      </c>
      <c r="F911" s="3">
        <v>214.55</v>
      </c>
    </row>
    <row r="912" spans="1:6" x14ac:dyDescent="0.25">
      <c r="A912" s="1">
        <v>40408</v>
      </c>
      <c r="B912" s="2">
        <v>0.58333333333333337</v>
      </c>
      <c r="C912" s="3">
        <v>214.2</v>
      </c>
      <c r="D912" s="3">
        <v>215.95</v>
      </c>
      <c r="E912" s="3">
        <v>213.45</v>
      </c>
      <c r="F912" s="3">
        <v>214.05</v>
      </c>
    </row>
    <row r="913" spans="1:6" x14ac:dyDescent="0.25">
      <c r="A913" s="1">
        <v>40409</v>
      </c>
      <c r="B913" s="2">
        <v>0.58333333333333337</v>
      </c>
      <c r="C913" s="3">
        <v>214.05</v>
      </c>
      <c r="D913" s="3">
        <v>217.45</v>
      </c>
      <c r="E913" s="3">
        <v>213.8</v>
      </c>
      <c r="F913" s="3">
        <v>216.1</v>
      </c>
    </row>
    <row r="914" spans="1:6" x14ac:dyDescent="0.25">
      <c r="A914" s="1">
        <v>40410</v>
      </c>
      <c r="B914" s="2">
        <v>0.58333333333333337</v>
      </c>
      <c r="C914" s="3">
        <v>215.8</v>
      </c>
      <c r="D914" s="3">
        <v>222.75</v>
      </c>
      <c r="E914" s="3">
        <v>215.8</v>
      </c>
      <c r="F914" s="3">
        <v>221.3</v>
      </c>
    </row>
    <row r="915" spans="1:6" x14ac:dyDescent="0.25">
      <c r="A915" s="1">
        <v>40413</v>
      </c>
      <c r="B915" s="2">
        <v>0.58333333333333337</v>
      </c>
      <c r="C915" s="3">
        <v>221.35</v>
      </c>
      <c r="D915" s="3">
        <v>224.9</v>
      </c>
      <c r="E915" s="3">
        <v>218.7</v>
      </c>
      <c r="F915" s="3">
        <v>219.5</v>
      </c>
    </row>
    <row r="916" spans="1:6" x14ac:dyDescent="0.25">
      <c r="A916" s="1">
        <v>40414</v>
      </c>
      <c r="B916" s="2">
        <v>0.58333333333333337</v>
      </c>
      <c r="C916" s="3">
        <v>219</v>
      </c>
      <c r="D916" s="3">
        <v>219.4</v>
      </c>
      <c r="E916" s="3">
        <v>203.95</v>
      </c>
      <c r="F916" s="3">
        <v>204.7</v>
      </c>
    </row>
    <row r="917" spans="1:6" x14ac:dyDescent="0.25">
      <c r="A917" s="1">
        <v>40415</v>
      </c>
      <c r="B917" s="2">
        <v>0.58333333333333337</v>
      </c>
      <c r="C917" s="3">
        <v>204.7</v>
      </c>
      <c r="D917" s="3">
        <v>206.15</v>
      </c>
      <c r="E917" s="3">
        <v>201.6</v>
      </c>
      <c r="F917" s="3">
        <v>202.85</v>
      </c>
    </row>
    <row r="918" spans="1:6" x14ac:dyDescent="0.25">
      <c r="A918" s="1">
        <v>40416</v>
      </c>
      <c r="B918" s="2">
        <v>0.58333333333333337</v>
      </c>
      <c r="C918" s="3">
        <v>204.25</v>
      </c>
      <c r="D918" s="3">
        <v>210.05</v>
      </c>
      <c r="E918" s="3">
        <v>203.5</v>
      </c>
      <c r="F918" s="3">
        <v>208.65</v>
      </c>
    </row>
    <row r="919" spans="1:6" x14ac:dyDescent="0.25">
      <c r="A919" s="1">
        <v>40417</v>
      </c>
      <c r="B919" s="2">
        <v>0.58333333333333337</v>
      </c>
      <c r="C919" s="3">
        <v>208.65</v>
      </c>
      <c r="D919" s="3">
        <v>217.8</v>
      </c>
      <c r="E919" s="3">
        <v>206.55</v>
      </c>
      <c r="F919" s="3">
        <v>215.1</v>
      </c>
    </row>
    <row r="920" spans="1:6" x14ac:dyDescent="0.25">
      <c r="A920" s="1">
        <v>40420</v>
      </c>
      <c r="B920" s="2">
        <v>0.58333333333333337</v>
      </c>
      <c r="C920" s="3">
        <v>215.95</v>
      </c>
      <c r="D920" s="3">
        <v>220.55</v>
      </c>
      <c r="E920" s="3">
        <v>213.05</v>
      </c>
      <c r="F920" s="3">
        <v>217.65</v>
      </c>
    </row>
    <row r="921" spans="1:6" x14ac:dyDescent="0.25">
      <c r="A921" s="1">
        <v>40421</v>
      </c>
      <c r="B921" s="2">
        <v>0.58333333333333337</v>
      </c>
      <c r="C921" s="3">
        <v>216.25</v>
      </c>
      <c r="D921" s="3">
        <v>219.45</v>
      </c>
      <c r="E921" s="3">
        <v>213.45</v>
      </c>
      <c r="F921" s="3">
        <v>214.7</v>
      </c>
    </row>
    <row r="922" spans="1:6" x14ac:dyDescent="0.25">
      <c r="A922" s="1">
        <v>40422</v>
      </c>
      <c r="B922" s="2">
        <v>0.58333333333333337</v>
      </c>
      <c r="C922" s="3">
        <v>215.9</v>
      </c>
      <c r="D922" s="3">
        <v>220.45</v>
      </c>
      <c r="E922" s="3">
        <v>215.55</v>
      </c>
      <c r="F922" s="3">
        <v>218.6</v>
      </c>
    </row>
    <row r="923" spans="1:6" x14ac:dyDescent="0.25">
      <c r="A923" s="1">
        <v>40423</v>
      </c>
      <c r="B923" s="2">
        <v>0.58333333333333337</v>
      </c>
      <c r="C923" s="3">
        <v>218.25</v>
      </c>
      <c r="D923" s="3">
        <v>222.9</v>
      </c>
      <c r="E923" s="3">
        <v>217.6</v>
      </c>
      <c r="F923" s="3">
        <v>221.1</v>
      </c>
    </row>
    <row r="924" spans="1:6" x14ac:dyDescent="0.25">
      <c r="A924" s="1">
        <v>40424</v>
      </c>
      <c r="B924" s="2">
        <v>0.58333333333333337</v>
      </c>
      <c r="C924" s="3">
        <v>220.95</v>
      </c>
      <c r="D924" s="3">
        <v>224.6</v>
      </c>
      <c r="E924" s="3">
        <v>220.25</v>
      </c>
      <c r="F924" s="3">
        <v>223.2</v>
      </c>
    </row>
    <row r="925" spans="1:6" x14ac:dyDescent="0.25">
      <c r="A925" s="1">
        <v>40428</v>
      </c>
      <c r="B925" s="2">
        <v>0.58333333333333337</v>
      </c>
      <c r="C925" s="3">
        <v>222.45</v>
      </c>
      <c r="D925" s="3">
        <v>229.8</v>
      </c>
      <c r="E925" s="3">
        <v>218.85</v>
      </c>
      <c r="F925" s="3">
        <v>228.55</v>
      </c>
    </row>
    <row r="926" spans="1:6" x14ac:dyDescent="0.25">
      <c r="A926" s="1">
        <v>40429</v>
      </c>
      <c r="B926" s="2">
        <v>0.58333333333333337</v>
      </c>
      <c r="C926" s="3">
        <v>229.25</v>
      </c>
      <c r="D926" s="3">
        <v>234.9</v>
      </c>
      <c r="E926" s="3">
        <v>225.85</v>
      </c>
      <c r="F926" s="3">
        <v>230.8</v>
      </c>
    </row>
    <row r="927" spans="1:6" x14ac:dyDescent="0.25">
      <c r="A927" s="1">
        <v>40430</v>
      </c>
      <c r="B927" s="2">
        <v>0.58333333333333337</v>
      </c>
      <c r="C927" s="3">
        <v>227.7</v>
      </c>
      <c r="D927" s="3">
        <v>230.25</v>
      </c>
      <c r="E927" s="3">
        <v>225.55</v>
      </c>
      <c r="F927" s="3">
        <v>226.95</v>
      </c>
    </row>
    <row r="928" spans="1:6" x14ac:dyDescent="0.25">
      <c r="A928" s="1">
        <v>40431</v>
      </c>
      <c r="B928" s="2">
        <v>0.58333333333333337</v>
      </c>
      <c r="C928" s="3">
        <v>226.2</v>
      </c>
      <c r="D928" s="3">
        <v>230.5</v>
      </c>
      <c r="E928" s="3">
        <v>223.15</v>
      </c>
      <c r="F928" s="3">
        <v>226.05</v>
      </c>
    </row>
    <row r="929" spans="1:6" x14ac:dyDescent="0.25">
      <c r="A929" s="1">
        <v>40434</v>
      </c>
      <c r="B929" s="2">
        <v>0.58333333333333337</v>
      </c>
      <c r="C929" s="3">
        <v>226.2</v>
      </c>
      <c r="D929" s="3">
        <v>228.95</v>
      </c>
      <c r="E929" s="3">
        <v>224.45</v>
      </c>
      <c r="F929" s="3">
        <v>225.4</v>
      </c>
    </row>
    <row r="930" spans="1:6" x14ac:dyDescent="0.25">
      <c r="A930" s="1">
        <v>40435</v>
      </c>
      <c r="B930" s="2">
        <v>0.58333333333333337</v>
      </c>
      <c r="C930" s="3">
        <v>227.4</v>
      </c>
      <c r="D930" s="3">
        <v>233.05</v>
      </c>
      <c r="E930" s="3">
        <v>226.7</v>
      </c>
      <c r="F930" s="3">
        <v>231.55</v>
      </c>
    </row>
    <row r="931" spans="1:6" x14ac:dyDescent="0.25">
      <c r="A931" s="1">
        <v>40436</v>
      </c>
      <c r="B931" s="2">
        <v>0.58333333333333337</v>
      </c>
      <c r="C931" s="3">
        <v>230.8</v>
      </c>
      <c r="D931" s="3">
        <v>232.35</v>
      </c>
      <c r="E931" s="3">
        <v>225.4</v>
      </c>
      <c r="F931" s="3">
        <v>230.4</v>
      </c>
    </row>
    <row r="932" spans="1:6" x14ac:dyDescent="0.25">
      <c r="A932" s="1">
        <v>40437</v>
      </c>
      <c r="B932" s="2">
        <v>0.58333333333333337</v>
      </c>
      <c r="C932" s="3">
        <v>228.85</v>
      </c>
      <c r="D932" s="3">
        <v>233.85</v>
      </c>
      <c r="E932" s="3">
        <v>226.85</v>
      </c>
      <c r="F932" s="3">
        <v>228.05</v>
      </c>
    </row>
    <row r="933" spans="1:6" x14ac:dyDescent="0.25">
      <c r="A933" s="1">
        <v>40438</v>
      </c>
      <c r="B933" s="2">
        <v>0.58333333333333337</v>
      </c>
      <c r="C933" s="3">
        <v>228.2</v>
      </c>
      <c r="D933" s="3">
        <v>230.3</v>
      </c>
      <c r="E933" s="3">
        <v>223.95</v>
      </c>
      <c r="F933" s="3">
        <v>225.55</v>
      </c>
    </row>
    <row r="934" spans="1:6" x14ac:dyDescent="0.25">
      <c r="A934" s="1">
        <v>40441</v>
      </c>
      <c r="B934" s="2">
        <v>0.58333333333333337</v>
      </c>
      <c r="C934" s="3">
        <v>226.25</v>
      </c>
      <c r="D934" s="3">
        <v>227</v>
      </c>
      <c r="E934" s="3">
        <v>217.2</v>
      </c>
      <c r="F934" s="3">
        <v>218.2</v>
      </c>
    </row>
    <row r="935" spans="1:6" x14ac:dyDescent="0.25">
      <c r="A935" s="1">
        <v>40442</v>
      </c>
      <c r="B935" s="2">
        <v>0.58333333333333337</v>
      </c>
      <c r="C935" s="3">
        <v>219.1</v>
      </c>
      <c r="D935" s="3">
        <v>222.15</v>
      </c>
      <c r="E935" s="3">
        <v>217.45</v>
      </c>
      <c r="F935" s="3">
        <v>219.15</v>
      </c>
    </row>
    <row r="936" spans="1:6" x14ac:dyDescent="0.25">
      <c r="A936" s="1">
        <v>40443</v>
      </c>
      <c r="B936" s="2">
        <v>0.58333333333333337</v>
      </c>
      <c r="C936" s="3">
        <v>219.9</v>
      </c>
      <c r="D936" s="3">
        <v>223.65</v>
      </c>
      <c r="E936" s="3">
        <v>215.6</v>
      </c>
      <c r="F936" s="3">
        <v>216.2</v>
      </c>
    </row>
    <row r="937" spans="1:6" x14ac:dyDescent="0.25">
      <c r="A937" s="1">
        <v>40444</v>
      </c>
      <c r="B937" s="2">
        <v>0.58333333333333337</v>
      </c>
      <c r="C937" s="3">
        <v>217.25</v>
      </c>
      <c r="D937" s="3">
        <v>219.5</v>
      </c>
      <c r="E937" s="3">
        <v>215.85</v>
      </c>
      <c r="F937" s="3">
        <v>217.9</v>
      </c>
    </row>
    <row r="938" spans="1:6" x14ac:dyDescent="0.25">
      <c r="A938" s="1">
        <v>40445</v>
      </c>
      <c r="B938" s="2">
        <v>0.58333333333333337</v>
      </c>
      <c r="C938" s="3">
        <v>218.2</v>
      </c>
      <c r="D938" s="3">
        <v>219.95</v>
      </c>
      <c r="E938" s="3">
        <v>214.5</v>
      </c>
      <c r="F938" s="3">
        <v>216.85</v>
      </c>
    </row>
    <row r="939" spans="1:6" x14ac:dyDescent="0.25">
      <c r="A939" s="1">
        <v>40448</v>
      </c>
      <c r="B939" s="2">
        <v>0.58333333333333337</v>
      </c>
      <c r="C939" s="3">
        <v>216.95</v>
      </c>
      <c r="D939" s="3">
        <v>221.25</v>
      </c>
      <c r="E939" s="3">
        <v>215.8</v>
      </c>
      <c r="F939" s="3">
        <v>218.5</v>
      </c>
    </row>
    <row r="940" spans="1:6" x14ac:dyDescent="0.25">
      <c r="A940" s="1">
        <v>40449</v>
      </c>
      <c r="B940" s="2">
        <v>0.58333333333333337</v>
      </c>
      <c r="C940" s="3">
        <v>217.8</v>
      </c>
      <c r="D940" s="3">
        <v>227.15</v>
      </c>
      <c r="E940" s="3">
        <v>217.8</v>
      </c>
      <c r="F940" s="3">
        <v>225.2</v>
      </c>
    </row>
    <row r="941" spans="1:6" x14ac:dyDescent="0.25">
      <c r="A941" s="1">
        <v>40450</v>
      </c>
      <c r="B941" s="2">
        <v>0.58333333333333337</v>
      </c>
      <c r="C941" s="3">
        <v>225.2</v>
      </c>
      <c r="D941" s="3">
        <v>225.7</v>
      </c>
      <c r="E941" s="3">
        <v>219.5</v>
      </c>
      <c r="F941" s="3">
        <v>222</v>
      </c>
    </row>
    <row r="942" spans="1:6" x14ac:dyDescent="0.25">
      <c r="A942" s="1">
        <v>40451</v>
      </c>
      <c r="B942" s="2">
        <v>0.58333333333333337</v>
      </c>
      <c r="C942" s="3">
        <v>222</v>
      </c>
      <c r="D942" s="3">
        <v>223.7</v>
      </c>
      <c r="E942" s="3">
        <v>216.35</v>
      </c>
      <c r="F942" s="3">
        <v>219.3</v>
      </c>
    </row>
    <row r="943" spans="1:6" x14ac:dyDescent="0.25">
      <c r="A943" s="1">
        <v>40452</v>
      </c>
      <c r="B943" s="2">
        <v>0.58333333333333337</v>
      </c>
      <c r="C943" s="3">
        <v>219.9</v>
      </c>
      <c r="D943" s="3">
        <v>222.45</v>
      </c>
      <c r="E943" s="3">
        <v>216.75</v>
      </c>
      <c r="F943" s="3">
        <v>217.35</v>
      </c>
    </row>
    <row r="944" spans="1:6" x14ac:dyDescent="0.25">
      <c r="A944" s="1">
        <v>40455</v>
      </c>
      <c r="B944" s="2">
        <v>0.58333333333333337</v>
      </c>
      <c r="C944" s="3">
        <v>217.1</v>
      </c>
      <c r="D944" s="3">
        <v>217.35</v>
      </c>
      <c r="E944" s="3">
        <v>208.05</v>
      </c>
      <c r="F944" s="3">
        <v>208.75</v>
      </c>
    </row>
    <row r="945" spans="1:6" x14ac:dyDescent="0.25">
      <c r="A945" s="1">
        <v>40456</v>
      </c>
      <c r="B945" s="2">
        <v>0.58333333333333337</v>
      </c>
      <c r="C945" s="3">
        <v>209.5</v>
      </c>
      <c r="D945" s="3">
        <v>214.05</v>
      </c>
      <c r="E945" s="3">
        <v>207.85</v>
      </c>
      <c r="F945" s="3">
        <v>213.25</v>
      </c>
    </row>
    <row r="946" spans="1:6" x14ac:dyDescent="0.25">
      <c r="A946" s="1">
        <v>40457</v>
      </c>
      <c r="B946" s="2">
        <v>0.58333333333333337</v>
      </c>
      <c r="C946" s="3">
        <v>213</v>
      </c>
      <c r="D946" s="3">
        <v>213.95</v>
      </c>
      <c r="E946" s="3">
        <v>211.3</v>
      </c>
      <c r="F946" s="3">
        <v>211.8</v>
      </c>
    </row>
    <row r="947" spans="1:6" x14ac:dyDescent="0.25">
      <c r="A947" s="1">
        <v>40458</v>
      </c>
      <c r="B947" s="2">
        <v>0.58333333333333337</v>
      </c>
      <c r="C947" s="3">
        <v>212.35</v>
      </c>
      <c r="D947" s="3">
        <v>214.45</v>
      </c>
      <c r="E947" s="3">
        <v>209.5</v>
      </c>
      <c r="F947" s="3">
        <v>209.7</v>
      </c>
    </row>
    <row r="948" spans="1:6" x14ac:dyDescent="0.25">
      <c r="A948" s="1">
        <v>40459</v>
      </c>
      <c r="B948" s="2">
        <v>0.58333333333333337</v>
      </c>
      <c r="C948" s="3">
        <v>210</v>
      </c>
      <c r="D948" s="3">
        <v>219.2</v>
      </c>
      <c r="E948" s="3">
        <v>208.15</v>
      </c>
      <c r="F948" s="3">
        <v>218.4</v>
      </c>
    </row>
    <row r="949" spans="1:6" x14ac:dyDescent="0.25">
      <c r="A949" s="1">
        <v>40462</v>
      </c>
      <c r="B949" s="2">
        <v>0.58333333333333337</v>
      </c>
      <c r="C949" s="3">
        <v>217.75</v>
      </c>
      <c r="D949" s="3">
        <v>218.65</v>
      </c>
      <c r="E949" s="3">
        <v>212.6</v>
      </c>
      <c r="F949" s="3">
        <v>214.9</v>
      </c>
    </row>
    <row r="950" spans="1:6" x14ac:dyDescent="0.25">
      <c r="A950" s="1">
        <v>40463</v>
      </c>
      <c r="B950" s="2">
        <v>0.58333333333333337</v>
      </c>
      <c r="C950" s="3">
        <v>215.8</v>
      </c>
      <c r="D950" s="3">
        <v>224.25</v>
      </c>
      <c r="E950" s="3">
        <v>214.8</v>
      </c>
      <c r="F950" s="3">
        <v>221.95</v>
      </c>
    </row>
    <row r="951" spans="1:6" x14ac:dyDescent="0.25">
      <c r="A951" s="1">
        <v>40464</v>
      </c>
      <c r="B951" s="2">
        <v>0.58333333333333337</v>
      </c>
      <c r="C951" s="3">
        <v>222.65</v>
      </c>
      <c r="D951" s="3">
        <v>226.7</v>
      </c>
      <c r="E951" s="3">
        <v>220.85</v>
      </c>
      <c r="F951" s="3">
        <v>222.4</v>
      </c>
    </row>
    <row r="952" spans="1:6" x14ac:dyDescent="0.25">
      <c r="A952" s="1">
        <v>40465</v>
      </c>
      <c r="B952" s="2">
        <v>0.58333333333333337</v>
      </c>
      <c r="C952" s="3">
        <v>222.6</v>
      </c>
      <c r="D952" s="3">
        <v>225.35</v>
      </c>
      <c r="E952" s="3">
        <v>221.55</v>
      </c>
      <c r="F952" s="3">
        <v>223.85</v>
      </c>
    </row>
    <row r="953" spans="1:6" x14ac:dyDescent="0.25">
      <c r="A953" s="1">
        <v>40466</v>
      </c>
      <c r="B953" s="2">
        <v>0.58333333333333337</v>
      </c>
      <c r="C953" s="3">
        <v>223.95</v>
      </c>
      <c r="D953" s="3">
        <v>225.6</v>
      </c>
      <c r="E953" s="3">
        <v>219.5</v>
      </c>
      <c r="F953" s="3">
        <v>222.65</v>
      </c>
    </row>
    <row r="954" spans="1:6" x14ac:dyDescent="0.25">
      <c r="A954" s="1">
        <v>40469</v>
      </c>
      <c r="B954" s="2">
        <v>0.58333333333333337</v>
      </c>
      <c r="C954" s="3">
        <v>222.35</v>
      </c>
      <c r="D954" s="3">
        <v>224.5</v>
      </c>
      <c r="E954" s="3">
        <v>220</v>
      </c>
      <c r="F954" s="3">
        <v>221.85</v>
      </c>
    </row>
    <row r="955" spans="1:6" x14ac:dyDescent="0.25">
      <c r="A955" s="1">
        <v>40470</v>
      </c>
      <c r="B955" s="2">
        <v>0.58333333333333337</v>
      </c>
      <c r="C955" s="3">
        <v>221.15</v>
      </c>
      <c r="D955" s="3">
        <v>228.35</v>
      </c>
      <c r="E955" s="3">
        <v>220.8</v>
      </c>
      <c r="F955" s="3">
        <v>227.15</v>
      </c>
    </row>
    <row r="956" spans="1:6" x14ac:dyDescent="0.25">
      <c r="A956" s="1">
        <v>40471</v>
      </c>
      <c r="B956" s="2">
        <v>0.58333333333333337</v>
      </c>
      <c r="C956" s="3">
        <v>226.25</v>
      </c>
      <c r="D956" s="3">
        <v>234.4</v>
      </c>
      <c r="E956" s="3">
        <v>226.15</v>
      </c>
      <c r="F956" s="3">
        <v>233</v>
      </c>
    </row>
    <row r="957" spans="1:6" x14ac:dyDescent="0.25">
      <c r="A957" s="1">
        <v>40472</v>
      </c>
      <c r="B957" s="2">
        <v>0.58333333333333337</v>
      </c>
      <c r="C957" s="3">
        <v>232.25</v>
      </c>
      <c r="D957" s="3">
        <v>239.75</v>
      </c>
      <c r="E957" s="3">
        <v>231.75</v>
      </c>
      <c r="F957" s="3">
        <v>237.25</v>
      </c>
    </row>
    <row r="958" spans="1:6" x14ac:dyDescent="0.25">
      <c r="A958" s="1">
        <v>40473</v>
      </c>
      <c r="B958" s="2">
        <v>0.58333333333333337</v>
      </c>
      <c r="C958" s="3">
        <v>237</v>
      </c>
      <c r="D958" s="3">
        <v>237.95</v>
      </c>
      <c r="E958" s="3">
        <v>232.25</v>
      </c>
      <c r="F958" s="3">
        <v>235.1</v>
      </c>
    </row>
    <row r="959" spans="1:6" x14ac:dyDescent="0.25">
      <c r="A959" s="1">
        <v>40476</v>
      </c>
      <c r="B959" s="2">
        <v>0.58333333333333337</v>
      </c>
      <c r="C959" s="3">
        <v>236.35</v>
      </c>
      <c r="D959" s="3">
        <v>239.15</v>
      </c>
      <c r="E959" s="3">
        <v>235.15</v>
      </c>
      <c r="F959" s="3">
        <v>236.75</v>
      </c>
    </row>
    <row r="960" spans="1:6" x14ac:dyDescent="0.25">
      <c r="A960" s="1">
        <v>40477</v>
      </c>
      <c r="B960" s="2">
        <v>0.58333333333333337</v>
      </c>
      <c r="C960" s="3">
        <v>236.6</v>
      </c>
      <c r="D960" s="3">
        <v>240.85</v>
      </c>
      <c r="E960" s="3">
        <v>235.35</v>
      </c>
      <c r="F960" s="3">
        <v>238</v>
      </c>
    </row>
    <row r="961" spans="1:6" x14ac:dyDescent="0.25">
      <c r="A961" s="1">
        <v>40478</v>
      </c>
      <c r="B961" s="2">
        <v>0.58333333333333337</v>
      </c>
      <c r="C961" s="3">
        <v>237.7</v>
      </c>
      <c r="D961" s="3">
        <v>239.8</v>
      </c>
      <c r="E961" s="3">
        <v>235.5</v>
      </c>
      <c r="F961" s="3">
        <v>236.55</v>
      </c>
    </row>
    <row r="962" spans="1:6" x14ac:dyDescent="0.25">
      <c r="A962" s="1">
        <v>40479</v>
      </c>
      <c r="B962" s="2">
        <v>0.58333333333333337</v>
      </c>
      <c r="C962" s="3">
        <v>236.25</v>
      </c>
      <c r="D962" s="3">
        <v>238.2</v>
      </c>
      <c r="E962" s="3">
        <v>232.55</v>
      </c>
      <c r="F962" s="3">
        <v>232.85</v>
      </c>
    </row>
    <row r="963" spans="1:6" x14ac:dyDescent="0.25">
      <c r="A963" s="1">
        <v>40480</v>
      </c>
      <c r="B963" s="2">
        <v>0.58333333333333337</v>
      </c>
      <c r="C963" s="3">
        <v>233.75</v>
      </c>
      <c r="D963" s="3">
        <v>240.25</v>
      </c>
      <c r="E963" s="3">
        <v>233.3</v>
      </c>
      <c r="F963" s="3">
        <v>239.7</v>
      </c>
    </row>
    <row r="964" spans="1:6" x14ac:dyDescent="0.25">
      <c r="A964" s="1">
        <v>40483</v>
      </c>
      <c r="B964" s="2">
        <v>0.58333333333333337</v>
      </c>
      <c r="C964" s="3">
        <v>239.05</v>
      </c>
      <c r="D964" s="3">
        <v>239.5</v>
      </c>
      <c r="E964" s="3">
        <v>233.9</v>
      </c>
      <c r="F964" s="3">
        <v>233.95</v>
      </c>
    </row>
    <row r="965" spans="1:6" x14ac:dyDescent="0.25">
      <c r="A965" s="1">
        <v>40484</v>
      </c>
      <c r="B965" s="2">
        <v>0.58333333333333337</v>
      </c>
      <c r="C965" s="3">
        <v>234.4</v>
      </c>
      <c r="D965" s="3">
        <v>236.65</v>
      </c>
      <c r="E965" s="3">
        <v>233.95</v>
      </c>
      <c r="F965" s="3">
        <v>235.65</v>
      </c>
    </row>
    <row r="966" spans="1:6" x14ac:dyDescent="0.25">
      <c r="A966" s="1">
        <v>40485</v>
      </c>
      <c r="B966" s="2">
        <v>0.58333333333333337</v>
      </c>
      <c r="C966" s="3">
        <v>236.25</v>
      </c>
      <c r="D966" s="3">
        <v>237.1</v>
      </c>
      <c r="E966" s="3">
        <v>229.05</v>
      </c>
      <c r="F966" s="3">
        <v>232.4</v>
      </c>
    </row>
    <row r="967" spans="1:6" x14ac:dyDescent="0.25">
      <c r="A967" s="1">
        <v>40486</v>
      </c>
      <c r="B967" s="2">
        <v>0.58333333333333337</v>
      </c>
      <c r="C967" s="3">
        <v>233.75</v>
      </c>
      <c r="D967" s="3">
        <v>245.5</v>
      </c>
      <c r="E967" s="3">
        <v>233.5</v>
      </c>
      <c r="F967" s="3">
        <v>242.05</v>
      </c>
    </row>
    <row r="968" spans="1:6" x14ac:dyDescent="0.25">
      <c r="A968" s="1">
        <v>40487</v>
      </c>
      <c r="B968" s="2">
        <v>0.58333333333333337</v>
      </c>
      <c r="C968" s="3">
        <v>241.25</v>
      </c>
      <c r="D968" s="3">
        <v>243.1</v>
      </c>
      <c r="E968" s="3">
        <v>239.55</v>
      </c>
      <c r="F968" s="3">
        <v>241.4</v>
      </c>
    </row>
    <row r="969" spans="1:6" x14ac:dyDescent="0.25">
      <c r="A969" s="1">
        <v>40490</v>
      </c>
      <c r="B969" s="2">
        <v>0.58333333333333337</v>
      </c>
      <c r="C969" s="3">
        <v>240.75</v>
      </c>
      <c r="D969" s="3">
        <v>245.95</v>
      </c>
      <c r="E969" s="3">
        <v>240.1</v>
      </c>
      <c r="F969" s="3">
        <v>244.35</v>
      </c>
    </row>
    <row r="970" spans="1:6" x14ac:dyDescent="0.25">
      <c r="A970" s="1">
        <v>40491</v>
      </c>
      <c r="B970" s="2">
        <v>0.58333333333333337</v>
      </c>
      <c r="C970" s="3">
        <v>244.15</v>
      </c>
      <c r="D970" s="3">
        <v>254.1</v>
      </c>
      <c r="E970" s="3">
        <v>243.7</v>
      </c>
      <c r="F970" s="3">
        <v>253.3</v>
      </c>
    </row>
    <row r="971" spans="1:6" x14ac:dyDescent="0.25">
      <c r="A971" s="1">
        <v>40492</v>
      </c>
      <c r="B971" s="2">
        <v>0.58333333333333337</v>
      </c>
      <c r="C971" s="3">
        <v>253.6</v>
      </c>
      <c r="D971" s="3">
        <v>254.95</v>
      </c>
      <c r="E971" s="3">
        <v>247.6</v>
      </c>
      <c r="F971" s="3">
        <v>248.5</v>
      </c>
    </row>
    <row r="972" spans="1:6" x14ac:dyDescent="0.25">
      <c r="A972" s="1">
        <v>40493</v>
      </c>
      <c r="B972" s="2">
        <v>0.58333333333333337</v>
      </c>
      <c r="C972" s="3">
        <v>248.85</v>
      </c>
      <c r="D972" s="3">
        <v>251.15</v>
      </c>
      <c r="E972" s="3">
        <v>242.15</v>
      </c>
      <c r="F972" s="3">
        <v>243.05</v>
      </c>
    </row>
    <row r="973" spans="1:6" x14ac:dyDescent="0.25">
      <c r="A973" s="1">
        <v>40494</v>
      </c>
      <c r="B973" s="2">
        <v>0.58333333333333337</v>
      </c>
      <c r="C973" s="3">
        <v>242.15</v>
      </c>
      <c r="D973" s="3">
        <v>242.55</v>
      </c>
      <c r="E973" s="3">
        <v>235.6</v>
      </c>
      <c r="F973" s="3">
        <v>236.9</v>
      </c>
    </row>
    <row r="974" spans="1:6" x14ac:dyDescent="0.25">
      <c r="A974" s="1">
        <v>40497</v>
      </c>
      <c r="B974" s="2">
        <v>0.58333333333333337</v>
      </c>
      <c r="C974" s="3">
        <v>238.25</v>
      </c>
      <c r="D974" s="3">
        <v>242.45</v>
      </c>
      <c r="E974" s="3">
        <v>237.95</v>
      </c>
      <c r="F974" s="3">
        <v>240.8</v>
      </c>
    </row>
    <row r="975" spans="1:6" x14ac:dyDescent="0.25">
      <c r="A975" s="1">
        <v>40498</v>
      </c>
      <c r="B975" s="2">
        <v>0.58333333333333337</v>
      </c>
      <c r="C975" s="3">
        <v>241.35</v>
      </c>
      <c r="D975" s="3">
        <v>241.8</v>
      </c>
      <c r="E975" s="3">
        <v>233.1</v>
      </c>
      <c r="F975" s="3">
        <v>234.05</v>
      </c>
    </row>
    <row r="976" spans="1:6" x14ac:dyDescent="0.25">
      <c r="A976" s="1">
        <v>40499</v>
      </c>
      <c r="B976" s="2">
        <v>0.58333333333333337</v>
      </c>
      <c r="C976" s="3">
        <v>234.05</v>
      </c>
      <c r="D976" s="3">
        <v>237.35</v>
      </c>
      <c r="E976" s="3">
        <v>231.85</v>
      </c>
      <c r="F976" s="3">
        <v>236.4</v>
      </c>
    </row>
    <row r="977" spans="1:6" x14ac:dyDescent="0.25">
      <c r="A977" s="1">
        <v>40500</v>
      </c>
      <c r="B977" s="2">
        <v>0.58333333333333337</v>
      </c>
      <c r="C977" s="3">
        <v>236.9</v>
      </c>
      <c r="D977" s="3">
        <v>245.55</v>
      </c>
      <c r="E977" s="3">
        <v>236.9</v>
      </c>
      <c r="F977" s="3">
        <v>244.85</v>
      </c>
    </row>
    <row r="978" spans="1:6" x14ac:dyDescent="0.25">
      <c r="A978" s="1">
        <v>40501</v>
      </c>
      <c r="B978" s="2">
        <v>0.58333333333333337</v>
      </c>
      <c r="C978" s="3">
        <v>244.55</v>
      </c>
      <c r="D978" s="3">
        <v>245.35</v>
      </c>
      <c r="E978" s="3">
        <v>240.55</v>
      </c>
      <c r="F978" s="3">
        <v>244.8</v>
      </c>
    </row>
    <row r="979" spans="1:6" x14ac:dyDescent="0.25">
      <c r="A979" s="1">
        <v>40504</v>
      </c>
      <c r="B979" s="2">
        <v>0.58333333333333337</v>
      </c>
      <c r="C979" s="3">
        <v>244.85</v>
      </c>
      <c r="D979" s="3">
        <v>246.8</v>
      </c>
      <c r="E979" s="3">
        <v>239.55</v>
      </c>
      <c r="F979" s="3">
        <v>240.7</v>
      </c>
    </row>
    <row r="980" spans="1:6" x14ac:dyDescent="0.25">
      <c r="A980" s="1">
        <v>40505</v>
      </c>
      <c r="B980" s="2">
        <v>0.58333333333333337</v>
      </c>
      <c r="C980" s="3">
        <v>240.55</v>
      </c>
      <c r="D980" s="3">
        <v>245.15</v>
      </c>
      <c r="E980" s="3">
        <v>235</v>
      </c>
      <c r="F980" s="3">
        <v>244.1</v>
      </c>
    </row>
    <row r="981" spans="1:6" x14ac:dyDescent="0.25">
      <c r="A981" s="1">
        <v>40506</v>
      </c>
      <c r="B981" s="2">
        <v>0.58333333333333337</v>
      </c>
      <c r="C981" s="3">
        <v>244.25</v>
      </c>
      <c r="D981" s="3">
        <v>246.3</v>
      </c>
      <c r="E981" s="3">
        <v>239.75</v>
      </c>
      <c r="F981" s="3">
        <v>241</v>
      </c>
    </row>
    <row r="982" spans="1:6" x14ac:dyDescent="0.25">
      <c r="A982" s="1">
        <v>40508</v>
      </c>
      <c r="B982" s="2">
        <v>0.58333333333333337</v>
      </c>
      <c r="C982" s="3">
        <v>240.2</v>
      </c>
      <c r="D982" s="3">
        <v>240.55</v>
      </c>
      <c r="E982" s="3">
        <v>235.55</v>
      </c>
      <c r="F982" s="3">
        <v>236.25</v>
      </c>
    </row>
    <row r="983" spans="1:6" x14ac:dyDescent="0.25">
      <c r="A983" s="1">
        <v>40511</v>
      </c>
      <c r="B983" s="2">
        <v>0.58333333333333337</v>
      </c>
      <c r="C983" s="3">
        <v>235.55</v>
      </c>
      <c r="D983" s="3">
        <v>237.4</v>
      </c>
      <c r="E983" s="3">
        <v>232.55</v>
      </c>
      <c r="F983" s="3">
        <v>236.2</v>
      </c>
    </row>
    <row r="984" spans="1:6" x14ac:dyDescent="0.25">
      <c r="A984" s="1">
        <v>40512</v>
      </c>
      <c r="B984" s="2">
        <v>0.58333333333333337</v>
      </c>
      <c r="C984" s="3">
        <v>236.2</v>
      </c>
      <c r="D984" s="3">
        <v>237.55</v>
      </c>
      <c r="E984" s="3">
        <v>233.7</v>
      </c>
      <c r="F984" s="3">
        <v>234.75</v>
      </c>
    </row>
    <row r="985" spans="1:6" x14ac:dyDescent="0.25">
      <c r="A985" s="1">
        <v>40513</v>
      </c>
      <c r="B985" s="2">
        <v>0.58333333333333337</v>
      </c>
      <c r="C985" s="3">
        <v>234.9</v>
      </c>
      <c r="D985" s="3">
        <v>239.3</v>
      </c>
      <c r="E985" s="3">
        <v>233.6</v>
      </c>
      <c r="F985" s="3">
        <v>237.1</v>
      </c>
    </row>
    <row r="986" spans="1:6" x14ac:dyDescent="0.25">
      <c r="A986" s="1">
        <v>40514</v>
      </c>
      <c r="B986" s="2">
        <v>0.58333333333333337</v>
      </c>
      <c r="C986" s="3">
        <v>236.7</v>
      </c>
      <c r="D986" s="3">
        <v>238.4</v>
      </c>
      <c r="E986" s="3">
        <v>234.95</v>
      </c>
      <c r="F986" s="3">
        <v>237.25</v>
      </c>
    </row>
    <row r="987" spans="1:6" x14ac:dyDescent="0.25">
      <c r="A987" s="1">
        <v>40515</v>
      </c>
      <c r="B987" s="2">
        <v>0.58333333333333337</v>
      </c>
      <c r="C987" s="3">
        <v>237</v>
      </c>
      <c r="D987" s="3">
        <v>241</v>
      </c>
      <c r="E987" s="3">
        <v>236.7</v>
      </c>
      <c r="F987" s="3">
        <v>238.35</v>
      </c>
    </row>
    <row r="988" spans="1:6" x14ac:dyDescent="0.25">
      <c r="A988" s="1">
        <v>40518</v>
      </c>
      <c r="B988" s="2">
        <v>0.58333333333333337</v>
      </c>
      <c r="C988" s="3">
        <v>237.85</v>
      </c>
      <c r="D988" s="3">
        <v>243.55</v>
      </c>
      <c r="E988" s="3">
        <v>237.55</v>
      </c>
      <c r="F988" s="3">
        <v>242.5</v>
      </c>
    </row>
    <row r="989" spans="1:6" x14ac:dyDescent="0.25">
      <c r="A989" s="1">
        <v>40519</v>
      </c>
      <c r="B989" s="2">
        <v>0.58333333333333337</v>
      </c>
      <c r="C989" s="3">
        <v>242.65</v>
      </c>
      <c r="D989" s="3">
        <v>245.45</v>
      </c>
      <c r="E989" s="3">
        <v>240.8</v>
      </c>
      <c r="F989" s="3">
        <v>241.45</v>
      </c>
    </row>
    <row r="990" spans="1:6" x14ac:dyDescent="0.25">
      <c r="A990" s="1">
        <v>40520</v>
      </c>
      <c r="B990" s="2">
        <v>0.58333333333333337</v>
      </c>
      <c r="C990" s="3">
        <v>240.8</v>
      </c>
      <c r="D990" s="3">
        <v>242.2</v>
      </c>
      <c r="E990" s="3">
        <v>234.8</v>
      </c>
      <c r="F990" s="3">
        <v>238.2</v>
      </c>
    </row>
    <row r="991" spans="1:6" x14ac:dyDescent="0.25">
      <c r="A991" s="1">
        <v>40521</v>
      </c>
      <c r="B991" s="2">
        <v>0.58333333333333337</v>
      </c>
      <c r="C991" s="3">
        <v>239.15</v>
      </c>
      <c r="D991" s="3">
        <v>240.45</v>
      </c>
      <c r="E991" s="3">
        <v>237.65</v>
      </c>
      <c r="F991" s="3">
        <v>238.1</v>
      </c>
    </row>
    <row r="992" spans="1:6" x14ac:dyDescent="0.25">
      <c r="A992" s="1">
        <v>40522</v>
      </c>
      <c r="B992" s="2">
        <v>0.58333333333333337</v>
      </c>
      <c r="C992" s="3">
        <v>237.85</v>
      </c>
      <c r="D992" s="3">
        <v>244.35</v>
      </c>
      <c r="E992" s="3">
        <v>236.8</v>
      </c>
      <c r="F992" s="3">
        <v>243.15</v>
      </c>
    </row>
    <row r="993" spans="1:6" x14ac:dyDescent="0.25">
      <c r="A993" s="1">
        <v>40525</v>
      </c>
      <c r="B993" s="2">
        <v>0.58333333333333337</v>
      </c>
      <c r="C993" s="3">
        <v>242.35</v>
      </c>
      <c r="D993" s="3">
        <v>251.5</v>
      </c>
      <c r="E993" s="3">
        <v>241.85</v>
      </c>
      <c r="F993" s="3">
        <v>251.1</v>
      </c>
    </row>
    <row r="994" spans="1:6" x14ac:dyDescent="0.25">
      <c r="A994" s="1">
        <v>40526</v>
      </c>
      <c r="B994" s="2">
        <v>0.58333333333333337</v>
      </c>
      <c r="C994" s="3">
        <v>251.05</v>
      </c>
      <c r="D994" s="3">
        <v>253.45</v>
      </c>
      <c r="E994" s="3">
        <v>248.8</v>
      </c>
      <c r="F994" s="3">
        <v>250.25</v>
      </c>
    </row>
    <row r="995" spans="1:6" x14ac:dyDescent="0.25">
      <c r="A995" s="1">
        <v>40527</v>
      </c>
      <c r="B995" s="2">
        <v>0.58333333333333337</v>
      </c>
      <c r="C995" s="3">
        <v>249.25</v>
      </c>
      <c r="D995" s="3">
        <v>254.05</v>
      </c>
      <c r="E995" s="3">
        <v>248.9</v>
      </c>
      <c r="F995" s="3">
        <v>251.05</v>
      </c>
    </row>
    <row r="996" spans="1:6" x14ac:dyDescent="0.25">
      <c r="A996" s="1">
        <v>40528</v>
      </c>
      <c r="B996" s="2">
        <v>0.58333333333333337</v>
      </c>
      <c r="C996" s="3">
        <v>251.25</v>
      </c>
      <c r="D996" s="3">
        <v>252.1</v>
      </c>
      <c r="E996" s="3">
        <v>247.55</v>
      </c>
      <c r="F996" s="3">
        <v>250.1</v>
      </c>
    </row>
    <row r="997" spans="1:6" x14ac:dyDescent="0.25">
      <c r="A997" s="1">
        <v>40529</v>
      </c>
      <c r="B997" s="2">
        <v>0.58333333333333337</v>
      </c>
      <c r="C997" s="3">
        <v>250.55</v>
      </c>
      <c r="D997" s="3">
        <v>260.25</v>
      </c>
      <c r="E997" s="3">
        <v>250.4</v>
      </c>
      <c r="F997" s="3">
        <v>258.85000000000002</v>
      </c>
    </row>
    <row r="998" spans="1:6" x14ac:dyDescent="0.25">
      <c r="A998" s="1">
        <v>40532</v>
      </c>
      <c r="B998" s="2">
        <v>0.58333333333333337</v>
      </c>
      <c r="C998" s="3">
        <v>258.55</v>
      </c>
      <c r="D998" s="3">
        <v>260.5</v>
      </c>
      <c r="E998" s="3">
        <v>256.8</v>
      </c>
      <c r="F998" s="3">
        <v>258.2</v>
      </c>
    </row>
    <row r="999" spans="1:6" x14ac:dyDescent="0.25">
      <c r="A999" s="1">
        <v>40533</v>
      </c>
      <c r="B999" s="2">
        <v>0.58333333333333337</v>
      </c>
      <c r="C999" s="3">
        <v>258.10000000000002</v>
      </c>
      <c r="D999" s="3">
        <v>268.85000000000002</v>
      </c>
      <c r="E999" s="3">
        <v>257.14999999999998</v>
      </c>
      <c r="F999" s="3">
        <v>267.39999999999998</v>
      </c>
    </row>
    <row r="1000" spans="1:6" x14ac:dyDescent="0.25">
      <c r="A1000" s="1">
        <v>40534</v>
      </c>
      <c r="B1000" s="2">
        <v>0.58333333333333337</v>
      </c>
      <c r="C1000" s="3">
        <v>267.39999999999998</v>
      </c>
      <c r="D1000" s="3">
        <v>275.8</v>
      </c>
      <c r="E1000" s="3">
        <v>262.2</v>
      </c>
      <c r="F1000" s="3">
        <v>263.75</v>
      </c>
    </row>
    <row r="1001" spans="1:6" x14ac:dyDescent="0.25">
      <c r="A1001" s="1">
        <v>40535</v>
      </c>
      <c r="B1001" s="2">
        <v>0.58333333333333337</v>
      </c>
      <c r="C1001" s="3">
        <v>266.05</v>
      </c>
      <c r="D1001" s="3">
        <v>271.2</v>
      </c>
      <c r="E1001" s="3">
        <v>262.89999999999998</v>
      </c>
      <c r="F1001" s="3">
        <v>269.45</v>
      </c>
    </row>
    <row r="1002" spans="1:6" x14ac:dyDescent="0.25">
      <c r="A1002" s="1">
        <v>40539</v>
      </c>
      <c r="B1002" s="2">
        <v>0.58333333333333337</v>
      </c>
      <c r="C1002" s="3">
        <v>269.14999999999998</v>
      </c>
      <c r="D1002" s="3">
        <v>272.05</v>
      </c>
      <c r="E1002" s="3">
        <v>266.14999999999998</v>
      </c>
      <c r="F1002" s="3">
        <v>271</v>
      </c>
    </row>
    <row r="1003" spans="1:6" x14ac:dyDescent="0.25">
      <c r="A1003" s="1">
        <v>40540</v>
      </c>
      <c r="B1003" s="2">
        <v>0.58333333333333337</v>
      </c>
      <c r="C1003" s="3">
        <v>271.60000000000002</v>
      </c>
      <c r="D1003" s="3">
        <v>273.45</v>
      </c>
      <c r="E1003" s="3">
        <v>269.64999999999998</v>
      </c>
      <c r="F1003" s="3">
        <v>272.85000000000002</v>
      </c>
    </row>
    <row r="1004" spans="1:6" x14ac:dyDescent="0.25">
      <c r="A1004" s="1">
        <v>40541</v>
      </c>
      <c r="B1004" s="2">
        <v>0.58333333333333337</v>
      </c>
      <c r="C1004" s="3">
        <v>272.14999999999998</v>
      </c>
      <c r="D1004" s="3">
        <v>274.2</v>
      </c>
      <c r="E1004" s="3">
        <v>268.7</v>
      </c>
      <c r="F1004" s="3">
        <v>273.2</v>
      </c>
    </row>
    <row r="1005" spans="1:6" x14ac:dyDescent="0.25">
      <c r="A1005" s="1">
        <v>40542</v>
      </c>
      <c r="B1005" s="2">
        <v>0.58333333333333337</v>
      </c>
      <c r="C1005" s="3">
        <v>272.05</v>
      </c>
      <c r="D1005" s="3">
        <v>275.3</v>
      </c>
      <c r="E1005" s="3">
        <v>268.75</v>
      </c>
      <c r="F1005" s="3">
        <v>269.85000000000002</v>
      </c>
    </row>
    <row r="1006" spans="1:6" x14ac:dyDescent="0.25">
      <c r="A1006" s="1">
        <v>40543</v>
      </c>
      <c r="B1006" s="2">
        <v>0.58333333333333337</v>
      </c>
      <c r="C1006" s="3">
        <v>269.85000000000002</v>
      </c>
      <c r="D1006" s="3">
        <v>274.85000000000002</v>
      </c>
      <c r="E1006" s="3">
        <v>269.85000000000002</v>
      </c>
      <c r="F1006" s="3">
        <v>274.05</v>
      </c>
    </row>
    <row r="1007" spans="1:6" x14ac:dyDescent="0.25">
      <c r="A1007" s="1">
        <v>40546</v>
      </c>
      <c r="B1007" s="2">
        <v>0.58333333333333337</v>
      </c>
      <c r="C1007" s="3">
        <v>274.05</v>
      </c>
      <c r="D1007" s="3">
        <v>274.05</v>
      </c>
      <c r="E1007" s="3">
        <v>274.05</v>
      </c>
      <c r="F1007" s="3">
        <v>274.05</v>
      </c>
    </row>
    <row r="1008" spans="1:6" x14ac:dyDescent="0.25">
      <c r="A1008" s="1">
        <v>40547</v>
      </c>
      <c r="B1008" s="2">
        <v>0.58333333333333337</v>
      </c>
      <c r="C1008" s="3">
        <v>272.55</v>
      </c>
      <c r="D1008" s="3">
        <v>274.05</v>
      </c>
      <c r="E1008" s="3">
        <v>265.55</v>
      </c>
      <c r="F1008" s="3">
        <v>268.5</v>
      </c>
    </row>
    <row r="1009" spans="1:6" x14ac:dyDescent="0.25">
      <c r="A1009" s="1">
        <v>40548</v>
      </c>
      <c r="B1009" s="2">
        <v>0.58333333333333337</v>
      </c>
      <c r="C1009" s="3">
        <v>267.64999999999998</v>
      </c>
      <c r="D1009" s="3">
        <v>271.45</v>
      </c>
      <c r="E1009" s="3">
        <v>263.55</v>
      </c>
      <c r="F1009" s="3">
        <v>266.55</v>
      </c>
    </row>
    <row r="1010" spans="1:6" x14ac:dyDescent="0.25">
      <c r="A1010" s="1">
        <v>40549</v>
      </c>
      <c r="B1010" s="2">
        <v>0.58333333333333337</v>
      </c>
      <c r="C1010" s="3">
        <v>267.14999999999998</v>
      </c>
      <c r="D1010" s="3">
        <v>270.39999999999998</v>
      </c>
      <c r="E1010" s="3">
        <v>265.64999999999998</v>
      </c>
      <c r="F1010" s="3">
        <v>266.55</v>
      </c>
    </row>
    <row r="1011" spans="1:6" x14ac:dyDescent="0.25">
      <c r="A1011" s="1">
        <v>40550</v>
      </c>
      <c r="B1011" s="2">
        <v>0.58333333333333337</v>
      </c>
      <c r="C1011" s="3">
        <v>266.10000000000002</v>
      </c>
      <c r="D1011" s="3">
        <v>269.05</v>
      </c>
      <c r="E1011" s="3">
        <v>263.85000000000002</v>
      </c>
      <c r="F1011" s="3">
        <v>264.25</v>
      </c>
    </row>
    <row r="1012" spans="1:6" x14ac:dyDescent="0.25">
      <c r="A1012" s="1">
        <v>40553</v>
      </c>
      <c r="B1012" s="2">
        <v>0.58333333333333337</v>
      </c>
      <c r="C1012" s="3">
        <v>264.75</v>
      </c>
      <c r="D1012" s="3">
        <v>268.7</v>
      </c>
      <c r="E1012" s="3">
        <v>264.10000000000002</v>
      </c>
      <c r="F1012" s="3">
        <v>264.8</v>
      </c>
    </row>
    <row r="1013" spans="1:6" x14ac:dyDescent="0.25">
      <c r="A1013" s="1">
        <v>40554</v>
      </c>
      <c r="B1013" s="2">
        <v>0.58333333333333337</v>
      </c>
      <c r="C1013" s="3">
        <v>264.8</v>
      </c>
      <c r="D1013" s="3">
        <v>270.25</v>
      </c>
      <c r="E1013" s="3">
        <v>264.39999999999998</v>
      </c>
      <c r="F1013" s="3">
        <v>268.25</v>
      </c>
    </row>
    <row r="1014" spans="1:6" x14ac:dyDescent="0.25">
      <c r="A1014" s="1">
        <v>40555</v>
      </c>
      <c r="B1014" s="2">
        <v>0.58333333333333337</v>
      </c>
      <c r="C1014" s="3">
        <v>269.95</v>
      </c>
      <c r="D1014" s="3">
        <v>278.05</v>
      </c>
      <c r="E1014" s="3">
        <v>269.25</v>
      </c>
      <c r="F1014" s="3">
        <v>274.14999999999998</v>
      </c>
    </row>
    <row r="1015" spans="1:6" x14ac:dyDescent="0.25">
      <c r="A1015" s="1">
        <v>40556</v>
      </c>
      <c r="B1015" s="2">
        <v>0.58333333333333337</v>
      </c>
      <c r="C1015" s="3">
        <v>273.89999999999998</v>
      </c>
      <c r="D1015" s="3">
        <v>274.75</v>
      </c>
      <c r="E1015" s="3">
        <v>270.14999999999998</v>
      </c>
      <c r="F1015" s="3">
        <v>271.05</v>
      </c>
    </row>
    <row r="1016" spans="1:6" x14ac:dyDescent="0.25">
      <c r="A1016" s="1">
        <v>40557</v>
      </c>
      <c r="B1016" s="2">
        <v>0.58333333333333337</v>
      </c>
      <c r="C1016" s="3">
        <v>271.55</v>
      </c>
      <c r="D1016" s="3">
        <v>272.7</v>
      </c>
      <c r="E1016" s="3">
        <v>265.10000000000002</v>
      </c>
      <c r="F1016" s="3">
        <v>268.14999999999998</v>
      </c>
    </row>
    <row r="1017" spans="1:6" x14ac:dyDescent="0.25">
      <c r="A1017" s="1">
        <v>40561</v>
      </c>
      <c r="B1017" s="2">
        <v>0.58333333333333337</v>
      </c>
      <c r="C1017" s="3">
        <v>268.89999999999998</v>
      </c>
      <c r="D1017" s="3">
        <v>271.05</v>
      </c>
      <c r="E1017" s="3">
        <v>267.89999999999998</v>
      </c>
      <c r="F1017" s="3">
        <v>268.89999999999998</v>
      </c>
    </row>
    <row r="1018" spans="1:6" x14ac:dyDescent="0.25">
      <c r="A1018" s="1">
        <v>40562</v>
      </c>
      <c r="B1018" s="2">
        <v>0.58333333333333337</v>
      </c>
      <c r="C1018" s="3">
        <v>269.55</v>
      </c>
      <c r="D1018" s="3">
        <v>270.25</v>
      </c>
      <c r="E1018" s="3">
        <v>264.64999999999998</v>
      </c>
      <c r="F1018" s="3">
        <v>266.05</v>
      </c>
    </row>
    <row r="1019" spans="1:6" x14ac:dyDescent="0.25">
      <c r="A1019" s="1">
        <v>40563</v>
      </c>
      <c r="B1019" s="2">
        <v>0.58333333333333337</v>
      </c>
      <c r="C1019" s="3">
        <v>265.60000000000002</v>
      </c>
      <c r="D1019" s="3">
        <v>267.75</v>
      </c>
      <c r="E1019" s="3">
        <v>260.05</v>
      </c>
      <c r="F1019" s="3">
        <v>265.35000000000002</v>
      </c>
    </row>
    <row r="1020" spans="1:6" x14ac:dyDescent="0.25">
      <c r="A1020" s="1">
        <v>40564</v>
      </c>
      <c r="B1020" s="2">
        <v>0.58333333333333337</v>
      </c>
      <c r="C1020" s="3">
        <v>266.45</v>
      </c>
      <c r="D1020" s="3">
        <v>275.35000000000002</v>
      </c>
      <c r="E1020" s="3">
        <v>266.39999999999998</v>
      </c>
      <c r="F1020" s="3">
        <v>273.95</v>
      </c>
    </row>
    <row r="1021" spans="1:6" x14ac:dyDescent="0.25">
      <c r="A1021" s="1">
        <v>40567</v>
      </c>
      <c r="B1021" s="2">
        <v>0.58333333333333337</v>
      </c>
      <c r="C1021" s="3">
        <v>273.14999999999998</v>
      </c>
      <c r="D1021" s="3">
        <v>274.55</v>
      </c>
      <c r="E1021" s="3">
        <v>269.95</v>
      </c>
      <c r="F1021" s="3">
        <v>270.85000000000002</v>
      </c>
    </row>
    <row r="1022" spans="1:6" x14ac:dyDescent="0.25">
      <c r="A1022" s="1">
        <v>40568</v>
      </c>
      <c r="B1022" s="2">
        <v>0.58333333333333337</v>
      </c>
      <c r="C1022" s="3">
        <v>270.85000000000002</v>
      </c>
      <c r="D1022" s="3">
        <v>271.85000000000002</v>
      </c>
      <c r="E1022" s="3">
        <v>263.85000000000002</v>
      </c>
      <c r="F1022" s="3">
        <v>264.8</v>
      </c>
    </row>
    <row r="1023" spans="1:6" x14ac:dyDescent="0.25">
      <c r="A1023" s="1">
        <v>40569</v>
      </c>
      <c r="B1023" s="2">
        <v>0.58333333333333337</v>
      </c>
      <c r="C1023" s="3">
        <v>265.35000000000002</v>
      </c>
      <c r="D1023" s="3">
        <v>273.89999999999998</v>
      </c>
      <c r="E1023" s="3">
        <v>265.35000000000002</v>
      </c>
      <c r="F1023" s="3">
        <v>271.05</v>
      </c>
    </row>
    <row r="1024" spans="1:6" x14ac:dyDescent="0.25">
      <c r="A1024" s="1">
        <v>40570</v>
      </c>
      <c r="B1024" s="2">
        <v>0.58333333333333337</v>
      </c>
      <c r="C1024" s="3">
        <v>271.75</v>
      </c>
      <c r="D1024" s="3">
        <v>275.05</v>
      </c>
      <c r="E1024" s="3">
        <v>268.25</v>
      </c>
      <c r="F1024" s="3">
        <v>270.5</v>
      </c>
    </row>
    <row r="1025" spans="1:6" x14ac:dyDescent="0.25">
      <c r="A1025" s="1">
        <v>40571</v>
      </c>
      <c r="B1025" s="2">
        <v>0.58333333333333337</v>
      </c>
      <c r="C1025" s="3">
        <v>270.25</v>
      </c>
      <c r="D1025" s="3">
        <v>279.89999999999998</v>
      </c>
      <c r="E1025" s="3">
        <v>269.39999999999998</v>
      </c>
      <c r="F1025" s="3">
        <v>278.55</v>
      </c>
    </row>
    <row r="1026" spans="1:6" x14ac:dyDescent="0.25">
      <c r="A1026" s="1">
        <v>40574</v>
      </c>
      <c r="B1026" s="2">
        <v>0.58333333333333337</v>
      </c>
      <c r="C1026" s="3">
        <v>279.05</v>
      </c>
      <c r="D1026" s="3">
        <v>284.3</v>
      </c>
      <c r="E1026" s="3">
        <v>276.8</v>
      </c>
      <c r="F1026" s="3">
        <v>278.35000000000002</v>
      </c>
    </row>
    <row r="1027" spans="1:6" x14ac:dyDescent="0.25">
      <c r="A1027" s="1">
        <v>40575</v>
      </c>
      <c r="B1027" s="2">
        <v>0.58333333333333337</v>
      </c>
      <c r="C1027" s="3">
        <v>279.10000000000002</v>
      </c>
      <c r="D1027" s="3">
        <v>283.3</v>
      </c>
      <c r="E1027" s="3">
        <v>278.89999999999998</v>
      </c>
      <c r="F1027" s="3">
        <v>282.95</v>
      </c>
    </row>
    <row r="1028" spans="1:6" x14ac:dyDescent="0.25">
      <c r="A1028" s="1">
        <v>40576</v>
      </c>
      <c r="B1028" s="2">
        <v>0.58333333333333337</v>
      </c>
      <c r="C1028" s="3">
        <v>282.85000000000002</v>
      </c>
      <c r="D1028" s="3">
        <v>285.05</v>
      </c>
      <c r="E1028" s="3">
        <v>280.64999999999998</v>
      </c>
      <c r="F1028" s="3">
        <v>283.95</v>
      </c>
    </row>
    <row r="1029" spans="1:6" x14ac:dyDescent="0.25">
      <c r="A1029" s="1">
        <v>40577</v>
      </c>
      <c r="B1029" s="2">
        <v>0.58333333333333337</v>
      </c>
      <c r="C1029" s="3">
        <v>284.45</v>
      </c>
      <c r="D1029" s="3">
        <v>287.14999999999998</v>
      </c>
      <c r="E1029" s="3">
        <v>283.64999999999998</v>
      </c>
      <c r="F1029" s="3">
        <v>284.89999999999998</v>
      </c>
    </row>
    <row r="1030" spans="1:6" x14ac:dyDescent="0.25">
      <c r="A1030" s="1">
        <v>40578</v>
      </c>
      <c r="B1030" s="2">
        <v>0.58333333333333337</v>
      </c>
      <c r="C1030" s="3">
        <v>283.55</v>
      </c>
      <c r="D1030" s="3">
        <v>284.64999999999998</v>
      </c>
      <c r="E1030" s="3">
        <v>280.85000000000002</v>
      </c>
      <c r="F1030" s="3">
        <v>282.85000000000002</v>
      </c>
    </row>
    <row r="1031" spans="1:6" x14ac:dyDescent="0.25">
      <c r="A1031" s="1">
        <v>40581</v>
      </c>
      <c r="B1031" s="2">
        <v>0.58333333333333337</v>
      </c>
      <c r="C1031" s="3">
        <v>283.60000000000002</v>
      </c>
      <c r="D1031" s="3">
        <v>285.55</v>
      </c>
      <c r="E1031" s="3">
        <v>282.7</v>
      </c>
      <c r="F1031" s="3">
        <v>283.3</v>
      </c>
    </row>
    <row r="1032" spans="1:6" x14ac:dyDescent="0.25">
      <c r="A1032" s="1">
        <v>40582</v>
      </c>
      <c r="B1032" s="2">
        <v>0.58333333333333337</v>
      </c>
      <c r="C1032" s="3">
        <v>283.3</v>
      </c>
      <c r="D1032" s="3">
        <v>284.64999999999998</v>
      </c>
      <c r="E1032" s="3">
        <v>280.25</v>
      </c>
      <c r="F1032" s="3">
        <v>281.14999999999998</v>
      </c>
    </row>
    <row r="1033" spans="1:6" x14ac:dyDescent="0.25">
      <c r="A1033" s="1">
        <v>40583</v>
      </c>
      <c r="B1033" s="2">
        <v>0.58333333333333337</v>
      </c>
      <c r="C1033" s="3">
        <v>282.3</v>
      </c>
      <c r="D1033" s="3">
        <v>287.60000000000002</v>
      </c>
      <c r="E1033" s="3">
        <v>281.35000000000002</v>
      </c>
      <c r="F1033" s="3">
        <v>287.14999999999998</v>
      </c>
    </row>
    <row r="1034" spans="1:6" x14ac:dyDescent="0.25">
      <c r="A1034" s="1">
        <v>40584</v>
      </c>
      <c r="B1034" s="2">
        <v>0.58333333333333337</v>
      </c>
      <c r="C1034" s="3">
        <v>286.05</v>
      </c>
      <c r="D1034" s="3">
        <v>289.35000000000002</v>
      </c>
      <c r="E1034" s="3">
        <v>285.05</v>
      </c>
      <c r="F1034" s="3">
        <v>289.14999999999998</v>
      </c>
    </row>
    <row r="1035" spans="1:6" x14ac:dyDescent="0.25">
      <c r="A1035" s="1">
        <v>40585</v>
      </c>
      <c r="B1035" s="2">
        <v>0.58333333333333337</v>
      </c>
      <c r="C1035" s="3">
        <v>288.89999999999998</v>
      </c>
      <c r="D1035" s="3">
        <v>288.89999999999998</v>
      </c>
      <c r="E1035" s="3">
        <v>285.7</v>
      </c>
      <c r="F1035" s="3">
        <v>286.25</v>
      </c>
    </row>
    <row r="1036" spans="1:6" x14ac:dyDescent="0.25">
      <c r="A1036" s="1">
        <v>40588</v>
      </c>
      <c r="B1036" s="2">
        <v>0.58333333333333337</v>
      </c>
      <c r="C1036" s="3">
        <v>285.89999999999998</v>
      </c>
      <c r="D1036" s="3">
        <v>293.55</v>
      </c>
      <c r="E1036" s="3">
        <v>285.45</v>
      </c>
      <c r="F1036" s="3">
        <v>293</v>
      </c>
    </row>
    <row r="1037" spans="1:6" x14ac:dyDescent="0.25">
      <c r="A1037" s="1">
        <v>40589</v>
      </c>
      <c r="B1037" s="2">
        <v>0.58333333333333337</v>
      </c>
      <c r="C1037" s="3">
        <v>293</v>
      </c>
      <c r="D1037" s="3">
        <v>298.05</v>
      </c>
      <c r="E1037" s="3">
        <v>290</v>
      </c>
      <c r="F1037" s="3">
        <v>292.39999999999998</v>
      </c>
    </row>
    <row r="1038" spans="1:6" x14ac:dyDescent="0.25">
      <c r="A1038" s="1">
        <v>40590</v>
      </c>
      <c r="B1038" s="2">
        <v>0.58333333333333337</v>
      </c>
      <c r="C1038" s="3">
        <v>291.8</v>
      </c>
      <c r="D1038" s="3">
        <v>295.89999999999998</v>
      </c>
      <c r="E1038" s="3">
        <v>289.10000000000002</v>
      </c>
      <c r="F1038" s="3">
        <v>292.89999999999998</v>
      </c>
    </row>
    <row r="1039" spans="1:6" x14ac:dyDescent="0.25">
      <c r="A1039" s="1">
        <v>40591</v>
      </c>
      <c r="B1039" s="2">
        <v>0.58333333333333337</v>
      </c>
      <c r="C1039" s="3">
        <v>293</v>
      </c>
      <c r="D1039" s="3">
        <v>300.8</v>
      </c>
      <c r="E1039" s="3">
        <v>293</v>
      </c>
      <c r="F1039" s="3">
        <v>300.14999999999998</v>
      </c>
    </row>
    <row r="1040" spans="1:6" x14ac:dyDescent="0.25">
      <c r="A1040" s="1">
        <v>40592</v>
      </c>
      <c r="B1040" s="2">
        <v>0.58333333333333337</v>
      </c>
      <c r="C1040" s="3">
        <v>300.45</v>
      </c>
      <c r="D1040" s="3">
        <v>307.2</v>
      </c>
      <c r="E1040" s="3">
        <v>298.8</v>
      </c>
      <c r="F1040" s="3">
        <v>304.3</v>
      </c>
    </row>
    <row r="1041" spans="1:6" x14ac:dyDescent="0.25">
      <c r="A1041" s="1">
        <v>40595</v>
      </c>
      <c r="B1041" s="2">
        <v>0.58333333333333337</v>
      </c>
      <c r="C1041" s="3">
        <v>304.3</v>
      </c>
      <c r="D1041" s="3">
        <v>304.3</v>
      </c>
      <c r="E1041" s="3">
        <v>304.3</v>
      </c>
      <c r="F1041" s="3">
        <v>304.3</v>
      </c>
    </row>
    <row r="1042" spans="1:6" x14ac:dyDescent="0.25">
      <c r="A1042" s="1">
        <v>40596</v>
      </c>
      <c r="B1042" s="2">
        <v>0.58333333333333337</v>
      </c>
      <c r="C1042" s="3">
        <v>304.3</v>
      </c>
      <c r="D1042" s="3">
        <v>309.7</v>
      </c>
      <c r="E1042" s="3">
        <v>301.64999999999998</v>
      </c>
      <c r="F1042" s="3">
        <v>305.64999999999998</v>
      </c>
    </row>
    <row r="1043" spans="1:6" x14ac:dyDescent="0.25">
      <c r="A1043" s="1">
        <v>40597</v>
      </c>
      <c r="B1043" s="2">
        <v>0.58333333333333337</v>
      </c>
      <c r="C1043" s="3">
        <v>306.10000000000002</v>
      </c>
      <c r="D1043" s="3">
        <v>307.25</v>
      </c>
      <c r="E1043" s="3">
        <v>299.64999999999998</v>
      </c>
      <c r="F1043" s="3">
        <v>300.75</v>
      </c>
    </row>
    <row r="1044" spans="1:6" x14ac:dyDescent="0.25">
      <c r="A1044" s="1">
        <v>40598</v>
      </c>
      <c r="B1044" s="2">
        <v>0.58333333333333337</v>
      </c>
      <c r="C1044" s="3">
        <v>300.89999999999998</v>
      </c>
      <c r="D1044" s="3">
        <v>301.8</v>
      </c>
      <c r="E1044" s="3">
        <v>293.39999999999998</v>
      </c>
      <c r="F1044" s="3">
        <v>295.95</v>
      </c>
    </row>
    <row r="1045" spans="1:6" x14ac:dyDescent="0.25">
      <c r="A1045" s="1">
        <v>40599</v>
      </c>
      <c r="B1045" s="2">
        <v>0.58333333333333337</v>
      </c>
      <c r="C1045" s="3">
        <v>296.25</v>
      </c>
      <c r="D1045" s="3">
        <v>300.3</v>
      </c>
      <c r="E1045" s="3">
        <v>295.85000000000002</v>
      </c>
      <c r="F1045" s="3">
        <v>299.10000000000002</v>
      </c>
    </row>
    <row r="1046" spans="1:6" x14ac:dyDescent="0.25">
      <c r="A1046" s="1">
        <v>40602</v>
      </c>
      <c r="B1046" s="2">
        <v>0.58333333333333337</v>
      </c>
      <c r="C1046" s="3">
        <v>298.95</v>
      </c>
      <c r="D1046" s="3">
        <v>307.10000000000002</v>
      </c>
      <c r="E1046" s="3">
        <v>298.85000000000002</v>
      </c>
      <c r="F1046" s="3">
        <v>303</v>
      </c>
    </row>
    <row r="1047" spans="1:6" x14ac:dyDescent="0.25">
      <c r="A1047" s="1">
        <v>40603</v>
      </c>
      <c r="B1047" s="2">
        <v>0.58333333333333337</v>
      </c>
      <c r="C1047" s="3">
        <v>303.2</v>
      </c>
      <c r="D1047" s="3">
        <v>306.39999999999998</v>
      </c>
      <c r="E1047" s="3">
        <v>296.85000000000002</v>
      </c>
      <c r="F1047" s="3">
        <v>300.60000000000002</v>
      </c>
    </row>
    <row r="1048" spans="1:6" x14ac:dyDescent="0.25">
      <c r="A1048" s="1">
        <v>40604</v>
      </c>
      <c r="B1048" s="2">
        <v>0.58333333333333337</v>
      </c>
      <c r="C1048" s="3">
        <v>300.10000000000002</v>
      </c>
      <c r="D1048" s="3">
        <v>303.5</v>
      </c>
      <c r="E1048" s="3">
        <v>297.39999999999998</v>
      </c>
      <c r="F1048" s="3">
        <v>300.85000000000002</v>
      </c>
    </row>
    <row r="1049" spans="1:6" x14ac:dyDescent="0.25">
      <c r="A1049" s="1">
        <v>40605</v>
      </c>
      <c r="B1049" s="2">
        <v>0.58333333333333337</v>
      </c>
      <c r="C1049" s="3">
        <v>300.2</v>
      </c>
      <c r="D1049" s="3">
        <v>308.05</v>
      </c>
      <c r="E1049" s="3">
        <v>299.95</v>
      </c>
      <c r="F1049" s="3">
        <v>306.05</v>
      </c>
    </row>
    <row r="1050" spans="1:6" x14ac:dyDescent="0.25">
      <c r="A1050" s="1">
        <v>40606</v>
      </c>
      <c r="B1050" s="2">
        <v>0.58333333333333337</v>
      </c>
      <c r="C1050" s="3">
        <v>306.3</v>
      </c>
      <c r="D1050" s="3">
        <v>310.5</v>
      </c>
      <c r="E1050" s="3">
        <v>302.45</v>
      </c>
      <c r="F1050" s="3">
        <v>304.10000000000002</v>
      </c>
    </row>
    <row r="1051" spans="1:6" x14ac:dyDescent="0.25">
      <c r="A1051" s="1">
        <v>40609</v>
      </c>
      <c r="B1051" s="2">
        <v>0.58333333333333337</v>
      </c>
      <c r="C1051" s="3">
        <v>305.10000000000002</v>
      </c>
      <c r="D1051" s="3">
        <v>313.14999999999998</v>
      </c>
      <c r="E1051" s="3">
        <v>305.10000000000002</v>
      </c>
      <c r="F1051" s="3">
        <v>312.45</v>
      </c>
    </row>
    <row r="1052" spans="1:6" x14ac:dyDescent="0.25">
      <c r="A1052" s="1">
        <v>40610</v>
      </c>
      <c r="B1052" s="2">
        <v>0.58333333333333337</v>
      </c>
      <c r="C1052" s="3">
        <v>313.7</v>
      </c>
      <c r="D1052" s="3">
        <v>318.95</v>
      </c>
      <c r="E1052" s="3">
        <v>312.60000000000002</v>
      </c>
      <c r="F1052" s="3">
        <v>318.5</v>
      </c>
    </row>
    <row r="1053" spans="1:6" x14ac:dyDescent="0.25">
      <c r="A1053" s="1">
        <v>40611</v>
      </c>
      <c r="B1053" s="2">
        <v>0.58333333333333337</v>
      </c>
      <c r="C1053" s="3">
        <v>318.85000000000002</v>
      </c>
      <c r="D1053" s="3">
        <v>327.95</v>
      </c>
      <c r="E1053" s="3">
        <v>318.64999999999998</v>
      </c>
      <c r="F1053" s="3">
        <v>326.14999999999998</v>
      </c>
    </row>
    <row r="1054" spans="1:6" x14ac:dyDescent="0.25">
      <c r="A1054" s="1">
        <v>40612</v>
      </c>
      <c r="B1054" s="2">
        <v>0.58333333333333337</v>
      </c>
      <c r="C1054" s="3">
        <v>326.39999999999998</v>
      </c>
      <c r="D1054" s="3">
        <v>326.39999999999998</v>
      </c>
      <c r="E1054" s="3">
        <v>309.95</v>
      </c>
      <c r="F1054" s="3">
        <v>311.85000000000002</v>
      </c>
    </row>
    <row r="1055" spans="1:6" x14ac:dyDescent="0.25">
      <c r="A1055" s="1">
        <v>40613</v>
      </c>
      <c r="B1055" s="2">
        <v>0.58333333333333337</v>
      </c>
      <c r="C1055" s="3">
        <v>312.2</v>
      </c>
      <c r="D1055" s="3">
        <v>312.95</v>
      </c>
      <c r="E1055" s="3">
        <v>303.5</v>
      </c>
      <c r="F1055" s="3">
        <v>305.7</v>
      </c>
    </row>
    <row r="1056" spans="1:6" x14ac:dyDescent="0.25">
      <c r="A1056" s="1">
        <v>40616</v>
      </c>
      <c r="B1056" s="2">
        <v>0.58333333333333337</v>
      </c>
      <c r="C1056" s="3">
        <v>305.39999999999998</v>
      </c>
      <c r="D1056" s="3">
        <v>307.7</v>
      </c>
      <c r="E1056" s="3">
        <v>300.14999999999998</v>
      </c>
      <c r="F1056" s="3">
        <v>304.60000000000002</v>
      </c>
    </row>
    <row r="1057" spans="1:6" x14ac:dyDescent="0.25">
      <c r="A1057" s="1">
        <v>40617</v>
      </c>
      <c r="B1057" s="2">
        <v>0.58333333333333337</v>
      </c>
      <c r="C1057" s="3">
        <v>302.60000000000002</v>
      </c>
      <c r="D1057" s="3">
        <v>304.55</v>
      </c>
      <c r="E1057" s="3">
        <v>292.25</v>
      </c>
      <c r="F1057" s="3">
        <v>294.25</v>
      </c>
    </row>
    <row r="1058" spans="1:6" x14ac:dyDescent="0.25">
      <c r="A1058" s="1">
        <v>40618</v>
      </c>
      <c r="B1058" s="2">
        <v>0.58333333333333337</v>
      </c>
      <c r="C1058" s="3">
        <v>295.10000000000002</v>
      </c>
      <c r="D1058" s="3">
        <v>304.3</v>
      </c>
      <c r="E1058" s="3">
        <v>294.89999999999998</v>
      </c>
      <c r="F1058" s="3">
        <v>296.64999999999998</v>
      </c>
    </row>
    <row r="1059" spans="1:6" x14ac:dyDescent="0.25">
      <c r="A1059" s="1">
        <v>40619</v>
      </c>
      <c r="B1059" s="2">
        <v>0.58333333333333337</v>
      </c>
      <c r="C1059" s="3">
        <v>297.3</v>
      </c>
      <c r="D1059" s="3">
        <v>305.60000000000002</v>
      </c>
      <c r="E1059" s="3">
        <v>297.10000000000002</v>
      </c>
      <c r="F1059" s="3">
        <v>302.2</v>
      </c>
    </row>
    <row r="1060" spans="1:6" x14ac:dyDescent="0.25">
      <c r="A1060" s="1">
        <v>40620</v>
      </c>
      <c r="B1060" s="2">
        <v>0.58333333333333337</v>
      </c>
      <c r="C1060" s="3">
        <v>304.3</v>
      </c>
      <c r="D1060" s="3">
        <v>309.45</v>
      </c>
      <c r="E1060" s="3">
        <v>303.7</v>
      </c>
      <c r="F1060" s="3">
        <v>307.5</v>
      </c>
    </row>
    <row r="1061" spans="1:6" x14ac:dyDescent="0.25">
      <c r="A1061" s="1">
        <v>40623</v>
      </c>
      <c r="B1061" s="2">
        <v>0.58333333333333337</v>
      </c>
      <c r="C1061" s="3">
        <v>309.2</v>
      </c>
      <c r="D1061" s="3">
        <v>312.45</v>
      </c>
      <c r="E1061" s="3">
        <v>306.8</v>
      </c>
      <c r="F1061" s="3">
        <v>308.3</v>
      </c>
    </row>
    <row r="1062" spans="1:6" x14ac:dyDescent="0.25">
      <c r="A1062" s="1">
        <v>40624</v>
      </c>
      <c r="B1062" s="2">
        <v>0.58333333333333337</v>
      </c>
      <c r="C1062" s="3">
        <v>308.35000000000002</v>
      </c>
      <c r="D1062" s="3">
        <v>309</v>
      </c>
      <c r="E1062" s="3">
        <v>299.45</v>
      </c>
      <c r="F1062" s="3">
        <v>304.75</v>
      </c>
    </row>
    <row r="1063" spans="1:6" x14ac:dyDescent="0.25">
      <c r="A1063" s="1">
        <v>40625</v>
      </c>
      <c r="B1063" s="2">
        <v>0.58333333333333337</v>
      </c>
      <c r="C1063" s="3">
        <v>305.55</v>
      </c>
      <c r="D1063" s="3">
        <v>306.7</v>
      </c>
      <c r="E1063" s="3">
        <v>299.7</v>
      </c>
      <c r="F1063" s="3">
        <v>299.89999999999998</v>
      </c>
    </row>
    <row r="1064" spans="1:6" x14ac:dyDescent="0.25">
      <c r="A1064" s="1">
        <v>40626</v>
      </c>
      <c r="B1064" s="2">
        <v>0.58333333333333337</v>
      </c>
      <c r="C1064" s="3">
        <v>299.7</v>
      </c>
      <c r="D1064" s="3">
        <v>300.25</v>
      </c>
      <c r="E1064" s="3">
        <v>291.85000000000002</v>
      </c>
      <c r="F1064" s="3">
        <v>297.10000000000002</v>
      </c>
    </row>
    <row r="1065" spans="1:6" x14ac:dyDescent="0.25">
      <c r="A1065" s="1">
        <v>40627</v>
      </c>
      <c r="B1065" s="2">
        <v>0.58333333333333337</v>
      </c>
      <c r="C1065" s="3">
        <v>298.45</v>
      </c>
      <c r="D1065" s="3">
        <v>301.3</v>
      </c>
      <c r="E1065" s="3">
        <v>297.45</v>
      </c>
      <c r="F1065" s="3">
        <v>300.89999999999998</v>
      </c>
    </row>
    <row r="1066" spans="1:6" x14ac:dyDescent="0.25">
      <c r="A1066" s="1">
        <v>40630</v>
      </c>
      <c r="B1066" s="2">
        <v>0.58333333333333337</v>
      </c>
      <c r="C1066" s="3">
        <v>300.89999999999998</v>
      </c>
      <c r="D1066" s="3">
        <v>301</v>
      </c>
      <c r="E1066" s="3">
        <v>294.35000000000002</v>
      </c>
      <c r="F1066" s="3">
        <v>295.60000000000002</v>
      </c>
    </row>
    <row r="1067" spans="1:6" x14ac:dyDescent="0.25">
      <c r="A1067" s="1">
        <v>40631</v>
      </c>
      <c r="B1067" s="2">
        <v>0.58333333333333337</v>
      </c>
      <c r="C1067" s="3">
        <v>295.25</v>
      </c>
      <c r="D1067" s="3">
        <v>295.3</v>
      </c>
      <c r="E1067" s="3">
        <v>289.10000000000002</v>
      </c>
      <c r="F1067" s="3">
        <v>293.55</v>
      </c>
    </row>
    <row r="1068" spans="1:6" x14ac:dyDescent="0.25">
      <c r="A1068" s="1">
        <v>40632</v>
      </c>
      <c r="B1068" s="2">
        <v>0.58333333333333337</v>
      </c>
      <c r="C1068" s="3">
        <v>293.8</v>
      </c>
      <c r="D1068" s="3">
        <v>297</v>
      </c>
      <c r="E1068" s="3">
        <v>290.39999999999998</v>
      </c>
      <c r="F1068" s="3">
        <v>296.45</v>
      </c>
    </row>
    <row r="1069" spans="1:6" x14ac:dyDescent="0.25">
      <c r="A1069" s="1">
        <v>40633</v>
      </c>
      <c r="B1069" s="2">
        <v>0.58333333333333337</v>
      </c>
      <c r="C1069" s="3">
        <v>296.7</v>
      </c>
      <c r="D1069" s="3">
        <v>298.7</v>
      </c>
      <c r="E1069" s="3">
        <v>293.35000000000002</v>
      </c>
      <c r="F1069" s="3">
        <v>295.45</v>
      </c>
    </row>
    <row r="1070" spans="1:6" x14ac:dyDescent="0.25">
      <c r="A1070" s="1">
        <v>40634</v>
      </c>
      <c r="B1070" s="2">
        <v>0.58333333333333337</v>
      </c>
      <c r="C1070" s="3">
        <v>296.8</v>
      </c>
      <c r="D1070" s="3">
        <v>297.55</v>
      </c>
      <c r="E1070" s="3">
        <v>290.10000000000002</v>
      </c>
      <c r="F1070" s="3">
        <v>291.75</v>
      </c>
    </row>
    <row r="1071" spans="1:6" x14ac:dyDescent="0.25">
      <c r="A1071" s="1">
        <v>40637</v>
      </c>
      <c r="B1071" s="2">
        <v>0.58333333333333337</v>
      </c>
      <c r="C1071" s="3">
        <v>291.35000000000002</v>
      </c>
      <c r="D1071" s="3">
        <v>292.3</v>
      </c>
      <c r="E1071" s="3">
        <v>286.95</v>
      </c>
      <c r="F1071" s="3">
        <v>287.5</v>
      </c>
    </row>
    <row r="1072" spans="1:6" x14ac:dyDescent="0.25">
      <c r="A1072" s="1">
        <v>40638</v>
      </c>
      <c r="B1072" s="2">
        <v>0.58333333333333337</v>
      </c>
      <c r="C1072" s="3">
        <v>286.39999999999998</v>
      </c>
      <c r="D1072" s="3">
        <v>301.25</v>
      </c>
      <c r="E1072" s="3">
        <v>285.35000000000002</v>
      </c>
      <c r="F1072" s="3">
        <v>299.55</v>
      </c>
    </row>
    <row r="1073" spans="1:6" x14ac:dyDescent="0.25">
      <c r="A1073" s="1">
        <v>40639</v>
      </c>
      <c r="B1073" s="2">
        <v>0.58333333333333337</v>
      </c>
      <c r="C1073" s="3">
        <v>299.39999999999998</v>
      </c>
      <c r="D1073" s="3">
        <v>300.64999999999998</v>
      </c>
      <c r="E1073" s="3">
        <v>295.55</v>
      </c>
      <c r="F1073" s="3">
        <v>296.45</v>
      </c>
    </row>
    <row r="1074" spans="1:6" x14ac:dyDescent="0.25">
      <c r="A1074" s="1">
        <v>40640</v>
      </c>
      <c r="B1074" s="2">
        <v>0.58333333333333337</v>
      </c>
      <c r="C1074" s="3">
        <v>296.5</v>
      </c>
      <c r="D1074" s="3">
        <v>307.14999999999998</v>
      </c>
      <c r="E1074" s="3">
        <v>296.39999999999998</v>
      </c>
      <c r="F1074" s="3">
        <v>304.10000000000002</v>
      </c>
    </row>
    <row r="1075" spans="1:6" x14ac:dyDescent="0.25">
      <c r="A1075" s="1">
        <v>40641</v>
      </c>
      <c r="B1075" s="2">
        <v>0.58333333333333337</v>
      </c>
      <c r="C1075" s="3">
        <v>304.10000000000002</v>
      </c>
      <c r="D1075" s="3">
        <v>309.8</v>
      </c>
      <c r="E1075" s="3">
        <v>303.39999999999998</v>
      </c>
      <c r="F1075" s="3">
        <v>306.25</v>
      </c>
    </row>
    <row r="1076" spans="1:6" x14ac:dyDescent="0.25">
      <c r="A1076" s="1">
        <v>40644</v>
      </c>
      <c r="B1076" s="2">
        <v>0.58333333333333337</v>
      </c>
      <c r="C1076" s="3">
        <v>305.3</v>
      </c>
      <c r="D1076" s="3">
        <v>308.2</v>
      </c>
      <c r="E1076" s="3">
        <v>301.2</v>
      </c>
      <c r="F1076" s="3">
        <v>306</v>
      </c>
    </row>
    <row r="1077" spans="1:6" x14ac:dyDescent="0.25">
      <c r="A1077" s="1">
        <v>40645</v>
      </c>
      <c r="B1077" s="2">
        <v>0.58333333333333337</v>
      </c>
      <c r="C1077" s="3">
        <v>303.8</v>
      </c>
      <c r="D1077" s="3">
        <v>307.05</v>
      </c>
      <c r="E1077" s="3">
        <v>301.89999999999998</v>
      </c>
      <c r="F1077" s="3">
        <v>305.3</v>
      </c>
    </row>
    <row r="1078" spans="1:6" x14ac:dyDescent="0.25">
      <c r="A1078" s="1">
        <v>40646</v>
      </c>
      <c r="B1078" s="2">
        <v>0.58333333333333337</v>
      </c>
      <c r="C1078" s="3">
        <v>304.14999999999998</v>
      </c>
      <c r="D1078" s="3">
        <v>313.45</v>
      </c>
      <c r="E1078" s="3">
        <v>303.8</v>
      </c>
      <c r="F1078" s="3">
        <v>312.10000000000002</v>
      </c>
    </row>
    <row r="1079" spans="1:6" x14ac:dyDescent="0.25">
      <c r="A1079" s="1">
        <v>40647</v>
      </c>
      <c r="B1079" s="2">
        <v>0.58333333333333337</v>
      </c>
      <c r="C1079" s="3">
        <v>311.89999999999998</v>
      </c>
      <c r="D1079" s="3">
        <v>316.10000000000002</v>
      </c>
      <c r="E1079" s="3">
        <v>310</v>
      </c>
      <c r="F1079" s="3">
        <v>313.55</v>
      </c>
    </row>
    <row r="1080" spans="1:6" x14ac:dyDescent="0.25">
      <c r="A1080" s="1">
        <v>40648</v>
      </c>
      <c r="B1080" s="2">
        <v>0.58333333333333337</v>
      </c>
      <c r="C1080" s="3">
        <v>314.25</v>
      </c>
      <c r="D1080" s="3">
        <v>320.05</v>
      </c>
      <c r="E1080" s="3">
        <v>313.60000000000002</v>
      </c>
      <c r="F1080" s="3">
        <v>319.5</v>
      </c>
    </row>
    <row r="1081" spans="1:6" x14ac:dyDescent="0.25">
      <c r="A1081" s="1">
        <v>40651</v>
      </c>
      <c r="B1081" s="2">
        <v>0.58333333333333337</v>
      </c>
      <c r="C1081" s="3">
        <v>319.39999999999998</v>
      </c>
      <c r="D1081" s="3">
        <v>321.5</v>
      </c>
      <c r="E1081" s="3">
        <v>314.10000000000002</v>
      </c>
      <c r="F1081" s="3">
        <v>315.8</v>
      </c>
    </row>
    <row r="1082" spans="1:6" x14ac:dyDescent="0.25">
      <c r="A1082" s="1">
        <v>40652</v>
      </c>
      <c r="B1082" s="2">
        <v>0.58333333333333337</v>
      </c>
      <c r="C1082" s="3">
        <v>315.89999999999998</v>
      </c>
      <c r="D1082" s="3">
        <v>323.05</v>
      </c>
      <c r="E1082" s="3">
        <v>314.39999999999998</v>
      </c>
      <c r="F1082" s="3">
        <v>322.64999999999998</v>
      </c>
    </row>
    <row r="1083" spans="1:6" x14ac:dyDescent="0.25">
      <c r="A1083" s="1">
        <v>40653</v>
      </c>
      <c r="B1083" s="2">
        <v>0.58333333333333337</v>
      </c>
      <c r="C1083" s="3">
        <v>322.64999999999998</v>
      </c>
      <c r="D1083" s="3">
        <v>330.9</v>
      </c>
      <c r="E1083" s="3">
        <v>322.64999999999998</v>
      </c>
      <c r="F1083" s="3">
        <v>327.85</v>
      </c>
    </row>
    <row r="1084" spans="1:6" x14ac:dyDescent="0.25">
      <c r="A1084" s="1">
        <v>40654</v>
      </c>
      <c r="B1084" s="2">
        <v>0.58333333333333337</v>
      </c>
      <c r="C1084" s="3">
        <v>327.55</v>
      </c>
      <c r="D1084" s="3">
        <v>328.95</v>
      </c>
      <c r="E1084" s="3">
        <v>322.14999999999998</v>
      </c>
      <c r="F1084" s="3">
        <v>322.95</v>
      </c>
    </row>
    <row r="1085" spans="1:6" x14ac:dyDescent="0.25">
      <c r="A1085" s="1">
        <v>40658</v>
      </c>
      <c r="B1085" s="2">
        <v>0.58333333333333337</v>
      </c>
      <c r="C1085" s="3">
        <v>325.2</v>
      </c>
      <c r="D1085" s="3">
        <v>325.3</v>
      </c>
      <c r="E1085" s="3">
        <v>317.5</v>
      </c>
      <c r="F1085" s="3">
        <v>319.2</v>
      </c>
    </row>
    <row r="1086" spans="1:6" x14ac:dyDescent="0.25">
      <c r="A1086" s="1">
        <v>40659</v>
      </c>
      <c r="B1086" s="2">
        <v>0.58333333333333337</v>
      </c>
      <c r="C1086" s="3">
        <v>317.95</v>
      </c>
      <c r="D1086" s="3">
        <v>327.9</v>
      </c>
      <c r="E1086" s="3">
        <v>315.25</v>
      </c>
      <c r="F1086" s="3">
        <v>324.7</v>
      </c>
    </row>
    <row r="1087" spans="1:6" x14ac:dyDescent="0.25">
      <c r="A1087" s="1">
        <v>40660</v>
      </c>
      <c r="B1087" s="2">
        <v>0.58333333333333337</v>
      </c>
      <c r="C1087" s="3">
        <v>324.05</v>
      </c>
      <c r="D1087" s="3">
        <v>327.14999999999998</v>
      </c>
      <c r="E1087" s="3">
        <v>321.89999999999998</v>
      </c>
      <c r="F1087" s="3">
        <v>324.8</v>
      </c>
    </row>
    <row r="1088" spans="1:6" x14ac:dyDescent="0.25">
      <c r="A1088" s="1">
        <v>40661</v>
      </c>
      <c r="B1088" s="2">
        <v>0.58333333333333337</v>
      </c>
      <c r="C1088" s="3">
        <v>325.39999999999998</v>
      </c>
      <c r="D1088" s="3">
        <v>331.8</v>
      </c>
      <c r="E1088" s="3">
        <v>324.39999999999998</v>
      </c>
      <c r="F1088" s="3">
        <v>327.60000000000002</v>
      </c>
    </row>
    <row r="1089" spans="1:6" x14ac:dyDescent="0.25">
      <c r="A1089" s="1">
        <v>40662</v>
      </c>
      <c r="B1089" s="2">
        <v>0.58333333333333337</v>
      </c>
      <c r="C1089" s="3">
        <v>326.7</v>
      </c>
      <c r="D1089" s="3">
        <v>329.9</v>
      </c>
      <c r="E1089" s="3">
        <v>323.10000000000002</v>
      </c>
      <c r="F1089" s="3">
        <v>328.25</v>
      </c>
    </row>
    <row r="1090" spans="1:6" x14ac:dyDescent="0.25">
      <c r="A1090" s="1">
        <v>40665</v>
      </c>
      <c r="B1090" s="2">
        <v>0.58333333333333337</v>
      </c>
      <c r="C1090" s="3">
        <v>328.05</v>
      </c>
      <c r="D1090" s="3">
        <v>335.6</v>
      </c>
      <c r="E1090" s="3">
        <v>325.14999999999998</v>
      </c>
      <c r="F1090" s="3">
        <v>333.5</v>
      </c>
    </row>
    <row r="1091" spans="1:6" x14ac:dyDescent="0.25">
      <c r="A1091" s="1">
        <v>40666</v>
      </c>
      <c r="B1091" s="2">
        <v>0.58333333333333337</v>
      </c>
      <c r="C1091" s="3">
        <v>333.6</v>
      </c>
      <c r="D1091" s="3">
        <v>337.3</v>
      </c>
      <c r="E1091" s="3">
        <v>332.4</v>
      </c>
      <c r="F1091" s="3">
        <v>334.55</v>
      </c>
    </row>
    <row r="1092" spans="1:6" x14ac:dyDescent="0.25">
      <c r="A1092" s="1">
        <v>40667</v>
      </c>
      <c r="B1092" s="2">
        <v>0.58333333333333337</v>
      </c>
      <c r="C1092" s="3">
        <v>333.6</v>
      </c>
      <c r="D1092" s="3">
        <v>335.2</v>
      </c>
      <c r="E1092" s="3">
        <v>319.60000000000002</v>
      </c>
      <c r="F1092" s="3">
        <v>322.89999999999998</v>
      </c>
    </row>
    <row r="1093" spans="1:6" x14ac:dyDescent="0.25">
      <c r="A1093" s="1">
        <v>40668</v>
      </c>
      <c r="B1093" s="2">
        <v>0.58333333333333337</v>
      </c>
      <c r="C1093" s="3">
        <v>322.89999999999998</v>
      </c>
      <c r="D1093" s="3">
        <v>323.60000000000002</v>
      </c>
      <c r="E1093" s="3">
        <v>312.5</v>
      </c>
      <c r="F1093" s="3">
        <v>316.64999999999998</v>
      </c>
    </row>
    <row r="1094" spans="1:6" x14ac:dyDescent="0.25">
      <c r="A1094" s="1">
        <v>40669</v>
      </c>
      <c r="B1094" s="2">
        <v>0.58333333333333337</v>
      </c>
      <c r="C1094" s="3">
        <v>315.45</v>
      </c>
      <c r="D1094" s="3">
        <v>323.3</v>
      </c>
      <c r="E1094" s="3">
        <v>311.89999999999998</v>
      </c>
      <c r="F1094" s="3">
        <v>315.95</v>
      </c>
    </row>
    <row r="1095" spans="1:6" x14ac:dyDescent="0.25">
      <c r="A1095" s="1">
        <v>40672</v>
      </c>
      <c r="B1095" s="2">
        <v>0.58333333333333337</v>
      </c>
      <c r="C1095" s="3">
        <v>318.39999999999998</v>
      </c>
      <c r="D1095" s="3">
        <v>322.64999999999998</v>
      </c>
      <c r="E1095" s="3">
        <v>315.39999999999998</v>
      </c>
      <c r="F1095" s="3">
        <v>315.8</v>
      </c>
    </row>
    <row r="1096" spans="1:6" x14ac:dyDescent="0.25">
      <c r="A1096" s="1">
        <v>40673</v>
      </c>
      <c r="B1096" s="2">
        <v>0.58333333333333337</v>
      </c>
      <c r="C1096" s="3">
        <v>317.3</v>
      </c>
      <c r="D1096" s="3">
        <v>318.85000000000002</v>
      </c>
      <c r="E1096" s="3">
        <v>310.05</v>
      </c>
      <c r="F1096" s="3">
        <v>311</v>
      </c>
    </row>
    <row r="1097" spans="1:6" x14ac:dyDescent="0.25">
      <c r="A1097" s="1">
        <v>40674</v>
      </c>
      <c r="B1097" s="2">
        <v>0.58333333333333337</v>
      </c>
      <c r="C1097" s="3">
        <v>311.39999999999998</v>
      </c>
      <c r="D1097" s="3">
        <v>312</v>
      </c>
      <c r="E1097" s="3">
        <v>300.95</v>
      </c>
      <c r="F1097" s="3">
        <v>301.55</v>
      </c>
    </row>
    <row r="1098" spans="1:6" x14ac:dyDescent="0.25">
      <c r="A1098" s="1">
        <v>40675</v>
      </c>
      <c r="B1098" s="2">
        <v>0.58333333333333337</v>
      </c>
      <c r="C1098" s="3">
        <v>302.05</v>
      </c>
      <c r="D1098" s="3">
        <v>305.2</v>
      </c>
      <c r="E1098" s="3">
        <v>299.3</v>
      </c>
      <c r="F1098" s="3">
        <v>303.35000000000002</v>
      </c>
    </row>
    <row r="1099" spans="1:6" x14ac:dyDescent="0.25">
      <c r="A1099" s="1">
        <v>40676</v>
      </c>
      <c r="B1099" s="2">
        <v>0.58333333333333337</v>
      </c>
      <c r="C1099" s="3">
        <v>305.2</v>
      </c>
      <c r="D1099" s="3">
        <v>306.39999999999998</v>
      </c>
      <c r="E1099" s="3">
        <v>297.05</v>
      </c>
      <c r="F1099" s="3">
        <v>297.8</v>
      </c>
    </row>
    <row r="1100" spans="1:6" x14ac:dyDescent="0.25">
      <c r="A1100" s="1">
        <v>40679</v>
      </c>
      <c r="B1100" s="2">
        <v>0.58333333333333337</v>
      </c>
      <c r="C1100" s="3">
        <v>297.7</v>
      </c>
      <c r="D1100" s="3">
        <v>300.55</v>
      </c>
      <c r="E1100" s="3">
        <v>291.45</v>
      </c>
      <c r="F1100" s="3">
        <v>292.5</v>
      </c>
    </row>
    <row r="1101" spans="1:6" x14ac:dyDescent="0.25">
      <c r="A1101" s="1">
        <v>40680</v>
      </c>
      <c r="B1101" s="2">
        <v>0.58333333333333337</v>
      </c>
      <c r="C1101" s="3">
        <v>292.5</v>
      </c>
      <c r="D1101" s="3">
        <v>296.8</v>
      </c>
      <c r="E1101" s="3">
        <v>292</v>
      </c>
      <c r="F1101" s="3">
        <v>294.5</v>
      </c>
    </row>
    <row r="1102" spans="1:6" x14ac:dyDescent="0.25">
      <c r="A1102" s="1">
        <v>40681</v>
      </c>
      <c r="B1102" s="2">
        <v>0.58333333333333337</v>
      </c>
      <c r="C1102" s="3">
        <v>296.55</v>
      </c>
      <c r="D1102" s="3">
        <v>303.35000000000002</v>
      </c>
      <c r="E1102" s="3">
        <v>296.10000000000002</v>
      </c>
      <c r="F1102" s="3">
        <v>298.45</v>
      </c>
    </row>
    <row r="1103" spans="1:6" x14ac:dyDescent="0.25">
      <c r="A1103" s="1">
        <v>40682</v>
      </c>
      <c r="B1103" s="2">
        <v>0.58333333333333337</v>
      </c>
      <c r="C1103" s="3">
        <v>298.8</v>
      </c>
      <c r="D1103" s="3">
        <v>299.89999999999998</v>
      </c>
      <c r="E1103" s="3">
        <v>290.85000000000002</v>
      </c>
      <c r="F1103" s="3">
        <v>292.10000000000002</v>
      </c>
    </row>
    <row r="1104" spans="1:6" x14ac:dyDescent="0.25">
      <c r="A1104" s="1">
        <v>40683</v>
      </c>
      <c r="B1104" s="2">
        <v>0.58333333333333337</v>
      </c>
      <c r="C1104" s="3">
        <v>293.39999999999998</v>
      </c>
      <c r="D1104" s="3">
        <v>296.35000000000002</v>
      </c>
      <c r="E1104" s="3">
        <v>287</v>
      </c>
      <c r="F1104" s="3">
        <v>287.55</v>
      </c>
    </row>
    <row r="1105" spans="1:6" x14ac:dyDescent="0.25">
      <c r="A1105" s="1">
        <v>40686</v>
      </c>
      <c r="B1105" s="2">
        <v>0.58333333333333337</v>
      </c>
      <c r="C1105" s="3">
        <v>287.55</v>
      </c>
      <c r="D1105" s="3">
        <v>293.05</v>
      </c>
      <c r="E1105" s="3">
        <v>287.3</v>
      </c>
      <c r="F1105" s="3">
        <v>290.95</v>
      </c>
    </row>
    <row r="1106" spans="1:6" x14ac:dyDescent="0.25">
      <c r="A1106" s="1">
        <v>40687</v>
      </c>
      <c r="B1106" s="2">
        <v>0.58333333333333337</v>
      </c>
      <c r="C1106" s="3">
        <v>291.8</v>
      </c>
      <c r="D1106" s="3">
        <v>293.89999999999998</v>
      </c>
      <c r="E1106" s="3">
        <v>289.10000000000002</v>
      </c>
      <c r="F1106" s="3">
        <v>289.60000000000002</v>
      </c>
    </row>
    <row r="1107" spans="1:6" x14ac:dyDescent="0.25">
      <c r="A1107" s="1">
        <v>40688</v>
      </c>
      <c r="B1107" s="2">
        <v>0.58333333333333337</v>
      </c>
      <c r="C1107" s="3">
        <v>289.8</v>
      </c>
      <c r="D1107" s="3">
        <v>297.85000000000002</v>
      </c>
      <c r="E1107" s="3">
        <v>287.39999999999998</v>
      </c>
      <c r="F1107" s="3">
        <v>293.25</v>
      </c>
    </row>
    <row r="1108" spans="1:6" x14ac:dyDescent="0.25">
      <c r="A1108" s="1">
        <v>40689</v>
      </c>
      <c r="B1108" s="2">
        <v>0.58333333333333337</v>
      </c>
      <c r="C1108" s="3">
        <v>295.25</v>
      </c>
      <c r="D1108" s="3">
        <v>295.89999999999998</v>
      </c>
      <c r="E1108" s="3">
        <v>290.55</v>
      </c>
      <c r="F1108" s="3">
        <v>294</v>
      </c>
    </row>
    <row r="1109" spans="1:6" x14ac:dyDescent="0.25">
      <c r="A1109" s="1">
        <v>40690</v>
      </c>
      <c r="B1109" s="2">
        <v>0.58333333333333337</v>
      </c>
      <c r="C1109" s="3">
        <v>295.3</v>
      </c>
      <c r="D1109" s="3">
        <v>298.7</v>
      </c>
      <c r="E1109" s="3">
        <v>290.75</v>
      </c>
      <c r="F1109" s="3">
        <v>292.10000000000002</v>
      </c>
    </row>
    <row r="1110" spans="1:6" x14ac:dyDescent="0.25">
      <c r="A1110" s="1">
        <v>40694</v>
      </c>
      <c r="B1110" s="2">
        <v>0.58333333333333337</v>
      </c>
      <c r="C1110" s="3">
        <v>293.10000000000002</v>
      </c>
      <c r="D1110" s="3">
        <v>296.8</v>
      </c>
      <c r="E1110" s="3">
        <v>291.89999999999998</v>
      </c>
      <c r="F1110" s="3">
        <v>293</v>
      </c>
    </row>
    <row r="1111" spans="1:6" x14ac:dyDescent="0.25">
      <c r="A1111" s="1">
        <v>40695</v>
      </c>
      <c r="B1111" s="2">
        <v>0.58333333333333337</v>
      </c>
      <c r="C1111" s="3">
        <v>292.64999999999998</v>
      </c>
      <c r="D1111" s="3">
        <v>293.3</v>
      </c>
      <c r="E1111" s="3">
        <v>283.64999999999998</v>
      </c>
      <c r="F1111" s="3">
        <v>284.35000000000002</v>
      </c>
    </row>
    <row r="1112" spans="1:6" x14ac:dyDescent="0.25">
      <c r="A1112" s="1">
        <v>40696</v>
      </c>
      <c r="B1112" s="2">
        <v>0.58333333333333337</v>
      </c>
      <c r="C1112" s="3">
        <v>284.35000000000002</v>
      </c>
      <c r="D1112" s="3">
        <v>291.05</v>
      </c>
      <c r="E1112" s="3">
        <v>281.7</v>
      </c>
      <c r="F1112" s="3">
        <v>289.64999999999998</v>
      </c>
    </row>
    <row r="1113" spans="1:6" x14ac:dyDescent="0.25">
      <c r="A1113" s="1">
        <v>40697</v>
      </c>
      <c r="B1113" s="2">
        <v>0.58333333333333337</v>
      </c>
      <c r="C1113" s="3">
        <v>289.64999999999998</v>
      </c>
      <c r="D1113" s="3">
        <v>302.2</v>
      </c>
      <c r="E1113" s="3">
        <v>285.25</v>
      </c>
      <c r="F1113" s="3">
        <v>299.35000000000002</v>
      </c>
    </row>
    <row r="1114" spans="1:6" x14ac:dyDescent="0.25">
      <c r="A1114" s="1">
        <v>40700</v>
      </c>
      <c r="B1114" s="2">
        <v>0.58333333333333337</v>
      </c>
      <c r="C1114" s="3">
        <v>298.75</v>
      </c>
      <c r="D1114" s="3">
        <v>299.14999999999998</v>
      </c>
      <c r="E1114" s="3">
        <v>287.89999999999998</v>
      </c>
      <c r="F1114" s="3">
        <v>288.89999999999998</v>
      </c>
    </row>
    <row r="1115" spans="1:6" x14ac:dyDescent="0.25">
      <c r="A1115" s="1">
        <v>40701</v>
      </c>
      <c r="B1115" s="2">
        <v>0.58333333333333337</v>
      </c>
      <c r="C1115" s="3">
        <v>288.39999999999998</v>
      </c>
      <c r="D1115" s="3">
        <v>293.89999999999998</v>
      </c>
      <c r="E1115" s="3">
        <v>288.39999999999998</v>
      </c>
      <c r="F1115" s="3">
        <v>291.39999999999998</v>
      </c>
    </row>
    <row r="1116" spans="1:6" x14ac:dyDescent="0.25">
      <c r="A1116" s="1">
        <v>40702</v>
      </c>
      <c r="B1116" s="2">
        <v>0.58333333333333337</v>
      </c>
      <c r="C1116" s="3">
        <v>291</v>
      </c>
      <c r="D1116" s="3">
        <v>293.2</v>
      </c>
      <c r="E1116" s="3">
        <v>286.39999999999998</v>
      </c>
      <c r="F1116" s="3">
        <v>292.25</v>
      </c>
    </row>
    <row r="1117" spans="1:6" x14ac:dyDescent="0.25">
      <c r="A1117" s="1">
        <v>40703</v>
      </c>
      <c r="B1117" s="2">
        <v>0.58333333333333337</v>
      </c>
      <c r="C1117" s="3">
        <v>293.2</v>
      </c>
      <c r="D1117" s="3">
        <v>297.10000000000002</v>
      </c>
      <c r="E1117" s="3">
        <v>292.8</v>
      </c>
      <c r="F1117" s="3">
        <v>295.2</v>
      </c>
    </row>
    <row r="1118" spans="1:6" x14ac:dyDescent="0.25">
      <c r="A1118" s="1">
        <v>40704</v>
      </c>
      <c r="B1118" s="2">
        <v>0.58333333333333337</v>
      </c>
      <c r="C1118" s="3">
        <v>295.60000000000002</v>
      </c>
      <c r="D1118" s="3">
        <v>297.2</v>
      </c>
      <c r="E1118" s="3">
        <v>289.95</v>
      </c>
      <c r="F1118" s="3">
        <v>293.35000000000002</v>
      </c>
    </row>
    <row r="1119" spans="1:6" x14ac:dyDescent="0.25">
      <c r="A1119" s="1">
        <v>40707</v>
      </c>
      <c r="B1119" s="2">
        <v>0.58333333333333337</v>
      </c>
      <c r="C1119" s="3">
        <v>291</v>
      </c>
      <c r="D1119" s="3">
        <v>298.45</v>
      </c>
      <c r="E1119" s="3">
        <v>289.39999999999998</v>
      </c>
      <c r="F1119" s="3">
        <v>295.5</v>
      </c>
    </row>
    <row r="1120" spans="1:6" x14ac:dyDescent="0.25">
      <c r="A1120" s="1">
        <v>40708</v>
      </c>
      <c r="B1120" s="2">
        <v>0.58333333333333337</v>
      </c>
      <c r="C1120" s="3">
        <v>295.95</v>
      </c>
      <c r="D1120" s="3">
        <v>297.75</v>
      </c>
      <c r="E1120" s="3">
        <v>293.10000000000002</v>
      </c>
      <c r="F1120" s="3">
        <v>297.3</v>
      </c>
    </row>
    <row r="1121" spans="1:6" x14ac:dyDescent="0.25">
      <c r="A1121" s="1">
        <v>40709</v>
      </c>
      <c r="B1121" s="2">
        <v>0.58333333333333337</v>
      </c>
      <c r="C1121" s="3">
        <v>296.14999999999998</v>
      </c>
      <c r="D1121" s="3">
        <v>298</v>
      </c>
      <c r="E1121" s="3">
        <v>288.45</v>
      </c>
      <c r="F1121" s="3">
        <v>290.85000000000002</v>
      </c>
    </row>
    <row r="1122" spans="1:6" x14ac:dyDescent="0.25">
      <c r="A1122" s="1">
        <v>40710</v>
      </c>
      <c r="B1122" s="2">
        <v>0.58333333333333337</v>
      </c>
      <c r="C1122" s="3">
        <v>290.7</v>
      </c>
      <c r="D1122" s="3">
        <v>292.64999999999998</v>
      </c>
      <c r="E1122" s="3">
        <v>285.55</v>
      </c>
      <c r="F1122" s="3">
        <v>286.14999999999998</v>
      </c>
    </row>
    <row r="1123" spans="1:6" x14ac:dyDescent="0.25">
      <c r="A1123" s="1">
        <v>40711</v>
      </c>
      <c r="B1123" s="2">
        <v>0.58333333333333337</v>
      </c>
      <c r="C1123" s="3">
        <v>286</v>
      </c>
      <c r="D1123" s="3">
        <v>289.25</v>
      </c>
      <c r="E1123" s="3">
        <v>277.14999999999998</v>
      </c>
      <c r="F1123" s="3">
        <v>277.5</v>
      </c>
    </row>
    <row r="1124" spans="1:6" x14ac:dyDescent="0.25">
      <c r="A1124" s="1">
        <v>40714</v>
      </c>
      <c r="B1124" s="2">
        <v>0.58333333333333337</v>
      </c>
      <c r="C1124" s="3">
        <v>277.95</v>
      </c>
      <c r="D1124" s="3">
        <v>278</v>
      </c>
      <c r="E1124" s="3">
        <v>271.14999999999998</v>
      </c>
      <c r="F1124" s="3">
        <v>271.3</v>
      </c>
    </row>
    <row r="1125" spans="1:6" x14ac:dyDescent="0.25">
      <c r="A1125" s="1">
        <v>40715</v>
      </c>
      <c r="B1125" s="2">
        <v>0.58333333333333337</v>
      </c>
      <c r="C1125" s="3">
        <v>271.8</v>
      </c>
      <c r="D1125" s="3">
        <v>275</v>
      </c>
      <c r="E1125" s="3">
        <v>270.7</v>
      </c>
      <c r="F1125" s="3">
        <v>271.95</v>
      </c>
    </row>
    <row r="1126" spans="1:6" x14ac:dyDescent="0.25">
      <c r="A1126" s="1">
        <v>40716</v>
      </c>
      <c r="B1126" s="2">
        <v>0.58333333333333337</v>
      </c>
      <c r="C1126" s="3">
        <v>273.39999999999998</v>
      </c>
      <c r="D1126" s="3">
        <v>274.10000000000002</v>
      </c>
      <c r="E1126" s="3">
        <v>269.45</v>
      </c>
      <c r="F1126" s="3">
        <v>271.2</v>
      </c>
    </row>
    <row r="1127" spans="1:6" x14ac:dyDescent="0.25">
      <c r="A1127" s="1">
        <v>40717</v>
      </c>
      <c r="B1127" s="2">
        <v>0.58333333333333337</v>
      </c>
      <c r="C1127" s="3">
        <v>271.3</v>
      </c>
      <c r="D1127" s="3">
        <v>276.8</v>
      </c>
      <c r="E1127" s="3">
        <v>266.45</v>
      </c>
      <c r="F1127" s="3">
        <v>273.7</v>
      </c>
    </row>
    <row r="1128" spans="1:6" x14ac:dyDescent="0.25">
      <c r="A1128" s="1">
        <v>40718</v>
      </c>
      <c r="B1128" s="2">
        <v>0.58333333333333337</v>
      </c>
      <c r="C1128" s="3">
        <v>275.89999999999998</v>
      </c>
      <c r="D1128" s="3">
        <v>277.35000000000002</v>
      </c>
      <c r="E1128" s="3">
        <v>270.60000000000002</v>
      </c>
      <c r="F1128" s="3">
        <v>275.5</v>
      </c>
    </row>
    <row r="1129" spans="1:6" x14ac:dyDescent="0.25">
      <c r="A1129" s="1">
        <v>40721</v>
      </c>
      <c r="B1129" s="2">
        <v>0.58333333333333337</v>
      </c>
      <c r="C1129" s="3">
        <v>275.5</v>
      </c>
      <c r="D1129" s="3">
        <v>278.05</v>
      </c>
      <c r="E1129" s="3">
        <v>272.5</v>
      </c>
      <c r="F1129" s="3">
        <v>276.05</v>
      </c>
    </row>
    <row r="1130" spans="1:6" x14ac:dyDescent="0.25">
      <c r="A1130" s="1">
        <v>40722</v>
      </c>
      <c r="B1130" s="2">
        <v>0.58333333333333337</v>
      </c>
      <c r="C1130" s="3">
        <v>276.10000000000002</v>
      </c>
      <c r="D1130" s="3">
        <v>284.05</v>
      </c>
      <c r="E1130" s="3">
        <v>275</v>
      </c>
      <c r="F1130" s="3">
        <v>283.89999999999998</v>
      </c>
    </row>
    <row r="1131" spans="1:6" x14ac:dyDescent="0.25">
      <c r="A1131" s="1">
        <v>40723</v>
      </c>
      <c r="B1131" s="2">
        <v>0.58333333333333337</v>
      </c>
      <c r="C1131" s="3">
        <v>283.5</v>
      </c>
      <c r="D1131" s="3">
        <v>287.89999999999998</v>
      </c>
      <c r="E1131" s="3">
        <v>277</v>
      </c>
      <c r="F1131" s="3">
        <v>285.7</v>
      </c>
    </row>
    <row r="1132" spans="1:6" x14ac:dyDescent="0.25">
      <c r="A1132" s="1">
        <v>40724</v>
      </c>
      <c r="B1132" s="2">
        <v>0.58333333333333337</v>
      </c>
      <c r="C1132" s="3">
        <v>287.85000000000002</v>
      </c>
      <c r="D1132" s="3">
        <v>291.8</v>
      </c>
      <c r="E1132" s="3">
        <v>286.25</v>
      </c>
      <c r="F1132" s="3">
        <v>290.60000000000002</v>
      </c>
    </row>
    <row r="1133" spans="1:6" x14ac:dyDescent="0.25">
      <c r="A1133" s="1">
        <v>40725</v>
      </c>
      <c r="B1133" s="2">
        <v>0.58333333333333337</v>
      </c>
      <c r="C1133" s="3">
        <v>289.89999999999998</v>
      </c>
      <c r="D1133" s="3">
        <v>290.60000000000002</v>
      </c>
      <c r="E1133" s="3">
        <v>283.25</v>
      </c>
      <c r="F1133" s="3">
        <v>288.64999999999998</v>
      </c>
    </row>
    <row r="1134" spans="1:6" x14ac:dyDescent="0.25">
      <c r="A1134" s="1">
        <v>40729</v>
      </c>
      <c r="B1134" s="2">
        <v>0.58333333333333337</v>
      </c>
      <c r="C1134" s="3">
        <v>287.5</v>
      </c>
      <c r="D1134" s="3">
        <v>294.89999999999998</v>
      </c>
      <c r="E1134" s="3">
        <v>284.2</v>
      </c>
      <c r="F1134" s="3">
        <v>294.25</v>
      </c>
    </row>
    <row r="1135" spans="1:6" x14ac:dyDescent="0.25">
      <c r="A1135" s="1">
        <v>40730</v>
      </c>
      <c r="B1135" s="2">
        <v>0.58333333333333337</v>
      </c>
      <c r="C1135" s="3">
        <v>293.8</v>
      </c>
      <c r="D1135" s="3">
        <v>294.60000000000002</v>
      </c>
      <c r="E1135" s="3">
        <v>290.8</v>
      </c>
      <c r="F1135" s="3">
        <v>292.5</v>
      </c>
    </row>
    <row r="1136" spans="1:6" x14ac:dyDescent="0.25">
      <c r="A1136" s="1">
        <v>40731</v>
      </c>
      <c r="B1136" s="2">
        <v>0.58333333333333337</v>
      </c>
      <c r="C1136" s="3">
        <v>292</v>
      </c>
      <c r="D1136" s="3">
        <v>296.89999999999998</v>
      </c>
      <c r="E1136" s="3">
        <v>290.14999999999998</v>
      </c>
      <c r="F1136" s="3">
        <v>293.60000000000002</v>
      </c>
    </row>
    <row r="1137" spans="1:6" x14ac:dyDescent="0.25">
      <c r="A1137" s="1">
        <v>40732</v>
      </c>
      <c r="B1137" s="2">
        <v>0.58333333333333337</v>
      </c>
      <c r="C1137" s="3">
        <v>293.60000000000002</v>
      </c>
      <c r="D1137" s="3">
        <v>295.25</v>
      </c>
      <c r="E1137" s="3">
        <v>287.7</v>
      </c>
      <c r="F1137" s="3">
        <v>288.3</v>
      </c>
    </row>
    <row r="1138" spans="1:6" x14ac:dyDescent="0.25">
      <c r="A1138" s="1">
        <v>40735</v>
      </c>
      <c r="B1138" s="2">
        <v>0.58333333333333337</v>
      </c>
      <c r="C1138" s="3">
        <v>287.7</v>
      </c>
      <c r="D1138" s="3">
        <v>288</v>
      </c>
      <c r="E1138" s="3">
        <v>281.10000000000002</v>
      </c>
      <c r="F1138" s="3">
        <v>284.05</v>
      </c>
    </row>
    <row r="1139" spans="1:6" x14ac:dyDescent="0.25">
      <c r="A1139" s="1">
        <v>40736</v>
      </c>
      <c r="B1139" s="2">
        <v>0.58333333333333337</v>
      </c>
      <c r="C1139" s="3">
        <v>283.5</v>
      </c>
      <c r="D1139" s="3">
        <v>283.85000000000002</v>
      </c>
      <c r="E1139" s="3">
        <v>279.55</v>
      </c>
      <c r="F1139" s="3">
        <v>282.85000000000002</v>
      </c>
    </row>
    <row r="1140" spans="1:6" x14ac:dyDescent="0.25">
      <c r="A1140" s="1">
        <v>40737</v>
      </c>
      <c r="B1140" s="2">
        <v>0.58333333333333337</v>
      </c>
      <c r="C1140" s="3">
        <v>283.7</v>
      </c>
      <c r="D1140" s="3">
        <v>291.2</v>
      </c>
      <c r="E1140" s="3">
        <v>283.25</v>
      </c>
      <c r="F1140" s="3">
        <v>288.95</v>
      </c>
    </row>
    <row r="1141" spans="1:6" x14ac:dyDescent="0.25">
      <c r="A1141" s="1">
        <v>40738</v>
      </c>
      <c r="B1141" s="2">
        <v>0.58333333333333337</v>
      </c>
      <c r="C1141" s="3">
        <v>288.95</v>
      </c>
      <c r="D1141" s="3">
        <v>290.64999999999998</v>
      </c>
      <c r="E1141" s="3">
        <v>281.60000000000002</v>
      </c>
      <c r="F1141" s="3">
        <v>283.35000000000002</v>
      </c>
    </row>
    <row r="1142" spans="1:6" x14ac:dyDescent="0.25">
      <c r="A1142" s="1">
        <v>40739</v>
      </c>
      <c r="B1142" s="2">
        <v>0.58333333333333337</v>
      </c>
      <c r="C1142" s="3">
        <v>282</v>
      </c>
      <c r="D1142" s="3">
        <v>285.5</v>
      </c>
      <c r="E1142" s="3">
        <v>277.35000000000002</v>
      </c>
      <c r="F1142" s="3">
        <v>278.55</v>
      </c>
    </row>
    <row r="1143" spans="1:6" x14ac:dyDescent="0.25">
      <c r="A1143" s="1">
        <v>40742</v>
      </c>
      <c r="B1143" s="2">
        <v>0.58333333333333337</v>
      </c>
      <c r="C1143" s="3">
        <v>277.35000000000002</v>
      </c>
      <c r="D1143" s="3">
        <v>278.25</v>
      </c>
      <c r="E1143" s="3">
        <v>272.3</v>
      </c>
      <c r="F1143" s="3">
        <v>273.2</v>
      </c>
    </row>
    <row r="1144" spans="1:6" x14ac:dyDescent="0.25">
      <c r="A1144" s="1">
        <v>40743</v>
      </c>
      <c r="B1144" s="2">
        <v>0.58333333333333337</v>
      </c>
      <c r="C1144" s="3">
        <v>274.89999999999998</v>
      </c>
      <c r="D1144" s="3">
        <v>277.89999999999998</v>
      </c>
      <c r="E1144" s="3">
        <v>268.05</v>
      </c>
      <c r="F1144" s="3">
        <v>268.85000000000002</v>
      </c>
    </row>
    <row r="1145" spans="1:6" x14ac:dyDescent="0.25">
      <c r="A1145" s="1">
        <v>40744</v>
      </c>
      <c r="B1145" s="2">
        <v>0.58333333333333337</v>
      </c>
      <c r="C1145" s="3">
        <v>269.5</v>
      </c>
      <c r="D1145" s="3">
        <v>271.45</v>
      </c>
      <c r="E1145" s="3">
        <v>265.10000000000002</v>
      </c>
      <c r="F1145" s="3">
        <v>268.39999999999998</v>
      </c>
    </row>
    <row r="1146" spans="1:6" x14ac:dyDescent="0.25">
      <c r="A1146" s="1">
        <v>40745</v>
      </c>
      <c r="B1146" s="2">
        <v>0.58333333333333337</v>
      </c>
      <c r="C1146" s="3">
        <v>269.5</v>
      </c>
      <c r="D1146" s="3">
        <v>272.89999999999998</v>
      </c>
      <c r="E1146" s="3">
        <v>264.5</v>
      </c>
      <c r="F1146" s="3">
        <v>265.8</v>
      </c>
    </row>
    <row r="1147" spans="1:6" x14ac:dyDescent="0.25">
      <c r="A1147" s="1">
        <v>40746</v>
      </c>
      <c r="B1147" s="2">
        <v>0.58333333333333337</v>
      </c>
      <c r="C1147" s="3">
        <v>266.45</v>
      </c>
      <c r="D1147" s="3">
        <v>271.3</v>
      </c>
      <c r="E1147" s="3">
        <v>263</v>
      </c>
      <c r="F1147" s="3">
        <v>266.5</v>
      </c>
    </row>
    <row r="1148" spans="1:6" x14ac:dyDescent="0.25">
      <c r="A1148" s="1">
        <v>40749</v>
      </c>
      <c r="B1148" s="2">
        <v>0.58333333333333337</v>
      </c>
      <c r="C1148" s="3">
        <v>266.5</v>
      </c>
      <c r="D1148" s="3">
        <v>270</v>
      </c>
      <c r="E1148" s="3">
        <v>266.05</v>
      </c>
      <c r="F1148" s="3">
        <v>267.89999999999998</v>
      </c>
    </row>
    <row r="1149" spans="1:6" x14ac:dyDescent="0.25">
      <c r="A1149" s="1">
        <v>40750</v>
      </c>
      <c r="B1149" s="2">
        <v>0.58333333333333337</v>
      </c>
      <c r="C1149" s="3">
        <v>268.5</v>
      </c>
      <c r="D1149" s="3">
        <v>272.35000000000002</v>
      </c>
      <c r="E1149" s="3">
        <v>267.8</v>
      </c>
      <c r="F1149" s="3">
        <v>269.95</v>
      </c>
    </row>
    <row r="1150" spans="1:6" x14ac:dyDescent="0.25">
      <c r="A1150" s="1">
        <v>40751</v>
      </c>
      <c r="B1150" s="2">
        <v>0.58333333333333337</v>
      </c>
      <c r="C1150" s="3">
        <v>269.95</v>
      </c>
      <c r="D1150" s="3">
        <v>270.3</v>
      </c>
      <c r="E1150" s="3">
        <v>263.60000000000002</v>
      </c>
      <c r="F1150" s="3">
        <v>266.2</v>
      </c>
    </row>
    <row r="1151" spans="1:6" x14ac:dyDescent="0.25">
      <c r="A1151" s="1">
        <v>40752</v>
      </c>
      <c r="B1151" s="2">
        <v>0.58333333333333337</v>
      </c>
      <c r="C1151" s="3">
        <v>266.60000000000002</v>
      </c>
      <c r="D1151" s="3">
        <v>269.60000000000002</v>
      </c>
      <c r="E1151" s="3">
        <v>262.2</v>
      </c>
      <c r="F1151" s="3">
        <v>263.64999999999998</v>
      </c>
    </row>
    <row r="1152" spans="1:6" x14ac:dyDescent="0.25">
      <c r="A1152" s="1">
        <v>40753</v>
      </c>
      <c r="B1152" s="2">
        <v>0.58333333333333337</v>
      </c>
      <c r="C1152" s="3">
        <v>263.64999999999998</v>
      </c>
      <c r="D1152" s="3">
        <v>267.39999999999998</v>
      </c>
      <c r="E1152" s="3">
        <v>263.3</v>
      </c>
      <c r="F1152" s="3">
        <v>264.55</v>
      </c>
    </row>
    <row r="1153" spans="1:6" x14ac:dyDescent="0.25">
      <c r="A1153" s="1">
        <v>40756</v>
      </c>
      <c r="B1153" s="2">
        <v>0.58333333333333337</v>
      </c>
      <c r="C1153" s="3">
        <v>265.60000000000002</v>
      </c>
      <c r="D1153" s="3">
        <v>268.7</v>
      </c>
      <c r="E1153" s="3">
        <v>264.7</v>
      </c>
      <c r="F1153" s="3">
        <v>266.35000000000002</v>
      </c>
    </row>
    <row r="1154" spans="1:6" x14ac:dyDescent="0.25">
      <c r="A1154" s="1">
        <v>40757</v>
      </c>
      <c r="B1154" s="2">
        <v>0.58333333333333337</v>
      </c>
      <c r="C1154" s="3">
        <v>265.95</v>
      </c>
      <c r="D1154" s="3">
        <v>273.45</v>
      </c>
      <c r="E1154" s="3">
        <v>265.64999999999998</v>
      </c>
      <c r="F1154" s="3">
        <v>268.2</v>
      </c>
    </row>
    <row r="1155" spans="1:6" x14ac:dyDescent="0.25">
      <c r="A1155" s="1">
        <v>40758</v>
      </c>
      <c r="B1155" s="2">
        <v>0.58333333333333337</v>
      </c>
      <c r="C1155" s="3">
        <v>267.85000000000002</v>
      </c>
      <c r="D1155" s="3">
        <v>270.7</v>
      </c>
      <c r="E1155" s="3">
        <v>265.35000000000002</v>
      </c>
      <c r="F1155" s="3">
        <v>266.89999999999998</v>
      </c>
    </row>
    <row r="1156" spans="1:6" x14ac:dyDescent="0.25">
      <c r="A1156" s="1">
        <v>40759</v>
      </c>
      <c r="B1156" s="2">
        <v>0.58333333333333337</v>
      </c>
      <c r="C1156" s="3">
        <v>267.14999999999998</v>
      </c>
      <c r="D1156" s="3">
        <v>268.10000000000002</v>
      </c>
      <c r="E1156" s="3">
        <v>259.75</v>
      </c>
      <c r="F1156" s="3">
        <v>260.85000000000002</v>
      </c>
    </row>
    <row r="1157" spans="1:6" x14ac:dyDescent="0.25">
      <c r="A1157" s="1">
        <v>40760</v>
      </c>
      <c r="B1157" s="2">
        <v>0.58333333333333337</v>
      </c>
      <c r="C1157" s="3">
        <v>260.35000000000002</v>
      </c>
      <c r="D1157" s="3">
        <v>272.7</v>
      </c>
      <c r="E1157" s="3">
        <v>258.5</v>
      </c>
      <c r="F1157" s="3">
        <v>263</v>
      </c>
    </row>
    <row r="1158" spans="1:6" x14ac:dyDescent="0.25">
      <c r="A1158" s="1">
        <v>40763</v>
      </c>
      <c r="B1158" s="2">
        <v>0.58333333333333337</v>
      </c>
      <c r="C1158" s="3">
        <v>261.95</v>
      </c>
      <c r="D1158" s="3">
        <v>262</v>
      </c>
      <c r="E1158" s="3">
        <v>256.35000000000002</v>
      </c>
      <c r="F1158" s="3">
        <v>259.2</v>
      </c>
    </row>
    <row r="1159" spans="1:6" x14ac:dyDescent="0.25">
      <c r="A1159" s="1">
        <v>40764</v>
      </c>
      <c r="B1159" s="2">
        <v>0.58333333333333337</v>
      </c>
      <c r="C1159" s="3">
        <v>258.60000000000002</v>
      </c>
      <c r="D1159" s="3">
        <v>263.10000000000002</v>
      </c>
      <c r="E1159" s="3">
        <v>257.60000000000002</v>
      </c>
      <c r="F1159" s="3">
        <v>259.75</v>
      </c>
    </row>
    <row r="1160" spans="1:6" x14ac:dyDescent="0.25">
      <c r="A1160" s="1">
        <v>40765</v>
      </c>
      <c r="B1160" s="2">
        <v>0.58333333333333337</v>
      </c>
      <c r="C1160" s="3">
        <v>260.8</v>
      </c>
      <c r="D1160" s="3">
        <v>263.8</v>
      </c>
      <c r="E1160" s="3">
        <v>258.8</v>
      </c>
      <c r="F1160" s="3">
        <v>259.85000000000002</v>
      </c>
    </row>
    <row r="1161" spans="1:6" x14ac:dyDescent="0.25">
      <c r="A1161" s="1">
        <v>40766</v>
      </c>
      <c r="B1161" s="2">
        <v>0.58333333333333337</v>
      </c>
      <c r="C1161" s="3">
        <v>260.45</v>
      </c>
      <c r="D1161" s="3">
        <v>266.3</v>
      </c>
      <c r="E1161" s="3">
        <v>259.14999999999998</v>
      </c>
      <c r="F1161" s="3">
        <v>265.55</v>
      </c>
    </row>
    <row r="1162" spans="1:6" x14ac:dyDescent="0.25">
      <c r="A1162" s="1">
        <v>40767</v>
      </c>
      <c r="B1162" s="2">
        <v>0.58333333333333337</v>
      </c>
      <c r="C1162" s="3">
        <v>265.5</v>
      </c>
      <c r="D1162" s="3">
        <v>267</v>
      </c>
      <c r="E1162" s="3">
        <v>264</v>
      </c>
      <c r="F1162" s="3">
        <v>265.35000000000002</v>
      </c>
    </row>
    <row r="1163" spans="1:6" x14ac:dyDescent="0.25">
      <c r="A1163" s="1">
        <v>40770</v>
      </c>
      <c r="B1163" s="2">
        <v>0.58333333333333337</v>
      </c>
      <c r="C1163" s="3">
        <v>265</v>
      </c>
      <c r="D1163" s="3">
        <v>273.25</v>
      </c>
      <c r="E1163" s="3">
        <v>264.85000000000002</v>
      </c>
      <c r="F1163" s="3">
        <v>270.89999999999998</v>
      </c>
    </row>
    <row r="1164" spans="1:6" x14ac:dyDescent="0.25">
      <c r="A1164" s="1">
        <v>40771</v>
      </c>
      <c r="B1164" s="2">
        <v>0.58333333333333337</v>
      </c>
      <c r="C1164" s="3">
        <v>270.2</v>
      </c>
      <c r="D1164" s="3">
        <v>277</v>
      </c>
      <c r="E1164" s="3">
        <v>267.25</v>
      </c>
      <c r="F1164" s="3">
        <v>276.5</v>
      </c>
    </row>
    <row r="1165" spans="1:6" x14ac:dyDescent="0.25">
      <c r="A1165" s="1">
        <v>40772</v>
      </c>
      <c r="B1165" s="2">
        <v>0.58333333333333337</v>
      </c>
      <c r="C1165" s="3">
        <v>275.7</v>
      </c>
      <c r="D1165" s="3">
        <v>288.8</v>
      </c>
      <c r="E1165" s="3">
        <v>275.60000000000002</v>
      </c>
      <c r="F1165" s="3">
        <v>288.3</v>
      </c>
    </row>
    <row r="1166" spans="1:6" x14ac:dyDescent="0.25">
      <c r="A1166" s="1">
        <v>40773</v>
      </c>
      <c r="B1166" s="2">
        <v>0.58333333333333337</v>
      </c>
      <c r="C1166" s="3">
        <v>287.2</v>
      </c>
      <c r="D1166" s="3">
        <v>290.25</v>
      </c>
      <c r="E1166" s="3">
        <v>281.7</v>
      </c>
      <c r="F1166" s="3">
        <v>289.89999999999998</v>
      </c>
    </row>
    <row r="1167" spans="1:6" x14ac:dyDescent="0.25">
      <c r="A1167" s="1">
        <v>40774</v>
      </c>
      <c r="B1167" s="2">
        <v>0.58333333333333337</v>
      </c>
      <c r="C1167" s="3">
        <v>288.2</v>
      </c>
      <c r="D1167" s="3">
        <v>291.7</v>
      </c>
      <c r="E1167" s="3">
        <v>286.2</v>
      </c>
      <c r="F1167" s="3">
        <v>291.35000000000002</v>
      </c>
    </row>
    <row r="1168" spans="1:6" x14ac:dyDescent="0.25">
      <c r="A1168" s="1">
        <v>40777</v>
      </c>
      <c r="B1168" s="2">
        <v>0.58333333333333337</v>
      </c>
      <c r="C1168" s="3">
        <v>288.7</v>
      </c>
      <c r="D1168" s="3">
        <v>294.75</v>
      </c>
      <c r="E1168" s="3">
        <v>288.05</v>
      </c>
      <c r="F1168" s="3">
        <v>289.85000000000002</v>
      </c>
    </row>
    <row r="1169" spans="1:6" x14ac:dyDescent="0.25">
      <c r="A1169" s="1">
        <v>40778</v>
      </c>
      <c r="B1169" s="2">
        <v>0.58333333333333337</v>
      </c>
      <c r="C1169" s="3">
        <v>288.85000000000002</v>
      </c>
      <c r="D1169" s="3">
        <v>295</v>
      </c>
      <c r="E1169" s="3">
        <v>288.85000000000002</v>
      </c>
      <c r="F1169" s="3">
        <v>293.10000000000002</v>
      </c>
    </row>
    <row r="1170" spans="1:6" x14ac:dyDescent="0.25">
      <c r="A1170" s="1">
        <v>40779</v>
      </c>
      <c r="B1170" s="2">
        <v>0.58333333333333337</v>
      </c>
      <c r="C1170" s="3">
        <v>293.5</v>
      </c>
      <c r="D1170" s="3">
        <v>299.14999999999998</v>
      </c>
      <c r="E1170" s="3">
        <v>293.45</v>
      </c>
      <c r="F1170" s="3">
        <v>295.25</v>
      </c>
    </row>
    <row r="1171" spans="1:6" x14ac:dyDescent="0.25">
      <c r="A1171" s="1">
        <v>40780</v>
      </c>
      <c r="B1171" s="2">
        <v>0.58333333333333337</v>
      </c>
      <c r="C1171" s="3">
        <v>294.64999999999998</v>
      </c>
      <c r="D1171" s="3">
        <v>299.39999999999998</v>
      </c>
      <c r="E1171" s="3">
        <v>294.64999999999998</v>
      </c>
      <c r="F1171" s="3">
        <v>297</v>
      </c>
    </row>
    <row r="1172" spans="1:6" x14ac:dyDescent="0.25">
      <c r="A1172" s="1">
        <v>40781</v>
      </c>
      <c r="B1172" s="2">
        <v>0.58333333333333337</v>
      </c>
      <c r="C1172" s="3">
        <v>297.25</v>
      </c>
      <c r="D1172" s="3">
        <v>302</v>
      </c>
      <c r="E1172" s="3">
        <v>296.75</v>
      </c>
      <c r="F1172" s="3">
        <v>300.7</v>
      </c>
    </row>
    <row r="1173" spans="1:6" x14ac:dyDescent="0.25">
      <c r="A1173" s="1">
        <v>40784</v>
      </c>
      <c r="B1173" s="2">
        <v>0.58333333333333337</v>
      </c>
      <c r="C1173" s="3">
        <v>301.39999999999998</v>
      </c>
      <c r="D1173" s="3">
        <v>306.25</v>
      </c>
      <c r="E1173" s="3">
        <v>301.39999999999998</v>
      </c>
      <c r="F1173" s="3">
        <v>305.95</v>
      </c>
    </row>
    <row r="1174" spans="1:6" x14ac:dyDescent="0.25">
      <c r="A1174" s="1">
        <v>40785</v>
      </c>
      <c r="B1174" s="2">
        <v>0.58333333333333337</v>
      </c>
      <c r="C1174" s="3">
        <v>305.95</v>
      </c>
      <c r="D1174" s="3">
        <v>308.5</v>
      </c>
      <c r="E1174" s="3">
        <v>299.89999999999998</v>
      </c>
      <c r="F1174" s="3">
        <v>308.2</v>
      </c>
    </row>
    <row r="1175" spans="1:6" x14ac:dyDescent="0.25">
      <c r="A1175" s="1">
        <v>40786</v>
      </c>
      <c r="B1175" s="2">
        <v>0.58333333333333337</v>
      </c>
      <c r="C1175" s="3">
        <v>308.10000000000002</v>
      </c>
      <c r="D1175" s="3">
        <v>310</v>
      </c>
      <c r="E1175" s="3">
        <v>306.2</v>
      </c>
      <c r="F1175" s="3">
        <v>309.75</v>
      </c>
    </row>
    <row r="1176" spans="1:6" x14ac:dyDescent="0.25">
      <c r="A1176" s="1">
        <v>40787</v>
      </c>
      <c r="B1176" s="2">
        <v>0.58333333333333337</v>
      </c>
      <c r="C1176" s="3">
        <v>308.64999999999998</v>
      </c>
      <c r="D1176" s="3">
        <v>312.35000000000002</v>
      </c>
      <c r="E1176" s="3">
        <v>304.10000000000002</v>
      </c>
      <c r="F1176" s="3">
        <v>311.25</v>
      </c>
    </row>
    <row r="1177" spans="1:6" x14ac:dyDescent="0.25">
      <c r="A1177" s="1">
        <v>40788</v>
      </c>
      <c r="B1177" s="2">
        <v>0.58333333333333337</v>
      </c>
      <c r="C1177" s="3">
        <v>310.5</v>
      </c>
      <c r="D1177" s="3">
        <v>311.95</v>
      </c>
      <c r="E1177" s="3">
        <v>306.2</v>
      </c>
      <c r="F1177" s="3">
        <v>309.55</v>
      </c>
    </row>
    <row r="1178" spans="1:6" x14ac:dyDescent="0.25">
      <c r="A1178" s="1">
        <v>40792</v>
      </c>
      <c r="B1178" s="2">
        <v>0.58333333333333337</v>
      </c>
      <c r="C1178" s="3">
        <v>304.8</v>
      </c>
      <c r="D1178" s="3">
        <v>305</v>
      </c>
      <c r="E1178" s="3">
        <v>298.10000000000002</v>
      </c>
      <c r="F1178" s="3">
        <v>302.45</v>
      </c>
    </row>
    <row r="1179" spans="1:6" x14ac:dyDescent="0.25">
      <c r="A1179" s="1">
        <v>40793</v>
      </c>
      <c r="B1179" s="2">
        <v>0.58333333333333337</v>
      </c>
      <c r="C1179" s="3">
        <v>303.39999999999998</v>
      </c>
      <c r="D1179" s="3">
        <v>306.7</v>
      </c>
      <c r="E1179" s="3">
        <v>301.8</v>
      </c>
      <c r="F1179" s="3">
        <v>306</v>
      </c>
    </row>
    <row r="1180" spans="1:6" x14ac:dyDescent="0.25">
      <c r="A1180" s="1">
        <v>40794</v>
      </c>
      <c r="B1180" s="2">
        <v>0.58333333333333337</v>
      </c>
      <c r="C1180" s="3">
        <v>305.39999999999998</v>
      </c>
      <c r="D1180" s="3">
        <v>306.25</v>
      </c>
      <c r="E1180" s="3">
        <v>302.5</v>
      </c>
      <c r="F1180" s="3">
        <v>305.60000000000002</v>
      </c>
    </row>
    <row r="1181" spans="1:6" x14ac:dyDescent="0.25">
      <c r="A1181" s="1">
        <v>40795</v>
      </c>
      <c r="B1181" s="2">
        <v>0.58333333333333337</v>
      </c>
      <c r="C1181" s="3">
        <v>304.75</v>
      </c>
      <c r="D1181" s="3">
        <v>305.10000000000002</v>
      </c>
      <c r="E1181" s="3">
        <v>286.60000000000002</v>
      </c>
      <c r="F1181" s="3">
        <v>291.5</v>
      </c>
    </row>
    <row r="1182" spans="1:6" x14ac:dyDescent="0.25">
      <c r="A1182" s="1">
        <v>40798</v>
      </c>
      <c r="B1182" s="2">
        <v>0.58333333333333337</v>
      </c>
      <c r="C1182" s="3">
        <v>291.5</v>
      </c>
      <c r="D1182" s="3">
        <v>296.25</v>
      </c>
      <c r="E1182" s="3">
        <v>289.64999999999998</v>
      </c>
      <c r="F1182" s="3">
        <v>292.45</v>
      </c>
    </row>
    <row r="1183" spans="1:6" x14ac:dyDescent="0.25">
      <c r="A1183" s="1">
        <v>40799</v>
      </c>
      <c r="B1183" s="2">
        <v>0.58333333333333337</v>
      </c>
      <c r="C1183" s="3">
        <v>292.45</v>
      </c>
      <c r="D1183" s="3">
        <v>295.5</v>
      </c>
      <c r="E1183" s="3">
        <v>289.5</v>
      </c>
      <c r="F1183" s="3">
        <v>291.8</v>
      </c>
    </row>
    <row r="1184" spans="1:6" x14ac:dyDescent="0.25">
      <c r="A1184" s="1">
        <v>40800</v>
      </c>
      <c r="B1184" s="2">
        <v>0.58333333333333337</v>
      </c>
      <c r="C1184" s="3">
        <v>290.5</v>
      </c>
      <c r="D1184" s="3">
        <v>292.60000000000002</v>
      </c>
      <c r="E1184" s="3">
        <v>285.60000000000002</v>
      </c>
      <c r="F1184" s="3">
        <v>287.2</v>
      </c>
    </row>
    <row r="1185" spans="1:6" x14ac:dyDescent="0.25">
      <c r="A1185" s="1">
        <v>40801</v>
      </c>
      <c r="B1185" s="2">
        <v>0.58333333333333337</v>
      </c>
      <c r="C1185" s="3">
        <v>286.8</v>
      </c>
      <c r="D1185" s="3">
        <v>291.14999999999998</v>
      </c>
      <c r="E1185" s="3">
        <v>281.7</v>
      </c>
      <c r="F1185" s="3">
        <v>282.05</v>
      </c>
    </row>
    <row r="1186" spans="1:6" x14ac:dyDescent="0.25">
      <c r="A1186" s="1">
        <v>40802</v>
      </c>
      <c r="B1186" s="2">
        <v>0.58333333333333337</v>
      </c>
      <c r="C1186" s="3">
        <v>281.89999999999998</v>
      </c>
      <c r="D1186" s="3">
        <v>286.25</v>
      </c>
      <c r="E1186" s="3">
        <v>276.60000000000002</v>
      </c>
      <c r="F1186" s="3">
        <v>281.89999999999998</v>
      </c>
    </row>
    <row r="1187" spans="1:6" x14ac:dyDescent="0.25">
      <c r="A1187" s="1">
        <v>40805</v>
      </c>
      <c r="B1187" s="2">
        <v>0.58333333333333337</v>
      </c>
      <c r="C1187" s="3">
        <v>281.64999999999998</v>
      </c>
      <c r="D1187" s="3">
        <v>285.85000000000002</v>
      </c>
      <c r="E1187" s="3">
        <v>276.95</v>
      </c>
      <c r="F1187" s="3">
        <v>283.55</v>
      </c>
    </row>
    <row r="1188" spans="1:6" x14ac:dyDescent="0.25">
      <c r="A1188" s="1">
        <v>40806</v>
      </c>
      <c r="B1188" s="2">
        <v>0.58333333333333337</v>
      </c>
      <c r="C1188" s="3">
        <v>284</v>
      </c>
      <c r="D1188" s="3">
        <v>287.5</v>
      </c>
      <c r="E1188" s="3">
        <v>281</v>
      </c>
      <c r="F1188" s="3">
        <v>281.7</v>
      </c>
    </row>
    <row r="1189" spans="1:6" x14ac:dyDescent="0.25">
      <c r="A1189" s="1">
        <v>40807</v>
      </c>
      <c r="B1189" s="2">
        <v>0.58333333333333337</v>
      </c>
      <c r="C1189" s="3">
        <v>281.89999999999998</v>
      </c>
      <c r="D1189" s="3">
        <v>281.89999999999998</v>
      </c>
      <c r="E1189" s="3">
        <v>272.85000000000002</v>
      </c>
      <c r="F1189" s="3">
        <v>273.45</v>
      </c>
    </row>
    <row r="1190" spans="1:6" x14ac:dyDescent="0.25">
      <c r="A1190" s="1">
        <v>40808</v>
      </c>
      <c r="B1190" s="2">
        <v>0.58333333333333337</v>
      </c>
      <c r="C1190" s="3">
        <v>272.5</v>
      </c>
      <c r="D1190" s="3">
        <v>272.5</v>
      </c>
      <c r="E1190" s="3">
        <v>257.14999999999998</v>
      </c>
      <c r="F1190" s="3">
        <v>260.75</v>
      </c>
    </row>
    <row r="1191" spans="1:6" x14ac:dyDescent="0.25">
      <c r="A1191" s="1">
        <v>40809</v>
      </c>
      <c r="B1191" s="2">
        <v>0.58333333333333337</v>
      </c>
      <c r="C1191" s="3">
        <v>261.39999999999998</v>
      </c>
      <c r="D1191" s="3">
        <v>263.45</v>
      </c>
      <c r="E1191" s="3">
        <v>252.3</v>
      </c>
      <c r="F1191" s="3">
        <v>252.95</v>
      </c>
    </row>
    <row r="1192" spans="1:6" x14ac:dyDescent="0.25">
      <c r="A1192" s="1">
        <v>40812</v>
      </c>
      <c r="B1192" s="2">
        <v>0.58333333333333337</v>
      </c>
      <c r="C1192" s="3">
        <v>254.5</v>
      </c>
      <c r="D1192" s="3">
        <v>262</v>
      </c>
      <c r="E1192" s="3">
        <v>253.5</v>
      </c>
      <c r="F1192" s="3">
        <v>257.45</v>
      </c>
    </row>
    <row r="1193" spans="1:6" x14ac:dyDescent="0.25">
      <c r="A1193" s="1">
        <v>40813</v>
      </c>
      <c r="B1193" s="2">
        <v>0.58333333333333337</v>
      </c>
      <c r="C1193" s="3">
        <v>259.89999999999998</v>
      </c>
      <c r="D1193" s="3">
        <v>268.05</v>
      </c>
      <c r="E1193" s="3">
        <v>258.85000000000002</v>
      </c>
      <c r="F1193" s="3">
        <v>262.35000000000002</v>
      </c>
    </row>
    <row r="1194" spans="1:6" x14ac:dyDescent="0.25">
      <c r="A1194" s="1">
        <v>40814</v>
      </c>
      <c r="B1194" s="2">
        <v>0.58333333333333337</v>
      </c>
      <c r="C1194" s="3">
        <v>262.55</v>
      </c>
      <c r="D1194" s="3">
        <v>265.7</v>
      </c>
      <c r="E1194" s="3">
        <v>254.35</v>
      </c>
      <c r="F1194" s="3">
        <v>255</v>
      </c>
    </row>
    <row r="1195" spans="1:6" x14ac:dyDescent="0.25">
      <c r="A1195" s="1">
        <v>40815</v>
      </c>
      <c r="B1195" s="2">
        <v>0.58333333333333337</v>
      </c>
      <c r="C1195" s="3">
        <v>254.9</v>
      </c>
      <c r="D1195" s="3">
        <v>257</v>
      </c>
      <c r="E1195" s="3">
        <v>251.65</v>
      </c>
      <c r="F1195" s="3">
        <v>252.65</v>
      </c>
    </row>
    <row r="1196" spans="1:6" x14ac:dyDescent="0.25">
      <c r="A1196" s="1">
        <v>40816</v>
      </c>
      <c r="B1196" s="2">
        <v>0.58333333333333337</v>
      </c>
      <c r="C1196" s="3">
        <v>252.35</v>
      </c>
      <c r="D1196" s="3">
        <v>255.1</v>
      </c>
      <c r="E1196" s="3">
        <v>250</v>
      </c>
      <c r="F1196" s="3">
        <v>250.4</v>
      </c>
    </row>
    <row r="1197" spans="1:6" x14ac:dyDescent="0.25">
      <c r="A1197" s="1">
        <v>40819</v>
      </c>
      <c r="B1197" s="2">
        <v>0.58333333333333337</v>
      </c>
      <c r="C1197" s="3">
        <v>250</v>
      </c>
      <c r="D1197" s="3">
        <v>250.1</v>
      </c>
      <c r="E1197" s="3">
        <v>241.3</v>
      </c>
      <c r="F1197" s="3">
        <v>244.95</v>
      </c>
    </row>
    <row r="1198" spans="1:6" x14ac:dyDescent="0.25">
      <c r="A1198" s="1">
        <v>40820</v>
      </c>
      <c r="B1198" s="2">
        <v>0.58333333333333337</v>
      </c>
      <c r="C1198" s="3">
        <v>245.75</v>
      </c>
      <c r="D1198" s="3">
        <v>251.7</v>
      </c>
      <c r="E1198" s="3">
        <v>243.2</v>
      </c>
      <c r="F1198" s="3">
        <v>248.05</v>
      </c>
    </row>
    <row r="1199" spans="1:6" x14ac:dyDescent="0.25">
      <c r="A1199" s="1">
        <v>40821</v>
      </c>
      <c r="B1199" s="2">
        <v>0.58333333333333337</v>
      </c>
      <c r="C1199" s="3">
        <v>249.5</v>
      </c>
      <c r="D1199" s="3">
        <v>253.5</v>
      </c>
      <c r="E1199" s="3">
        <v>247.65</v>
      </c>
      <c r="F1199" s="3">
        <v>249.2</v>
      </c>
    </row>
    <row r="1200" spans="1:6" x14ac:dyDescent="0.25">
      <c r="A1200" s="1">
        <v>40822</v>
      </c>
      <c r="B1200" s="2">
        <v>0.58333333333333337</v>
      </c>
      <c r="C1200" s="3">
        <v>250.5</v>
      </c>
      <c r="D1200" s="3">
        <v>257.60000000000002</v>
      </c>
      <c r="E1200" s="3">
        <v>249.55</v>
      </c>
      <c r="F1200" s="3">
        <v>255.9</v>
      </c>
    </row>
    <row r="1201" spans="1:6" x14ac:dyDescent="0.25">
      <c r="A1201" s="1">
        <v>40823</v>
      </c>
      <c r="B1201" s="2">
        <v>0.58333333333333337</v>
      </c>
      <c r="C1201" s="3">
        <v>257.14999999999998</v>
      </c>
      <c r="D1201" s="3">
        <v>257.5</v>
      </c>
      <c r="E1201" s="3">
        <v>245.15</v>
      </c>
      <c r="F1201" s="3">
        <v>245.85</v>
      </c>
    </row>
    <row r="1202" spans="1:6" x14ac:dyDescent="0.25">
      <c r="A1202" s="1">
        <v>40826</v>
      </c>
      <c r="B1202" s="2">
        <v>0.58333333333333337</v>
      </c>
      <c r="C1202" s="3">
        <v>247.5</v>
      </c>
      <c r="D1202" s="3">
        <v>253.25</v>
      </c>
      <c r="E1202" s="3">
        <v>246.6</v>
      </c>
      <c r="F1202" s="3">
        <v>247.8</v>
      </c>
    </row>
    <row r="1203" spans="1:6" x14ac:dyDescent="0.25">
      <c r="A1203" s="1">
        <v>40827</v>
      </c>
      <c r="B1203" s="2">
        <v>0.58333333333333337</v>
      </c>
      <c r="C1203" s="3">
        <v>247.8</v>
      </c>
      <c r="D1203" s="3">
        <v>249.85</v>
      </c>
      <c r="E1203" s="3">
        <v>243.15</v>
      </c>
      <c r="F1203" s="3">
        <v>244.9</v>
      </c>
    </row>
    <row r="1204" spans="1:6" x14ac:dyDescent="0.25">
      <c r="A1204" s="1">
        <v>40828</v>
      </c>
      <c r="B1204" s="2">
        <v>0.58333333333333337</v>
      </c>
      <c r="C1204" s="3">
        <v>245.5</v>
      </c>
      <c r="D1204" s="3">
        <v>253.2</v>
      </c>
      <c r="E1204" s="3">
        <v>245.1</v>
      </c>
      <c r="F1204" s="3">
        <v>250.95</v>
      </c>
    </row>
    <row r="1205" spans="1:6" x14ac:dyDescent="0.25">
      <c r="A1205" s="1">
        <v>40829</v>
      </c>
      <c r="B1205" s="2">
        <v>0.58333333333333337</v>
      </c>
      <c r="C1205" s="3">
        <v>253</v>
      </c>
      <c r="D1205" s="3">
        <v>261.85000000000002</v>
      </c>
      <c r="E1205" s="3">
        <v>249.6</v>
      </c>
      <c r="F1205" s="3">
        <v>259.14999999999998</v>
      </c>
    </row>
    <row r="1206" spans="1:6" x14ac:dyDescent="0.25">
      <c r="A1206" s="1">
        <v>40830</v>
      </c>
      <c r="B1206" s="2">
        <v>0.58333333333333337</v>
      </c>
      <c r="C1206" s="3">
        <v>258.95</v>
      </c>
      <c r="D1206" s="3">
        <v>263</v>
      </c>
      <c r="E1206" s="3">
        <v>255.75</v>
      </c>
      <c r="F1206" s="3">
        <v>261.05</v>
      </c>
    </row>
    <row r="1207" spans="1:6" x14ac:dyDescent="0.25">
      <c r="A1207" s="1">
        <v>40833</v>
      </c>
      <c r="B1207" s="2">
        <v>0.58333333333333337</v>
      </c>
      <c r="C1207" s="3">
        <v>261.55</v>
      </c>
      <c r="D1207" s="3">
        <v>265.05</v>
      </c>
      <c r="E1207" s="3">
        <v>249.85</v>
      </c>
      <c r="F1207" s="3">
        <v>255.5</v>
      </c>
    </row>
    <row r="1208" spans="1:6" x14ac:dyDescent="0.25">
      <c r="A1208" s="1">
        <v>40834</v>
      </c>
      <c r="B1208" s="2">
        <v>0.58333333333333337</v>
      </c>
      <c r="C1208" s="3">
        <v>254.3</v>
      </c>
      <c r="D1208" s="3">
        <v>257.5</v>
      </c>
      <c r="E1208" s="3">
        <v>250.9</v>
      </c>
      <c r="F1208" s="3">
        <v>253</v>
      </c>
    </row>
    <row r="1209" spans="1:6" x14ac:dyDescent="0.25">
      <c r="A1209" s="1">
        <v>40835</v>
      </c>
      <c r="B1209" s="2">
        <v>0.58333333333333337</v>
      </c>
      <c r="C1209" s="3">
        <v>252.75</v>
      </c>
      <c r="D1209" s="3">
        <v>260.75</v>
      </c>
      <c r="E1209" s="3">
        <v>252.4</v>
      </c>
      <c r="F1209" s="3">
        <v>257.64999999999998</v>
      </c>
    </row>
    <row r="1210" spans="1:6" x14ac:dyDescent="0.25">
      <c r="A1210" s="1">
        <v>40836</v>
      </c>
      <c r="B1210" s="2">
        <v>0.58333333333333337</v>
      </c>
      <c r="C1210" s="3">
        <v>255.9</v>
      </c>
      <c r="D1210" s="3">
        <v>258.35000000000002</v>
      </c>
      <c r="E1210" s="3">
        <v>251.2</v>
      </c>
      <c r="F1210" s="3">
        <v>253.15</v>
      </c>
    </row>
    <row r="1211" spans="1:6" x14ac:dyDescent="0.25">
      <c r="A1211" s="1">
        <v>40837</v>
      </c>
      <c r="B1211" s="2">
        <v>0.58333333333333337</v>
      </c>
      <c r="C1211" s="3">
        <v>255.15</v>
      </c>
      <c r="D1211" s="3">
        <v>268.2</v>
      </c>
      <c r="E1211" s="3">
        <v>254.7</v>
      </c>
      <c r="F1211" s="3">
        <v>266.35000000000002</v>
      </c>
    </row>
    <row r="1212" spans="1:6" x14ac:dyDescent="0.25">
      <c r="A1212" s="1">
        <v>40840</v>
      </c>
      <c r="B1212" s="2">
        <v>0.58333333333333337</v>
      </c>
      <c r="C1212" s="3">
        <v>266.95</v>
      </c>
      <c r="D1212" s="3">
        <v>273</v>
      </c>
      <c r="E1212" s="3">
        <v>264.60000000000002</v>
      </c>
      <c r="F1212" s="3">
        <v>272.3</v>
      </c>
    </row>
    <row r="1213" spans="1:6" x14ac:dyDescent="0.25">
      <c r="A1213" s="1">
        <v>40841</v>
      </c>
      <c r="B1213" s="2">
        <v>0.58333333333333337</v>
      </c>
      <c r="C1213" s="3">
        <v>272.75</v>
      </c>
      <c r="D1213" s="3">
        <v>274</v>
      </c>
      <c r="E1213" s="3">
        <v>257.10000000000002</v>
      </c>
      <c r="F1213" s="3">
        <v>258.05</v>
      </c>
    </row>
    <row r="1214" spans="1:6" x14ac:dyDescent="0.25">
      <c r="A1214" s="1">
        <v>40842</v>
      </c>
      <c r="B1214" s="2">
        <v>0.58333333333333337</v>
      </c>
      <c r="C1214" s="3">
        <v>258.3</v>
      </c>
      <c r="D1214" s="3">
        <v>262</v>
      </c>
      <c r="E1214" s="3">
        <v>253.4</v>
      </c>
      <c r="F1214" s="3">
        <v>255.2</v>
      </c>
    </row>
    <row r="1215" spans="1:6" x14ac:dyDescent="0.25">
      <c r="A1215" s="1">
        <v>40843</v>
      </c>
      <c r="B1215" s="2">
        <v>0.58333333333333337</v>
      </c>
      <c r="C1215" s="3">
        <v>255.5</v>
      </c>
      <c r="D1215" s="3">
        <v>262.45</v>
      </c>
      <c r="E1215" s="3">
        <v>255.5</v>
      </c>
      <c r="F1215" s="3">
        <v>256.10000000000002</v>
      </c>
    </row>
    <row r="1216" spans="1:6" x14ac:dyDescent="0.25">
      <c r="A1216" s="1">
        <v>40844</v>
      </c>
      <c r="B1216" s="2">
        <v>0.58333333333333337</v>
      </c>
      <c r="C1216" s="3">
        <v>256.10000000000002</v>
      </c>
      <c r="D1216" s="3">
        <v>258.2</v>
      </c>
      <c r="E1216" s="3">
        <v>253.6</v>
      </c>
      <c r="F1216" s="3">
        <v>256.64999999999998</v>
      </c>
    </row>
    <row r="1217" spans="1:6" x14ac:dyDescent="0.25">
      <c r="A1217" s="1">
        <v>40847</v>
      </c>
      <c r="B1217" s="2">
        <v>0.58333333333333337</v>
      </c>
      <c r="C1217" s="3">
        <v>254.5</v>
      </c>
      <c r="D1217" s="3">
        <v>254.95</v>
      </c>
      <c r="E1217" s="3">
        <v>246.85</v>
      </c>
      <c r="F1217" s="3">
        <v>248.45</v>
      </c>
    </row>
    <row r="1218" spans="1:6" x14ac:dyDescent="0.25">
      <c r="A1218" s="1">
        <v>40848</v>
      </c>
      <c r="B1218" s="2">
        <v>0.58333333333333337</v>
      </c>
      <c r="C1218" s="3">
        <v>247.9</v>
      </c>
      <c r="D1218" s="3">
        <v>247.9</v>
      </c>
      <c r="E1218" s="3">
        <v>241.95</v>
      </c>
      <c r="F1218" s="3">
        <v>245.15</v>
      </c>
    </row>
    <row r="1219" spans="1:6" x14ac:dyDescent="0.25">
      <c r="A1219" s="1">
        <v>40849</v>
      </c>
      <c r="B1219" s="2">
        <v>0.58333333333333337</v>
      </c>
      <c r="C1219" s="3">
        <v>246.9</v>
      </c>
      <c r="D1219" s="3">
        <v>249</v>
      </c>
      <c r="E1219" s="3">
        <v>244.5</v>
      </c>
      <c r="F1219" s="3">
        <v>245.5</v>
      </c>
    </row>
    <row r="1220" spans="1:6" x14ac:dyDescent="0.25">
      <c r="A1220" s="1">
        <v>40850</v>
      </c>
      <c r="B1220" s="2">
        <v>0.58333333333333337</v>
      </c>
      <c r="C1220" s="3">
        <v>244.75</v>
      </c>
      <c r="D1220" s="3">
        <v>251.6</v>
      </c>
      <c r="E1220" s="3">
        <v>244.75</v>
      </c>
      <c r="F1220" s="3">
        <v>248.3</v>
      </c>
    </row>
    <row r="1221" spans="1:6" x14ac:dyDescent="0.25">
      <c r="A1221" s="1">
        <v>40851</v>
      </c>
      <c r="B1221" s="2">
        <v>0.58333333333333337</v>
      </c>
      <c r="C1221" s="3">
        <v>249</v>
      </c>
      <c r="D1221" s="3">
        <v>252.9</v>
      </c>
      <c r="E1221" s="3">
        <v>245.75</v>
      </c>
      <c r="F1221" s="3">
        <v>251.7</v>
      </c>
    </row>
    <row r="1222" spans="1:6" x14ac:dyDescent="0.25">
      <c r="A1222" s="1">
        <v>40854</v>
      </c>
      <c r="B1222" s="2">
        <v>0.58333333333333337</v>
      </c>
      <c r="C1222" s="3">
        <v>251.7</v>
      </c>
      <c r="D1222" s="3">
        <v>258.3</v>
      </c>
      <c r="E1222" s="3">
        <v>250.15</v>
      </c>
      <c r="F1222" s="3">
        <v>254.5</v>
      </c>
    </row>
    <row r="1223" spans="1:6" x14ac:dyDescent="0.25">
      <c r="A1223" s="1">
        <v>40855</v>
      </c>
      <c r="B1223" s="2">
        <v>0.58333333333333337</v>
      </c>
      <c r="C1223" s="3">
        <v>256.39999999999998</v>
      </c>
      <c r="D1223" s="3">
        <v>258.8</v>
      </c>
      <c r="E1223" s="3">
        <v>250.2</v>
      </c>
      <c r="F1223" s="3">
        <v>251.1</v>
      </c>
    </row>
    <row r="1224" spans="1:6" x14ac:dyDescent="0.25">
      <c r="A1224" s="1">
        <v>40856</v>
      </c>
      <c r="B1224" s="2">
        <v>0.58333333333333337</v>
      </c>
      <c r="C1224" s="3">
        <v>251.9</v>
      </c>
      <c r="D1224" s="3">
        <v>252.95</v>
      </c>
      <c r="E1224" s="3">
        <v>248.45</v>
      </c>
      <c r="F1224" s="3">
        <v>251.7</v>
      </c>
    </row>
    <row r="1225" spans="1:6" x14ac:dyDescent="0.25">
      <c r="A1225" s="1">
        <v>40857</v>
      </c>
      <c r="B1225" s="2">
        <v>0.58333333333333337</v>
      </c>
      <c r="C1225" s="3">
        <v>250.55</v>
      </c>
      <c r="D1225" s="3">
        <v>254.3</v>
      </c>
      <c r="E1225" s="3">
        <v>249.25</v>
      </c>
      <c r="F1225" s="3">
        <v>251.5</v>
      </c>
    </row>
    <row r="1226" spans="1:6" x14ac:dyDescent="0.25">
      <c r="A1226" s="1">
        <v>40858</v>
      </c>
      <c r="B1226" s="2">
        <v>0.58333333333333337</v>
      </c>
      <c r="C1226" s="3">
        <v>252.15</v>
      </c>
      <c r="D1226" s="3">
        <v>256.45</v>
      </c>
      <c r="E1226" s="3">
        <v>251.1</v>
      </c>
      <c r="F1226" s="3">
        <v>255.4</v>
      </c>
    </row>
    <row r="1227" spans="1:6" x14ac:dyDescent="0.25">
      <c r="A1227" s="1">
        <v>40861</v>
      </c>
      <c r="B1227" s="2">
        <v>0.58333333333333337</v>
      </c>
      <c r="C1227" s="3">
        <v>257.10000000000002</v>
      </c>
      <c r="D1227" s="3">
        <v>259.60000000000002</v>
      </c>
      <c r="E1227" s="3">
        <v>249.1</v>
      </c>
      <c r="F1227" s="3">
        <v>252.25</v>
      </c>
    </row>
    <row r="1228" spans="1:6" x14ac:dyDescent="0.25">
      <c r="A1228" s="1">
        <v>40862</v>
      </c>
      <c r="B1228" s="2">
        <v>0.58333333333333337</v>
      </c>
      <c r="C1228" s="3">
        <v>253.55</v>
      </c>
      <c r="D1228" s="3">
        <v>261.39999999999998</v>
      </c>
      <c r="E1228" s="3">
        <v>251.7</v>
      </c>
      <c r="F1228" s="3">
        <v>260.8</v>
      </c>
    </row>
    <row r="1229" spans="1:6" x14ac:dyDescent="0.25">
      <c r="A1229" s="1">
        <v>40863</v>
      </c>
      <c r="B1229" s="2">
        <v>0.58333333333333337</v>
      </c>
      <c r="C1229" s="3">
        <v>258.5</v>
      </c>
      <c r="D1229" s="3">
        <v>260.05</v>
      </c>
      <c r="E1229" s="3">
        <v>256.39999999999998</v>
      </c>
      <c r="F1229" s="3">
        <v>257.14999999999998</v>
      </c>
    </row>
    <row r="1230" spans="1:6" x14ac:dyDescent="0.25">
      <c r="A1230" s="1">
        <v>40864</v>
      </c>
      <c r="B1230" s="2">
        <v>0.58333333333333337</v>
      </c>
      <c r="C1230" s="3">
        <v>256</v>
      </c>
      <c r="D1230" s="3">
        <v>257.89999999999998</v>
      </c>
      <c r="E1230" s="3">
        <v>253.35</v>
      </c>
      <c r="F1230" s="3">
        <v>254.2</v>
      </c>
    </row>
    <row r="1231" spans="1:6" x14ac:dyDescent="0.25">
      <c r="A1231" s="1">
        <v>40865</v>
      </c>
      <c r="B1231" s="2">
        <v>0.58333333333333337</v>
      </c>
      <c r="C1231" s="3">
        <v>253.55</v>
      </c>
      <c r="D1231" s="3">
        <v>258.39999999999998</v>
      </c>
      <c r="E1231" s="3">
        <v>253.55</v>
      </c>
      <c r="F1231" s="3">
        <v>256.95</v>
      </c>
    </row>
    <row r="1232" spans="1:6" x14ac:dyDescent="0.25">
      <c r="A1232" s="1">
        <v>40868</v>
      </c>
      <c r="B1232" s="2">
        <v>0.58333333333333337</v>
      </c>
      <c r="C1232" s="3">
        <v>256.35000000000002</v>
      </c>
      <c r="D1232" s="3">
        <v>256.64999999999998</v>
      </c>
      <c r="E1232" s="3">
        <v>254.2</v>
      </c>
      <c r="F1232" s="3">
        <v>255.1</v>
      </c>
    </row>
    <row r="1233" spans="1:6" x14ac:dyDescent="0.25">
      <c r="A1233" s="1">
        <v>40869</v>
      </c>
      <c r="B1233" s="2">
        <v>0.58333333333333337</v>
      </c>
      <c r="C1233" s="3">
        <v>255.2</v>
      </c>
      <c r="D1233" s="3">
        <v>256</v>
      </c>
      <c r="E1233" s="3">
        <v>252.7</v>
      </c>
      <c r="F1233" s="3">
        <v>255</v>
      </c>
    </row>
    <row r="1234" spans="1:6" x14ac:dyDescent="0.25">
      <c r="A1234" s="1">
        <v>40870</v>
      </c>
      <c r="B1234" s="2">
        <v>0.58333333333333337</v>
      </c>
      <c r="C1234" s="3">
        <v>253.9</v>
      </c>
      <c r="D1234" s="3">
        <v>258.60000000000002</v>
      </c>
      <c r="E1234" s="3">
        <v>252.85</v>
      </c>
      <c r="F1234" s="3">
        <v>253.5</v>
      </c>
    </row>
    <row r="1235" spans="1:6" x14ac:dyDescent="0.25">
      <c r="A1235" s="1">
        <v>40872</v>
      </c>
      <c r="B1235" s="2">
        <v>0.58333333333333337</v>
      </c>
      <c r="C1235" s="3">
        <v>253.5</v>
      </c>
      <c r="D1235" s="3">
        <v>254.45</v>
      </c>
      <c r="E1235" s="3">
        <v>250.2</v>
      </c>
      <c r="F1235" s="3">
        <v>250.65</v>
      </c>
    </row>
    <row r="1236" spans="1:6" x14ac:dyDescent="0.25">
      <c r="A1236" s="1">
        <v>40875</v>
      </c>
      <c r="B1236" s="2">
        <v>0.58333333333333337</v>
      </c>
      <c r="C1236" s="3">
        <v>250.65</v>
      </c>
      <c r="D1236" s="3">
        <v>256.5</v>
      </c>
      <c r="E1236" s="3">
        <v>245.45</v>
      </c>
      <c r="F1236" s="3">
        <v>245.9</v>
      </c>
    </row>
    <row r="1237" spans="1:6" x14ac:dyDescent="0.25">
      <c r="A1237" s="1">
        <v>40876</v>
      </c>
      <c r="B1237" s="2">
        <v>0.58333333333333337</v>
      </c>
      <c r="C1237" s="3">
        <v>246.6</v>
      </c>
      <c r="D1237" s="3">
        <v>250.15</v>
      </c>
      <c r="E1237" s="3">
        <v>245.4</v>
      </c>
      <c r="F1237" s="3">
        <v>245.65</v>
      </c>
    </row>
    <row r="1238" spans="1:6" x14ac:dyDescent="0.25">
      <c r="A1238" s="1">
        <v>40877</v>
      </c>
      <c r="B1238" s="2">
        <v>0.58333333333333337</v>
      </c>
      <c r="C1238" s="3">
        <v>245.25</v>
      </c>
      <c r="D1238" s="3">
        <v>255.65</v>
      </c>
      <c r="E1238" s="3">
        <v>244.85</v>
      </c>
      <c r="F1238" s="3">
        <v>255</v>
      </c>
    </row>
    <row r="1239" spans="1:6" x14ac:dyDescent="0.25">
      <c r="A1239" s="1">
        <v>40878</v>
      </c>
      <c r="B1239" s="2">
        <v>0.58333333333333337</v>
      </c>
      <c r="C1239" s="3">
        <v>254.2</v>
      </c>
      <c r="D1239" s="3">
        <v>257.05</v>
      </c>
      <c r="E1239" s="3">
        <v>251.7</v>
      </c>
      <c r="F1239" s="3">
        <v>253.8</v>
      </c>
    </row>
    <row r="1240" spans="1:6" x14ac:dyDescent="0.25">
      <c r="A1240" s="1">
        <v>40879</v>
      </c>
      <c r="B1240" s="2">
        <v>0.58333333333333337</v>
      </c>
      <c r="C1240" s="3">
        <v>253.8</v>
      </c>
      <c r="D1240" s="3">
        <v>256.5</v>
      </c>
      <c r="E1240" s="3">
        <v>243.6</v>
      </c>
      <c r="F1240" s="3">
        <v>247.65</v>
      </c>
    </row>
    <row r="1241" spans="1:6" x14ac:dyDescent="0.25">
      <c r="A1241" s="1">
        <v>40882</v>
      </c>
      <c r="B1241" s="2">
        <v>0.58333333333333337</v>
      </c>
      <c r="C1241" s="3">
        <v>248.05</v>
      </c>
      <c r="D1241" s="3">
        <v>255.8</v>
      </c>
      <c r="E1241" s="3">
        <v>247.85</v>
      </c>
      <c r="F1241" s="3">
        <v>254.5</v>
      </c>
    </row>
    <row r="1242" spans="1:6" x14ac:dyDescent="0.25">
      <c r="A1242" s="1">
        <v>40883</v>
      </c>
      <c r="B1242" s="2">
        <v>0.58333333333333337</v>
      </c>
      <c r="C1242" s="3">
        <v>252.7</v>
      </c>
      <c r="D1242" s="3">
        <v>255.4</v>
      </c>
      <c r="E1242" s="3">
        <v>250.45</v>
      </c>
      <c r="F1242" s="3">
        <v>253.85</v>
      </c>
    </row>
    <row r="1243" spans="1:6" x14ac:dyDescent="0.25">
      <c r="A1243" s="1">
        <v>40884</v>
      </c>
      <c r="B1243" s="2">
        <v>0.58333333333333337</v>
      </c>
      <c r="C1243" s="3">
        <v>254.05</v>
      </c>
      <c r="D1243" s="3">
        <v>254.35</v>
      </c>
      <c r="E1243" s="3">
        <v>247.25</v>
      </c>
      <c r="F1243" s="3">
        <v>247.95</v>
      </c>
    </row>
    <row r="1244" spans="1:6" x14ac:dyDescent="0.25">
      <c r="A1244" s="1">
        <v>40885</v>
      </c>
      <c r="B1244" s="2">
        <v>0.58333333333333337</v>
      </c>
      <c r="C1244" s="3">
        <v>248.1</v>
      </c>
      <c r="D1244" s="3">
        <v>250.4</v>
      </c>
      <c r="E1244" s="3">
        <v>245.3</v>
      </c>
      <c r="F1244" s="3">
        <v>246.75</v>
      </c>
    </row>
    <row r="1245" spans="1:6" x14ac:dyDescent="0.25">
      <c r="A1245" s="1">
        <v>40886</v>
      </c>
      <c r="B1245" s="2">
        <v>0.58333333333333337</v>
      </c>
      <c r="C1245" s="3">
        <v>247.1</v>
      </c>
      <c r="D1245" s="3">
        <v>250.1</v>
      </c>
      <c r="E1245" s="3">
        <v>243.95</v>
      </c>
      <c r="F1245" s="3">
        <v>245.85</v>
      </c>
    </row>
    <row r="1246" spans="1:6" x14ac:dyDescent="0.25">
      <c r="A1246" s="1">
        <v>40889</v>
      </c>
      <c r="B1246" s="2">
        <v>0.58333333333333337</v>
      </c>
      <c r="C1246" s="3">
        <v>245.25</v>
      </c>
      <c r="D1246" s="3">
        <v>245.7</v>
      </c>
      <c r="E1246" s="3">
        <v>238.3</v>
      </c>
      <c r="F1246" s="3">
        <v>239.15</v>
      </c>
    </row>
    <row r="1247" spans="1:6" x14ac:dyDescent="0.25">
      <c r="A1247" s="1">
        <v>40890</v>
      </c>
      <c r="B1247" s="2">
        <v>0.58333333333333337</v>
      </c>
      <c r="C1247" s="3">
        <v>239.2</v>
      </c>
      <c r="D1247" s="3">
        <v>242.6</v>
      </c>
      <c r="E1247" s="3">
        <v>238.7</v>
      </c>
      <c r="F1247" s="3">
        <v>241.05</v>
      </c>
    </row>
    <row r="1248" spans="1:6" x14ac:dyDescent="0.25">
      <c r="A1248" s="1">
        <v>40891</v>
      </c>
      <c r="B1248" s="2">
        <v>0.58333333333333337</v>
      </c>
      <c r="C1248" s="3">
        <v>240.4</v>
      </c>
      <c r="D1248" s="3">
        <v>241</v>
      </c>
      <c r="E1248" s="3">
        <v>235.35</v>
      </c>
      <c r="F1248" s="3">
        <v>236.1</v>
      </c>
    </row>
    <row r="1249" spans="1:6" x14ac:dyDescent="0.25">
      <c r="A1249" s="1">
        <v>40892</v>
      </c>
      <c r="B1249" s="2">
        <v>0.58333333333333337</v>
      </c>
      <c r="C1249" s="3">
        <v>237.1</v>
      </c>
      <c r="D1249" s="3">
        <v>238.6</v>
      </c>
      <c r="E1249" s="3">
        <v>234.65</v>
      </c>
      <c r="F1249" s="3">
        <v>235.85</v>
      </c>
    </row>
    <row r="1250" spans="1:6" x14ac:dyDescent="0.25">
      <c r="A1250" s="1">
        <v>40893</v>
      </c>
      <c r="B1250" s="2">
        <v>0.58333333333333337</v>
      </c>
      <c r="C1250" s="3">
        <v>235.85</v>
      </c>
      <c r="D1250" s="3">
        <v>237.15</v>
      </c>
      <c r="E1250" s="3">
        <v>232.3</v>
      </c>
      <c r="F1250" s="3">
        <v>233.2</v>
      </c>
    </row>
    <row r="1251" spans="1:6" x14ac:dyDescent="0.25">
      <c r="A1251" s="1">
        <v>40896</v>
      </c>
      <c r="B1251" s="2">
        <v>0.58333333333333337</v>
      </c>
      <c r="C1251" s="3">
        <v>234.2</v>
      </c>
      <c r="D1251" s="3">
        <v>238.05</v>
      </c>
      <c r="E1251" s="3">
        <v>230.45</v>
      </c>
      <c r="F1251" s="3">
        <v>237.55</v>
      </c>
    </row>
    <row r="1252" spans="1:6" x14ac:dyDescent="0.25">
      <c r="A1252" s="1">
        <v>40897</v>
      </c>
      <c r="B1252" s="2">
        <v>0.58333333333333337</v>
      </c>
      <c r="C1252" s="3">
        <v>238.1</v>
      </c>
      <c r="D1252" s="3">
        <v>242.15</v>
      </c>
      <c r="E1252" s="3">
        <v>237.1</v>
      </c>
      <c r="F1252" s="3">
        <v>240.9</v>
      </c>
    </row>
    <row r="1253" spans="1:6" x14ac:dyDescent="0.25">
      <c r="A1253" s="1">
        <v>40898</v>
      </c>
      <c r="B1253" s="2">
        <v>0.58333333333333337</v>
      </c>
      <c r="C1253" s="3">
        <v>240.2</v>
      </c>
      <c r="D1253" s="3">
        <v>240.9</v>
      </c>
      <c r="E1253" s="3">
        <v>236.6</v>
      </c>
      <c r="F1253" s="3">
        <v>238</v>
      </c>
    </row>
    <row r="1254" spans="1:6" x14ac:dyDescent="0.25">
      <c r="A1254" s="1">
        <v>40899</v>
      </c>
      <c r="B1254" s="2">
        <v>0.58333333333333337</v>
      </c>
      <c r="C1254" s="3">
        <v>237.8</v>
      </c>
      <c r="D1254" s="3">
        <v>241.5</v>
      </c>
      <c r="E1254" s="3">
        <v>236.75</v>
      </c>
      <c r="F1254" s="3">
        <v>239.5</v>
      </c>
    </row>
    <row r="1255" spans="1:6" x14ac:dyDescent="0.25">
      <c r="A1255" s="1">
        <v>40900</v>
      </c>
      <c r="B1255" s="2">
        <v>0.58333333333333337</v>
      </c>
      <c r="C1255" s="3">
        <v>239</v>
      </c>
      <c r="D1255" s="3">
        <v>240.95</v>
      </c>
      <c r="E1255" s="3">
        <v>235.5</v>
      </c>
      <c r="F1255" s="3">
        <v>237.75</v>
      </c>
    </row>
    <row r="1256" spans="1:6" x14ac:dyDescent="0.25">
      <c r="A1256" s="1">
        <v>40904</v>
      </c>
      <c r="B1256" s="2">
        <v>0.58333333333333337</v>
      </c>
      <c r="C1256" s="3">
        <v>236.45</v>
      </c>
      <c r="D1256" s="3">
        <v>241.1</v>
      </c>
      <c r="E1256" s="3">
        <v>236.45</v>
      </c>
      <c r="F1256" s="3">
        <v>240.95</v>
      </c>
    </row>
    <row r="1257" spans="1:6" x14ac:dyDescent="0.25">
      <c r="A1257" s="1">
        <v>40905</v>
      </c>
      <c r="B1257" s="2">
        <v>0.58333333333333337</v>
      </c>
      <c r="C1257" s="3">
        <v>240</v>
      </c>
      <c r="D1257" s="3">
        <v>247.4</v>
      </c>
      <c r="E1257" s="3">
        <v>239.1</v>
      </c>
      <c r="F1257" s="3">
        <v>244.85</v>
      </c>
    </row>
    <row r="1258" spans="1:6" x14ac:dyDescent="0.25">
      <c r="A1258" s="1">
        <v>40906</v>
      </c>
      <c r="B1258" s="2">
        <v>0.58333333333333337</v>
      </c>
      <c r="C1258" s="3">
        <v>243.85</v>
      </c>
      <c r="D1258" s="3">
        <v>245.3</v>
      </c>
      <c r="E1258" s="3">
        <v>242.2</v>
      </c>
      <c r="F1258" s="3">
        <v>242.35</v>
      </c>
    </row>
    <row r="1259" spans="1:6" x14ac:dyDescent="0.25">
      <c r="A1259" s="1">
        <v>40907</v>
      </c>
      <c r="B1259" s="2">
        <v>0.58333333333333337</v>
      </c>
      <c r="C1259" s="3">
        <v>242.55</v>
      </c>
      <c r="D1259" s="3">
        <v>245.7</v>
      </c>
      <c r="E1259" s="3">
        <v>242.3</v>
      </c>
      <c r="F1259" s="3">
        <v>244.95</v>
      </c>
    </row>
    <row r="1260" spans="1:6" x14ac:dyDescent="0.25">
      <c r="A1260" s="1">
        <v>40911</v>
      </c>
      <c r="B1260" s="2">
        <v>0.58333333333333337</v>
      </c>
      <c r="C1260" s="3">
        <v>244.95</v>
      </c>
      <c r="D1260" s="3">
        <v>246.1</v>
      </c>
      <c r="E1260" s="3">
        <v>240.5</v>
      </c>
      <c r="F1260" s="3">
        <v>245.3</v>
      </c>
    </row>
    <row r="1261" spans="1:6" x14ac:dyDescent="0.25">
      <c r="A1261" s="1">
        <v>40912</v>
      </c>
      <c r="B1261" s="2">
        <v>0.58333333333333337</v>
      </c>
      <c r="C1261" s="3">
        <v>244.1</v>
      </c>
      <c r="D1261" s="3">
        <v>247.25</v>
      </c>
      <c r="E1261" s="3">
        <v>242.5</v>
      </c>
      <c r="F1261" s="3">
        <v>244.8</v>
      </c>
    </row>
    <row r="1262" spans="1:6" x14ac:dyDescent="0.25">
      <c r="A1262" s="1">
        <v>40913</v>
      </c>
      <c r="B1262" s="2">
        <v>0.58333333333333337</v>
      </c>
      <c r="C1262" s="3">
        <v>243.55</v>
      </c>
      <c r="D1262" s="3">
        <v>243.9</v>
      </c>
      <c r="E1262" s="3">
        <v>235.65</v>
      </c>
      <c r="F1262" s="3">
        <v>237.65</v>
      </c>
    </row>
    <row r="1263" spans="1:6" x14ac:dyDescent="0.25">
      <c r="A1263" s="1">
        <v>40914</v>
      </c>
      <c r="B1263" s="2">
        <v>0.58333333333333337</v>
      </c>
      <c r="C1263" s="3">
        <v>237.1</v>
      </c>
      <c r="D1263" s="3">
        <v>240.5</v>
      </c>
      <c r="E1263" s="3">
        <v>234.7</v>
      </c>
      <c r="F1263" s="3">
        <v>239.85</v>
      </c>
    </row>
    <row r="1264" spans="1:6" x14ac:dyDescent="0.25">
      <c r="A1264" s="1">
        <v>40917</v>
      </c>
      <c r="B1264" s="2">
        <v>0.58333333333333337</v>
      </c>
      <c r="C1264" s="3">
        <v>238.85</v>
      </c>
      <c r="D1264" s="3">
        <v>242.6</v>
      </c>
      <c r="E1264" s="3">
        <v>235.7</v>
      </c>
      <c r="F1264" s="3">
        <v>239.95</v>
      </c>
    </row>
    <row r="1265" spans="1:6" x14ac:dyDescent="0.25">
      <c r="A1265" s="1">
        <v>40918</v>
      </c>
      <c r="B1265" s="2">
        <v>0.58333333333333337</v>
      </c>
      <c r="C1265" s="3">
        <v>239.6</v>
      </c>
      <c r="D1265" s="3">
        <v>244.2</v>
      </c>
      <c r="E1265" s="3">
        <v>239.25</v>
      </c>
      <c r="F1265" s="3">
        <v>244.05</v>
      </c>
    </row>
    <row r="1266" spans="1:6" x14ac:dyDescent="0.25">
      <c r="A1266" s="1">
        <v>40919</v>
      </c>
      <c r="B1266" s="2">
        <v>0.58333333333333337</v>
      </c>
      <c r="C1266" s="3">
        <v>243.35</v>
      </c>
      <c r="D1266" s="3">
        <v>253.3</v>
      </c>
      <c r="E1266" s="3">
        <v>242.25</v>
      </c>
      <c r="F1266" s="3">
        <v>253</v>
      </c>
    </row>
    <row r="1267" spans="1:6" x14ac:dyDescent="0.25">
      <c r="A1267" s="1">
        <v>40920</v>
      </c>
      <c r="B1267" s="2">
        <v>0.58333333333333337</v>
      </c>
      <c r="C1267" s="3">
        <v>251.9</v>
      </c>
      <c r="D1267" s="3">
        <v>256.60000000000002</v>
      </c>
      <c r="E1267" s="3">
        <v>249.95</v>
      </c>
      <c r="F1267" s="3">
        <v>252</v>
      </c>
    </row>
    <row r="1268" spans="1:6" x14ac:dyDescent="0.25">
      <c r="A1268" s="1">
        <v>40921</v>
      </c>
      <c r="B1268" s="2">
        <v>0.58333333333333337</v>
      </c>
      <c r="C1268" s="3">
        <v>251.7</v>
      </c>
      <c r="D1268" s="3">
        <v>254.5</v>
      </c>
      <c r="E1268" s="3">
        <v>242.6</v>
      </c>
      <c r="F1268" s="3">
        <v>243.35</v>
      </c>
    </row>
    <row r="1269" spans="1:6" x14ac:dyDescent="0.25">
      <c r="A1269" s="1">
        <v>40925</v>
      </c>
      <c r="B1269" s="2">
        <v>0.58333333333333337</v>
      </c>
      <c r="C1269" s="3">
        <v>243.55</v>
      </c>
      <c r="D1269" s="3">
        <v>247.35</v>
      </c>
      <c r="E1269" s="3">
        <v>239.2</v>
      </c>
      <c r="F1269" s="3">
        <v>243.25</v>
      </c>
    </row>
    <row r="1270" spans="1:6" x14ac:dyDescent="0.25">
      <c r="A1270" s="1">
        <v>40926</v>
      </c>
      <c r="B1270" s="2">
        <v>0.58333333333333337</v>
      </c>
      <c r="C1270" s="3">
        <v>244.05</v>
      </c>
      <c r="D1270" s="3">
        <v>245.1</v>
      </c>
      <c r="E1270" s="3">
        <v>240.35</v>
      </c>
      <c r="F1270" s="3">
        <v>242.95</v>
      </c>
    </row>
    <row r="1271" spans="1:6" x14ac:dyDescent="0.25">
      <c r="A1271" s="1">
        <v>40927</v>
      </c>
      <c r="B1271" s="2">
        <v>0.58333333333333337</v>
      </c>
      <c r="C1271" s="3">
        <v>242.35</v>
      </c>
      <c r="D1271" s="3">
        <v>245.9</v>
      </c>
      <c r="E1271" s="3">
        <v>241.45</v>
      </c>
      <c r="F1271" s="3">
        <v>244.75</v>
      </c>
    </row>
    <row r="1272" spans="1:6" x14ac:dyDescent="0.25">
      <c r="A1272" s="1">
        <v>40928</v>
      </c>
      <c r="B1272" s="2">
        <v>0.58333333333333337</v>
      </c>
      <c r="C1272" s="3">
        <v>243.6</v>
      </c>
      <c r="D1272" s="3">
        <v>246.75</v>
      </c>
      <c r="E1272" s="3">
        <v>242.2</v>
      </c>
      <c r="F1272" s="3">
        <v>243.5</v>
      </c>
    </row>
    <row r="1273" spans="1:6" x14ac:dyDescent="0.25">
      <c r="A1273" s="1">
        <v>40931</v>
      </c>
      <c r="B1273" s="2">
        <v>0.58333333333333337</v>
      </c>
      <c r="C1273" s="3">
        <v>242</v>
      </c>
      <c r="D1273" s="3">
        <v>243.1</v>
      </c>
      <c r="E1273" s="3">
        <v>235.95</v>
      </c>
      <c r="F1273" s="3">
        <v>237.55</v>
      </c>
    </row>
    <row r="1274" spans="1:6" x14ac:dyDescent="0.25">
      <c r="A1274" s="1">
        <v>40932</v>
      </c>
      <c r="B1274" s="2">
        <v>0.58333333333333337</v>
      </c>
      <c r="C1274" s="3">
        <v>237.85</v>
      </c>
      <c r="D1274" s="3">
        <v>239.4</v>
      </c>
      <c r="E1274" s="3">
        <v>235.65</v>
      </c>
      <c r="F1274" s="3">
        <v>238.55</v>
      </c>
    </row>
    <row r="1275" spans="1:6" x14ac:dyDescent="0.25">
      <c r="A1275" s="1">
        <v>40933</v>
      </c>
      <c r="B1275" s="2">
        <v>0.58333333333333337</v>
      </c>
      <c r="C1275" s="3">
        <v>238.35</v>
      </c>
      <c r="D1275" s="3">
        <v>240</v>
      </c>
      <c r="E1275" s="3">
        <v>234.9</v>
      </c>
      <c r="F1275" s="3">
        <v>235.3</v>
      </c>
    </row>
    <row r="1276" spans="1:6" x14ac:dyDescent="0.25">
      <c r="A1276" s="1">
        <v>40934</v>
      </c>
      <c r="B1276" s="2">
        <v>0.58333333333333337</v>
      </c>
      <c r="C1276" s="3">
        <v>236.6</v>
      </c>
      <c r="D1276" s="3">
        <v>239.6</v>
      </c>
      <c r="E1276" s="3">
        <v>235.35</v>
      </c>
      <c r="F1276" s="3">
        <v>237.8</v>
      </c>
    </row>
    <row r="1277" spans="1:6" x14ac:dyDescent="0.25">
      <c r="A1277" s="1">
        <v>40935</v>
      </c>
      <c r="B1277" s="2">
        <v>0.58333333333333337</v>
      </c>
      <c r="C1277" s="3">
        <v>237.75</v>
      </c>
      <c r="D1277" s="3">
        <v>238.3</v>
      </c>
      <c r="E1277" s="3">
        <v>235</v>
      </c>
      <c r="F1277" s="3">
        <v>235.45</v>
      </c>
    </row>
    <row r="1278" spans="1:6" x14ac:dyDescent="0.25">
      <c r="A1278" s="1">
        <v>40938</v>
      </c>
      <c r="B1278" s="2">
        <v>0.58333333333333337</v>
      </c>
      <c r="C1278" s="3">
        <v>234.85</v>
      </c>
      <c r="D1278" s="3">
        <v>235.4</v>
      </c>
      <c r="E1278" s="3">
        <v>233.1</v>
      </c>
      <c r="F1278" s="3">
        <v>234.7</v>
      </c>
    </row>
    <row r="1279" spans="1:6" x14ac:dyDescent="0.25">
      <c r="A1279" s="1">
        <v>40939</v>
      </c>
      <c r="B1279" s="2">
        <v>0.58333333333333337</v>
      </c>
      <c r="C1279" s="3">
        <v>235.1</v>
      </c>
      <c r="D1279" s="3">
        <v>237.75</v>
      </c>
      <c r="E1279" s="3">
        <v>231.2</v>
      </c>
      <c r="F1279" s="3">
        <v>233.15</v>
      </c>
    </row>
    <row r="1280" spans="1:6" x14ac:dyDescent="0.25">
      <c r="A1280" s="1">
        <v>40940</v>
      </c>
      <c r="B1280" s="2">
        <v>0.58333333333333337</v>
      </c>
      <c r="C1280" s="3">
        <v>232.6</v>
      </c>
      <c r="D1280" s="3">
        <v>234</v>
      </c>
      <c r="E1280" s="3">
        <v>231.3</v>
      </c>
      <c r="F1280" s="3">
        <v>232.2</v>
      </c>
    </row>
    <row r="1281" spans="1:6" x14ac:dyDescent="0.25">
      <c r="A1281" s="1">
        <v>40941</v>
      </c>
      <c r="B1281" s="2">
        <v>0.58333333333333337</v>
      </c>
      <c r="C1281" s="3">
        <v>232.1</v>
      </c>
      <c r="D1281" s="3">
        <v>234.25</v>
      </c>
      <c r="E1281" s="3">
        <v>229.05</v>
      </c>
      <c r="F1281" s="3">
        <v>233.7</v>
      </c>
    </row>
    <row r="1282" spans="1:6" x14ac:dyDescent="0.25">
      <c r="A1282" s="1">
        <v>40942</v>
      </c>
      <c r="B1282" s="2">
        <v>0.58333333333333337</v>
      </c>
      <c r="C1282" s="3">
        <v>233.9</v>
      </c>
      <c r="D1282" s="3">
        <v>237.05</v>
      </c>
      <c r="E1282" s="3">
        <v>232.7</v>
      </c>
      <c r="F1282" s="3">
        <v>234.05</v>
      </c>
    </row>
    <row r="1283" spans="1:6" x14ac:dyDescent="0.25">
      <c r="A1283" s="1">
        <v>40945</v>
      </c>
      <c r="B1283" s="2">
        <v>0.58333333333333337</v>
      </c>
      <c r="C1283" s="3">
        <v>233.1</v>
      </c>
      <c r="D1283" s="3">
        <v>237.9</v>
      </c>
      <c r="E1283" s="3">
        <v>231.15</v>
      </c>
      <c r="F1283" s="3">
        <v>236.9</v>
      </c>
    </row>
    <row r="1284" spans="1:6" x14ac:dyDescent="0.25">
      <c r="A1284" s="1">
        <v>40946</v>
      </c>
      <c r="B1284" s="2">
        <v>0.58333333333333337</v>
      </c>
      <c r="C1284" s="3">
        <v>237.2</v>
      </c>
      <c r="D1284" s="3">
        <v>240.55</v>
      </c>
      <c r="E1284" s="3">
        <v>233.9</v>
      </c>
      <c r="F1284" s="3">
        <v>239.05</v>
      </c>
    </row>
    <row r="1285" spans="1:6" x14ac:dyDescent="0.25">
      <c r="A1285" s="1">
        <v>40947</v>
      </c>
      <c r="B1285" s="2">
        <v>0.58333333333333337</v>
      </c>
      <c r="C1285" s="3">
        <v>239</v>
      </c>
      <c r="D1285" s="3">
        <v>240.4</v>
      </c>
      <c r="E1285" s="3">
        <v>237.25</v>
      </c>
      <c r="F1285" s="3">
        <v>238.15</v>
      </c>
    </row>
    <row r="1286" spans="1:6" x14ac:dyDescent="0.25">
      <c r="A1286" s="1">
        <v>40948</v>
      </c>
      <c r="B1286" s="2">
        <v>0.58333333333333337</v>
      </c>
      <c r="C1286" s="3">
        <v>238.7</v>
      </c>
      <c r="D1286" s="3">
        <v>240.25</v>
      </c>
      <c r="E1286" s="3">
        <v>232.85</v>
      </c>
      <c r="F1286" s="3">
        <v>234.1</v>
      </c>
    </row>
    <row r="1287" spans="1:6" x14ac:dyDescent="0.25">
      <c r="A1287" s="1">
        <v>40949</v>
      </c>
      <c r="B1287" s="2">
        <v>0.58333333333333337</v>
      </c>
      <c r="C1287" s="3">
        <v>234.1</v>
      </c>
      <c r="D1287" s="3">
        <v>236.1</v>
      </c>
      <c r="E1287" s="3">
        <v>232.55</v>
      </c>
      <c r="F1287" s="3">
        <v>233.4</v>
      </c>
    </row>
    <row r="1288" spans="1:6" x14ac:dyDescent="0.25">
      <c r="A1288" s="1">
        <v>40952</v>
      </c>
      <c r="B1288" s="2">
        <v>0.58333333333333337</v>
      </c>
      <c r="C1288" s="3">
        <v>233.5</v>
      </c>
      <c r="D1288" s="3">
        <v>235.6</v>
      </c>
      <c r="E1288" s="3">
        <v>228.7</v>
      </c>
      <c r="F1288" s="3">
        <v>230.6</v>
      </c>
    </row>
    <row r="1289" spans="1:6" x14ac:dyDescent="0.25">
      <c r="A1289" s="1">
        <v>40953</v>
      </c>
      <c r="B1289" s="2">
        <v>0.58333333333333337</v>
      </c>
      <c r="C1289" s="3">
        <v>230</v>
      </c>
      <c r="D1289" s="3">
        <v>231.75</v>
      </c>
      <c r="E1289" s="3">
        <v>221.3</v>
      </c>
      <c r="F1289" s="3">
        <v>222.15</v>
      </c>
    </row>
    <row r="1290" spans="1:6" x14ac:dyDescent="0.25">
      <c r="A1290" s="1">
        <v>40954</v>
      </c>
      <c r="B1290" s="2">
        <v>0.58333333333333337</v>
      </c>
      <c r="C1290" s="3">
        <v>222.25</v>
      </c>
      <c r="D1290" s="3">
        <v>224</v>
      </c>
      <c r="E1290" s="3">
        <v>216.4</v>
      </c>
      <c r="F1290" s="3">
        <v>218.55</v>
      </c>
    </row>
    <row r="1291" spans="1:6" x14ac:dyDescent="0.25">
      <c r="A1291" s="1">
        <v>40955</v>
      </c>
      <c r="B1291" s="2">
        <v>0.58333333333333337</v>
      </c>
      <c r="C1291" s="3">
        <v>218.25</v>
      </c>
      <c r="D1291" s="3">
        <v>220.5</v>
      </c>
      <c r="E1291" s="3">
        <v>213.8</v>
      </c>
      <c r="F1291" s="3">
        <v>217.2</v>
      </c>
    </row>
    <row r="1292" spans="1:6" x14ac:dyDescent="0.25">
      <c r="A1292" s="1">
        <v>40956</v>
      </c>
      <c r="B1292" s="2">
        <v>0.58333333333333337</v>
      </c>
      <c r="C1292" s="3">
        <v>217.3</v>
      </c>
      <c r="D1292" s="3">
        <v>218.95</v>
      </c>
      <c r="E1292" s="3">
        <v>216.1</v>
      </c>
      <c r="F1292" s="3">
        <v>218.35</v>
      </c>
    </row>
    <row r="1293" spans="1:6" x14ac:dyDescent="0.25">
      <c r="A1293" s="1">
        <v>40960</v>
      </c>
      <c r="B1293" s="2">
        <v>0.58333333333333337</v>
      </c>
      <c r="C1293" s="3">
        <v>218.8</v>
      </c>
      <c r="D1293" s="3">
        <v>222.75</v>
      </c>
      <c r="E1293" s="3">
        <v>216.4</v>
      </c>
      <c r="F1293" s="3">
        <v>222.05</v>
      </c>
    </row>
    <row r="1294" spans="1:6" x14ac:dyDescent="0.25">
      <c r="A1294" s="1">
        <v>40961</v>
      </c>
      <c r="B1294" s="2">
        <v>0.58333333333333337</v>
      </c>
      <c r="C1294" s="3">
        <v>222</v>
      </c>
      <c r="D1294" s="3">
        <v>222.4</v>
      </c>
      <c r="E1294" s="3">
        <v>217.45</v>
      </c>
      <c r="F1294" s="3">
        <v>217.85</v>
      </c>
    </row>
    <row r="1295" spans="1:6" x14ac:dyDescent="0.25">
      <c r="A1295" s="1">
        <v>40962</v>
      </c>
      <c r="B1295" s="2">
        <v>0.58333333333333337</v>
      </c>
      <c r="C1295" s="3">
        <v>217</v>
      </c>
      <c r="D1295" s="3">
        <v>221.7</v>
      </c>
      <c r="E1295" s="3">
        <v>217</v>
      </c>
      <c r="F1295" s="3">
        <v>218.05</v>
      </c>
    </row>
    <row r="1296" spans="1:6" x14ac:dyDescent="0.25">
      <c r="A1296" s="1">
        <v>40963</v>
      </c>
      <c r="B1296" s="2">
        <v>0.58333333333333337</v>
      </c>
      <c r="C1296" s="3">
        <v>218</v>
      </c>
      <c r="D1296" s="3">
        <v>220.4</v>
      </c>
      <c r="E1296" s="3">
        <v>217.95</v>
      </c>
      <c r="F1296" s="3">
        <v>219.6</v>
      </c>
    </row>
    <row r="1297" spans="1:6" x14ac:dyDescent="0.25">
      <c r="A1297" s="1">
        <v>40966</v>
      </c>
      <c r="B1297" s="2">
        <v>0.58333333333333337</v>
      </c>
      <c r="C1297" s="3">
        <v>219.6</v>
      </c>
      <c r="D1297" s="3">
        <v>221.5</v>
      </c>
      <c r="E1297" s="3">
        <v>217.3</v>
      </c>
      <c r="F1297" s="3">
        <v>220.6</v>
      </c>
    </row>
    <row r="1298" spans="1:6" x14ac:dyDescent="0.25">
      <c r="A1298" s="1">
        <v>40967</v>
      </c>
      <c r="B1298" s="2">
        <v>0.58333333333333337</v>
      </c>
      <c r="C1298" s="3">
        <v>220.5</v>
      </c>
      <c r="D1298" s="3">
        <v>223.35</v>
      </c>
      <c r="E1298" s="3">
        <v>218.15</v>
      </c>
      <c r="F1298" s="3">
        <v>222.25</v>
      </c>
    </row>
    <row r="1299" spans="1:6" x14ac:dyDescent="0.25">
      <c r="A1299" s="1">
        <v>40968</v>
      </c>
      <c r="B1299" s="2">
        <v>0.58333333333333337</v>
      </c>
      <c r="C1299" s="3">
        <v>221.7</v>
      </c>
      <c r="D1299" s="3">
        <v>222.25</v>
      </c>
      <c r="E1299" s="3">
        <v>217.5</v>
      </c>
      <c r="F1299" s="3">
        <v>219.25</v>
      </c>
    </row>
    <row r="1300" spans="1:6" x14ac:dyDescent="0.25">
      <c r="A1300" s="1">
        <v>40969</v>
      </c>
      <c r="B1300" s="2">
        <v>0.58333333333333337</v>
      </c>
      <c r="C1300" s="3">
        <v>218.95</v>
      </c>
      <c r="D1300" s="3">
        <v>221.1</v>
      </c>
      <c r="E1300" s="3">
        <v>217.85</v>
      </c>
      <c r="F1300" s="3">
        <v>220.1</v>
      </c>
    </row>
    <row r="1301" spans="1:6" x14ac:dyDescent="0.25">
      <c r="A1301" s="1">
        <v>40970</v>
      </c>
      <c r="B1301" s="2">
        <v>0.58333333333333337</v>
      </c>
      <c r="C1301" s="3">
        <v>220.1</v>
      </c>
      <c r="D1301" s="3">
        <v>220.75</v>
      </c>
      <c r="E1301" s="3">
        <v>216.75</v>
      </c>
      <c r="F1301" s="3">
        <v>217.8</v>
      </c>
    </row>
    <row r="1302" spans="1:6" x14ac:dyDescent="0.25">
      <c r="A1302" s="1">
        <v>40973</v>
      </c>
      <c r="B1302" s="2">
        <v>0.58333333333333337</v>
      </c>
      <c r="C1302" s="3">
        <v>216.8</v>
      </c>
      <c r="D1302" s="3">
        <v>218.5</v>
      </c>
      <c r="E1302" s="3">
        <v>215.05</v>
      </c>
      <c r="F1302" s="3">
        <v>217.7</v>
      </c>
    </row>
    <row r="1303" spans="1:6" x14ac:dyDescent="0.25">
      <c r="A1303" s="1">
        <v>40974</v>
      </c>
      <c r="B1303" s="2">
        <v>0.58333333333333337</v>
      </c>
      <c r="C1303" s="3">
        <v>217.05</v>
      </c>
      <c r="D1303" s="3">
        <v>217.6</v>
      </c>
      <c r="E1303" s="3">
        <v>208.55</v>
      </c>
      <c r="F1303" s="3">
        <v>209.05</v>
      </c>
    </row>
    <row r="1304" spans="1:6" x14ac:dyDescent="0.25">
      <c r="A1304" s="1">
        <v>40975</v>
      </c>
      <c r="B1304" s="2">
        <v>0.58333333333333337</v>
      </c>
      <c r="C1304" s="3">
        <v>209.05</v>
      </c>
      <c r="D1304" s="3">
        <v>210.5</v>
      </c>
      <c r="E1304" s="3">
        <v>202.2</v>
      </c>
      <c r="F1304" s="3">
        <v>204.6</v>
      </c>
    </row>
    <row r="1305" spans="1:6" x14ac:dyDescent="0.25">
      <c r="A1305" s="1">
        <v>40976</v>
      </c>
      <c r="B1305" s="2">
        <v>0.58333333333333337</v>
      </c>
      <c r="C1305" s="3">
        <v>203.9</v>
      </c>
      <c r="D1305" s="3">
        <v>208</v>
      </c>
      <c r="E1305" s="3">
        <v>201.1</v>
      </c>
      <c r="F1305" s="3">
        <v>205.4</v>
      </c>
    </row>
    <row r="1306" spans="1:6" x14ac:dyDescent="0.25">
      <c r="A1306" s="1">
        <v>40977</v>
      </c>
      <c r="B1306" s="2">
        <v>0.58333333333333337</v>
      </c>
      <c r="C1306" s="3">
        <v>205.35</v>
      </c>
      <c r="D1306" s="3">
        <v>205.4</v>
      </c>
      <c r="E1306" s="3">
        <v>201.55</v>
      </c>
      <c r="F1306" s="3">
        <v>202.2</v>
      </c>
    </row>
    <row r="1307" spans="1:6" x14ac:dyDescent="0.25">
      <c r="A1307" s="1">
        <v>40980</v>
      </c>
      <c r="B1307" s="2">
        <v>0.58333333333333337</v>
      </c>
      <c r="C1307" s="3">
        <v>201.7</v>
      </c>
      <c r="D1307" s="3">
        <v>201.75</v>
      </c>
      <c r="E1307" s="3">
        <v>197.05</v>
      </c>
      <c r="F1307" s="3">
        <v>200.85</v>
      </c>
    </row>
    <row r="1308" spans="1:6" x14ac:dyDescent="0.25">
      <c r="A1308" s="1">
        <v>40981</v>
      </c>
      <c r="B1308" s="2">
        <v>0.58333333333333337</v>
      </c>
      <c r="C1308" s="3">
        <v>200.7</v>
      </c>
      <c r="D1308" s="3">
        <v>202.6</v>
      </c>
      <c r="E1308" s="3">
        <v>199.35</v>
      </c>
      <c r="F1308" s="3">
        <v>202.15</v>
      </c>
    </row>
    <row r="1309" spans="1:6" x14ac:dyDescent="0.25">
      <c r="A1309" s="1">
        <v>40982</v>
      </c>
      <c r="B1309" s="2">
        <v>0.58333333333333337</v>
      </c>
      <c r="C1309" s="3">
        <v>201.7</v>
      </c>
      <c r="D1309" s="3">
        <v>202.3</v>
      </c>
      <c r="E1309" s="3">
        <v>198.65</v>
      </c>
      <c r="F1309" s="3">
        <v>199.6</v>
      </c>
    </row>
    <row r="1310" spans="1:6" x14ac:dyDescent="0.25">
      <c r="A1310" s="1">
        <v>40983</v>
      </c>
      <c r="B1310" s="2">
        <v>0.58333333333333337</v>
      </c>
      <c r="C1310" s="3">
        <v>198.9</v>
      </c>
      <c r="D1310" s="3">
        <v>201.8</v>
      </c>
      <c r="E1310" s="3">
        <v>198.55</v>
      </c>
      <c r="F1310" s="3">
        <v>201.3</v>
      </c>
    </row>
    <row r="1311" spans="1:6" x14ac:dyDescent="0.25">
      <c r="A1311" s="1">
        <v>40984</v>
      </c>
      <c r="B1311" s="2">
        <v>0.58333333333333337</v>
      </c>
      <c r="C1311" s="3">
        <v>201.2</v>
      </c>
      <c r="D1311" s="3">
        <v>202.5</v>
      </c>
      <c r="E1311" s="3">
        <v>197.7</v>
      </c>
      <c r="F1311" s="3">
        <v>198.35</v>
      </c>
    </row>
    <row r="1312" spans="1:6" x14ac:dyDescent="0.25">
      <c r="A1312" s="1">
        <v>40987</v>
      </c>
      <c r="B1312" s="2">
        <v>0.58333333333333337</v>
      </c>
      <c r="C1312" s="3">
        <v>198</v>
      </c>
      <c r="D1312" s="3">
        <v>201.25</v>
      </c>
      <c r="E1312" s="3">
        <v>198</v>
      </c>
      <c r="F1312" s="3">
        <v>199.5</v>
      </c>
    </row>
    <row r="1313" spans="1:6" x14ac:dyDescent="0.25">
      <c r="A1313" s="1">
        <v>40988</v>
      </c>
      <c r="B1313" s="2">
        <v>0.58333333333333337</v>
      </c>
      <c r="C1313" s="3">
        <v>199.25</v>
      </c>
      <c r="D1313" s="3">
        <v>201.5</v>
      </c>
      <c r="E1313" s="3">
        <v>198.35</v>
      </c>
      <c r="F1313" s="3">
        <v>199.6</v>
      </c>
    </row>
    <row r="1314" spans="1:6" x14ac:dyDescent="0.25">
      <c r="A1314" s="1">
        <v>40989</v>
      </c>
      <c r="B1314" s="2">
        <v>0.58333333333333337</v>
      </c>
      <c r="C1314" s="3">
        <v>199.5</v>
      </c>
      <c r="D1314" s="3">
        <v>204.45</v>
      </c>
      <c r="E1314" s="3">
        <v>198.5</v>
      </c>
      <c r="F1314" s="3">
        <v>200.7</v>
      </c>
    </row>
    <row r="1315" spans="1:6" x14ac:dyDescent="0.25">
      <c r="A1315" s="1">
        <v>40990</v>
      </c>
      <c r="B1315" s="2">
        <v>0.58333333333333337</v>
      </c>
      <c r="C1315" s="3">
        <v>200.15</v>
      </c>
      <c r="D1315" s="3">
        <v>201.3</v>
      </c>
      <c r="E1315" s="3">
        <v>190.45</v>
      </c>
      <c r="F1315" s="3">
        <v>192.95</v>
      </c>
    </row>
    <row r="1316" spans="1:6" x14ac:dyDescent="0.25">
      <c r="A1316" s="1">
        <v>40991</v>
      </c>
      <c r="B1316" s="2">
        <v>0.58333333333333337</v>
      </c>
      <c r="C1316" s="3">
        <v>192.25</v>
      </c>
      <c r="D1316" s="3">
        <v>195.25</v>
      </c>
      <c r="E1316" s="3">
        <v>191.25</v>
      </c>
      <c r="F1316" s="3">
        <v>194.75</v>
      </c>
    </row>
    <row r="1317" spans="1:6" x14ac:dyDescent="0.25">
      <c r="A1317" s="1">
        <v>40994</v>
      </c>
      <c r="B1317" s="2">
        <v>0.58333333333333337</v>
      </c>
      <c r="C1317" s="3">
        <v>194.25</v>
      </c>
      <c r="D1317" s="3">
        <v>196.4</v>
      </c>
      <c r="E1317" s="3">
        <v>193.7</v>
      </c>
      <c r="F1317" s="3">
        <v>194.8</v>
      </c>
    </row>
    <row r="1318" spans="1:6" x14ac:dyDescent="0.25">
      <c r="A1318" s="1">
        <v>40995</v>
      </c>
      <c r="B1318" s="2">
        <v>0.58333333333333337</v>
      </c>
      <c r="C1318" s="3">
        <v>194.8</v>
      </c>
      <c r="D1318" s="3">
        <v>203.65</v>
      </c>
      <c r="E1318" s="3">
        <v>194.8</v>
      </c>
      <c r="F1318" s="3">
        <v>203.35</v>
      </c>
    </row>
    <row r="1319" spans="1:6" x14ac:dyDescent="0.25">
      <c r="A1319" s="1">
        <v>40996</v>
      </c>
      <c r="B1319" s="2">
        <v>0.58333333333333337</v>
      </c>
      <c r="C1319" s="3">
        <v>202.9</v>
      </c>
      <c r="D1319" s="3">
        <v>203.85</v>
      </c>
      <c r="E1319" s="3">
        <v>197.25</v>
      </c>
      <c r="F1319" s="3">
        <v>198</v>
      </c>
    </row>
    <row r="1320" spans="1:6" x14ac:dyDescent="0.25">
      <c r="A1320" s="1">
        <v>40997</v>
      </c>
      <c r="B1320" s="2">
        <v>0.58333333333333337</v>
      </c>
      <c r="C1320" s="3">
        <v>197.5</v>
      </c>
      <c r="D1320" s="3">
        <v>199.25</v>
      </c>
      <c r="E1320" s="3">
        <v>191.9</v>
      </c>
      <c r="F1320" s="3">
        <v>192.45</v>
      </c>
    </row>
    <row r="1321" spans="1:6" x14ac:dyDescent="0.25">
      <c r="A1321" s="1">
        <v>40998</v>
      </c>
      <c r="B1321" s="2">
        <v>0.58333333333333337</v>
      </c>
      <c r="C1321" s="3">
        <v>193.15</v>
      </c>
      <c r="D1321" s="3">
        <v>200.05</v>
      </c>
      <c r="E1321" s="3">
        <v>193.1</v>
      </c>
      <c r="F1321" s="3">
        <v>198.45</v>
      </c>
    </row>
    <row r="1322" spans="1:6" x14ac:dyDescent="0.25">
      <c r="A1322" s="1">
        <v>41001</v>
      </c>
      <c r="B1322" s="2">
        <v>0.58333333333333337</v>
      </c>
      <c r="C1322" s="3">
        <v>198.5</v>
      </c>
      <c r="D1322" s="3">
        <v>202.9</v>
      </c>
      <c r="E1322" s="3">
        <v>196.3</v>
      </c>
      <c r="F1322" s="3">
        <v>202.2</v>
      </c>
    </row>
    <row r="1323" spans="1:6" x14ac:dyDescent="0.25">
      <c r="A1323" s="1">
        <v>41002</v>
      </c>
      <c r="B1323" s="2">
        <v>0.58333333333333337</v>
      </c>
      <c r="C1323" s="3">
        <v>201.9</v>
      </c>
      <c r="D1323" s="3">
        <v>201.9</v>
      </c>
      <c r="E1323" s="3">
        <v>198.35</v>
      </c>
      <c r="F1323" s="3">
        <v>201.35</v>
      </c>
    </row>
    <row r="1324" spans="1:6" x14ac:dyDescent="0.25">
      <c r="A1324" s="1">
        <v>41003</v>
      </c>
      <c r="B1324" s="2">
        <v>0.58333333333333337</v>
      </c>
      <c r="C1324" s="3">
        <v>200</v>
      </c>
      <c r="D1324" s="3">
        <v>206.45</v>
      </c>
      <c r="E1324" s="3">
        <v>194.7</v>
      </c>
      <c r="F1324" s="3">
        <v>200.75</v>
      </c>
    </row>
    <row r="1325" spans="1:6" x14ac:dyDescent="0.25">
      <c r="A1325" s="1">
        <v>41004</v>
      </c>
      <c r="B1325" s="2">
        <v>0.58333333333333337</v>
      </c>
      <c r="C1325" s="3">
        <v>200</v>
      </c>
      <c r="D1325" s="3">
        <v>201</v>
      </c>
      <c r="E1325" s="3">
        <v>196.95</v>
      </c>
      <c r="F1325" s="3">
        <v>199</v>
      </c>
    </row>
    <row r="1326" spans="1:6" x14ac:dyDescent="0.25">
      <c r="A1326" s="1">
        <v>41008</v>
      </c>
      <c r="B1326" s="2">
        <v>0.58333333333333337</v>
      </c>
      <c r="C1326" s="3">
        <v>198.85</v>
      </c>
      <c r="D1326" s="3">
        <v>199.6</v>
      </c>
      <c r="E1326" s="3">
        <v>193.55</v>
      </c>
      <c r="F1326" s="3">
        <v>194.05</v>
      </c>
    </row>
    <row r="1327" spans="1:6" x14ac:dyDescent="0.25">
      <c r="A1327" s="1">
        <v>41009</v>
      </c>
      <c r="B1327" s="2">
        <v>0.58333333333333337</v>
      </c>
      <c r="C1327" s="3">
        <v>194.5</v>
      </c>
      <c r="D1327" s="3">
        <v>198.35</v>
      </c>
      <c r="E1327" s="3">
        <v>193.75</v>
      </c>
      <c r="F1327" s="3">
        <v>194.15</v>
      </c>
    </row>
    <row r="1328" spans="1:6" x14ac:dyDescent="0.25">
      <c r="A1328" s="1">
        <v>41010</v>
      </c>
      <c r="B1328" s="2">
        <v>0.58333333333333337</v>
      </c>
      <c r="C1328" s="3">
        <v>194.6</v>
      </c>
      <c r="D1328" s="3">
        <v>198.7</v>
      </c>
      <c r="E1328" s="3">
        <v>193.85</v>
      </c>
      <c r="F1328" s="3">
        <v>196.35</v>
      </c>
    </row>
    <row r="1329" spans="1:6" x14ac:dyDescent="0.25">
      <c r="A1329" s="1">
        <v>41011</v>
      </c>
      <c r="B1329" s="2">
        <v>0.58333333333333337</v>
      </c>
      <c r="C1329" s="3">
        <v>196.3</v>
      </c>
      <c r="D1329" s="3">
        <v>198.35</v>
      </c>
      <c r="E1329" s="3">
        <v>194.45</v>
      </c>
      <c r="F1329" s="3">
        <v>197.95</v>
      </c>
    </row>
    <row r="1330" spans="1:6" x14ac:dyDescent="0.25">
      <c r="A1330" s="1">
        <v>41012</v>
      </c>
      <c r="B1330" s="2">
        <v>0.58333333333333337</v>
      </c>
      <c r="C1330" s="3">
        <v>197.95</v>
      </c>
      <c r="D1330" s="3">
        <v>200.8</v>
      </c>
      <c r="E1330" s="3">
        <v>192.85</v>
      </c>
      <c r="F1330" s="3">
        <v>193.9</v>
      </c>
    </row>
    <row r="1331" spans="1:6" x14ac:dyDescent="0.25">
      <c r="A1331" s="1">
        <v>41015</v>
      </c>
      <c r="B1331" s="2">
        <v>0.58333333333333337</v>
      </c>
      <c r="C1331" s="3">
        <v>193.7</v>
      </c>
      <c r="D1331" s="3">
        <v>195.05</v>
      </c>
      <c r="E1331" s="3">
        <v>187.6</v>
      </c>
      <c r="F1331" s="3">
        <v>189.55</v>
      </c>
    </row>
    <row r="1332" spans="1:6" x14ac:dyDescent="0.25">
      <c r="A1332" s="1">
        <v>41016</v>
      </c>
      <c r="B1332" s="2">
        <v>0.58333333333333337</v>
      </c>
      <c r="C1332" s="3">
        <v>190.1</v>
      </c>
      <c r="D1332" s="3">
        <v>192.1</v>
      </c>
      <c r="E1332" s="3">
        <v>187.75</v>
      </c>
      <c r="F1332" s="3">
        <v>188.4</v>
      </c>
    </row>
    <row r="1333" spans="1:6" x14ac:dyDescent="0.25">
      <c r="A1333" s="1">
        <v>41017</v>
      </c>
      <c r="B1333" s="2">
        <v>0.58333333333333337</v>
      </c>
      <c r="C1333" s="3">
        <v>188.25</v>
      </c>
      <c r="D1333" s="3">
        <v>189.85</v>
      </c>
      <c r="E1333" s="3">
        <v>187.8</v>
      </c>
      <c r="F1333" s="3">
        <v>188.7</v>
      </c>
    </row>
    <row r="1334" spans="1:6" x14ac:dyDescent="0.25">
      <c r="A1334" s="1">
        <v>41018</v>
      </c>
      <c r="B1334" s="2">
        <v>0.58333333333333337</v>
      </c>
      <c r="C1334" s="3">
        <v>188.7</v>
      </c>
      <c r="D1334" s="3">
        <v>191</v>
      </c>
      <c r="E1334" s="3">
        <v>188.05</v>
      </c>
      <c r="F1334" s="3">
        <v>189.35</v>
      </c>
    </row>
    <row r="1335" spans="1:6" x14ac:dyDescent="0.25">
      <c r="A1335" s="1">
        <v>41019</v>
      </c>
      <c r="B1335" s="2">
        <v>0.58333333333333337</v>
      </c>
      <c r="C1335" s="3">
        <v>189.15</v>
      </c>
      <c r="D1335" s="3">
        <v>193.35</v>
      </c>
      <c r="E1335" s="3">
        <v>189.1</v>
      </c>
      <c r="F1335" s="3">
        <v>192.65</v>
      </c>
    </row>
    <row r="1336" spans="1:6" x14ac:dyDescent="0.25">
      <c r="A1336" s="1">
        <v>41022</v>
      </c>
      <c r="B1336" s="2">
        <v>0.58333333333333337</v>
      </c>
      <c r="C1336" s="3">
        <v>192.75</v>
      </c>
      <c r="D1336" s="3">
        <v>194.3</v>
      </c>
      <c r="E1336" s="3">
        <v>190.3</v>
      </c>
      <c r="F1336" s="3">
        <v>192.65</v>
      </c>
    </row>
    <row r="1337" spans="1:6" x14ac:dyDescent="0.25">
      <c r="A1337" s="1">
        <v>41023</v>
      </c>
      <c r="B1337" s="2">
        <v>0.58333333333333337</v>
      </c>
      <c r="C1337" s="3">
        <v>192.7</v>
      </c>
      <c r="D1337" s="3">
        <v>198.2</v>
      </c>
      <c r="E1337" s="3">
        <v>192.7</v>
      </c>
      <c r="F1337" s="3">
        <v>197.2</v>
      </c>
    </row>
    <row r="1338" spans="1:6" x14ac:dyDescent="0.25">
      <c r="A1338" s="1">
        <v>41024</v>
      </c>
      <c r="B1338" s="2">
        <v>0.58333333333333337</v>
      </c>
      <c r="C1338" s="3">
        <v>197.2</v>
      </c>
      <c r="D1338" s="3">
        <v>199.4</v>
      </c>
      <c r="E1338" s="3">
        <v>188.95</v>
      </c>
      <c r="F1338" s="3">
        <v>190.45</v>
      </c>
    </row>
    <row r="1339" spans="1:6" x14ac:dyDescent="0.25">
      <c r="A1339" s="1">
        <v>41025</v>
      </c>
      <c r="B1339" s="2">
        <v>0.58333333333333337</v>
      </c>
      <c r="C1339" s="3">
        <v>190.55</v>
      </c>
      <c r="D1339" s="3">
        <v>191.95</v>
      </c>
      <c r="E1339" s="3">
        <v>189.25</v>
      </c>
      <c r="F1339" s="3">
        <v>189.55</v>
      </c>
    </row>
    <row r="1340" spans="1:6" x14ac:dyDescent="0.25">
      <c r="A1340" s="1">
        <v>41026</v>
      </c>
      <c r="B1340" s="2">
        <v>0.58333333333333337</v>
      </c>
      <c r="C1340" s="3">
        <v>189.05</v>
      </c>
      <c r="D1340" s="3">
        <v>191.65</v>
      </c>
      <c r="E1340" s="3">
        <v>189</v>
      </c>
      <c r="F1340" s="3">
        <v>190.2</v>
      </c>
    </row>
    <row r="1341" spans="1:6" x14ac:dyDescent="0.25">
      <c r="A1341" s="1">
        <v>41029</v>
      </c>
      <c r="B1341" s="2">
        <v>0.58333333333333337</v>
      </c>
      <c r="C1341" s="3">
        <v>190.1</v>
      </c>
      <c r="D1341" s="3">
        <v>193.6</v>
      </c>
      <c r="E1341" s="3">
        <v>189.35</v>
      </c>
      <c r="F1341" s="3">
        <v>193.25</v>
      </c>
    </row>
    <row r="1342" spans="1:6" x14ac:dyDescent="0.25">
      <c r="A1342" s="1">
        <v>41030</v>
      </c>
      <c r="B1342" s="2">
        <v>0.58333333333333337</v>
      </c>
      <c r="C1342" s="3">
        <v>193.1</v>
      </c>
      <c r="D1342" s="3">
        <v>198.3</v>
      </c>
      <c r="E1342" s="3">
        <v>190.85</v>
      </c>
      <c r="F1342" s="3">
        <v>197.85</v>
      </c>
    </row>
    <row r="1343" spans="1:6" x14ac:dyDescent="0.25">
      <c r="A1343" s="1">
        <v>41031</v>
      </c>
      <c r="B1343" s="2">
        <v>0.58333333333333337</v>
      </c>
      <c r="C1343" s="3">
        <v>197.4</v>
      </c>
      <c r="D1343" s="3">
        <v>199.1</v>
      </c>
      <c r="E1343" s="3">
        <v>194.95</v>
      </c>
      <c r="F1343" s="3">
        <v>196.45</v>
      </c>
    </row>
    <row r="1344" spans="1:6" x14ac:dyDescent="0.25">
      <c r="A1344" s="1">
        <v>41032</v>
      </c>
      <c r="B1344" s="2">
        <v>0.58333333333333337</v>
      </c>
      <c r="C1344" s="3">
        <v>195.7</v>
      </c>
      <c r="D1344" s="3">
        <v>198.1</v>
      </c>
      <c r="E1344" s="3">
        <v>189.1</v>
      </c>
      <c r="F1344" s="3">
        <v>189.5</v>
      </c>
    </row>
    <row r="1345" spans="1:6" x14ac:dyDescent="0.25">
      <c r="A1345" s="1">
        <v>41033</v>
      </c>
      <c r="B1345" s="2">
        <v>0.58333333333333337</v>
      </c>
      <c r="C1345" s="3">
        <v>189.7</v>
      </c>
      <c r="D1345" s="3">
        <v>191.45</v>
      </c>
      <c r="E1345" s="3">
        <v>187.95</v>
      </c>
      <c r="F1345" s="3">
        <v>188.3</v>
      </c>
    </row>
    <row r="1346" spans="1:6" x14ac:dyDescent="0.25">
      <c r="A1346" s="1">
        <v>41036</v>
      </c>
      <c r="B1346" s="2">
        <v>0.58333333333333337</v>
      </c>
      <c r="C1346" s="3">
        <v>188.3</v>
      </c>
      <c r="D1346" s="3">
        <v>189.9</v>
      </c>
      <c r="E1346" s="3">
        <v>187.3</v>
      </c>
      <c r="F1346" s="3">
        <v>188.9</v>
      </c>
    </row>
    <row r="1347" spans="1:6" x14ac:dyDescent="0.25">
      <c r="A1347" s="1">
        <v>41037</v>
      </c>
      <c r="B1347" s="2">
        <v>0.58333333333333337</v>
      </c>
      <c r="C1347" s="3">
        <v>188.5</v>
      </c>
      <c r="D1347" s="3">
        <v>191.15</v>
      </c>
      <c r="E1347" s="3">
        <v>187.55</v>
      </c>
      <c r="F1347" s="3">
        <v>188.65</v>
      </c>
    </row>
    <row r="1348" spans="1:6" x14ac:dyDescent="0.25">
      <c r="A1348" s="1">
        <v>41038</v>
      </c>
      <c r="B1348" s="2">
        <v>0.58333333333333337</v>
      </c>
      <c r="C1348" s="3">
        <v>188.95</v>
      </c>
      <c r="D1348" s="3">
        <v>190.3</v>
      </c>
      <c r="E1348" s="3">
        <v>185.9</v>
      </c>
      <c r="F1348" s="3">
        <v>188.75</v>
      </c>
    </row>
    <row r="1349" spans="1:6" x14ac:dyDescent="0.25">
      <c r="A1349" s="1">
        <v>41039</v>
      </c>
      <c r="B1349" s="2">
        <v>0.58333333333333337</v>
      </c>
      <c r="C1349" s="3">
        <v>189.25</v>
      </c>
      <c r="D1349" s="3">
        <v>193.3</v>
      </c>
      <c r="E1349" s="3">
        <v>188.55</v>
      </c>
      <c r="F1349" s="3">
        <v>192.35</v>
      </c>
    </row>
    <row r="1350" spans="1:6" x14ac:dyDescent="0.25">
      <c r="A1350" s="1">
        <v>41040</v>
      </c>
      <c r="B1350" s="2">
        <v>0.58333333333333337</v>
      </c>
      <c r="C1350" s="3">
        <v>191.35</v>
      </c>
      <c r="D1350" s="3">
        <v>192.85</v>
      </c>
      <c r="E1350" s="3">
        <v>189.3</v>
      </c>
      <c r="F1350" s="3">
        <v>190.85</v>
      </c>
    </row>
    <row r="1351" spans="1:6" x14ac:dyDescent="0.25">
      <c r="A1351" s="1">
        <v>41043</v>
      </c>
      <c r="B1351" s="2">
        <v>0.58333333333333337</v>
      </c>
      <c r="C1351" s="3">
        <v>190.4</v>
      </c>
      <c r="D1351" s="3">
        <v>192</v>
      </c>
      <c r="E1351" s="3">
        <v>187.6</v>
      </c>
      <c r="F1351" s="3">
        <v>191.65</v>
      </c>
    </row>
    <row r="1352" spans="1:6" x14ac:dyDescent="0.25">
      <c r="A1352" s="1">
        <v>41044</v>
      </c>
      <c r="B1352" s="2">
        <v>0.58333333333333337</v>
      </c>
      <c r="C1352" s="3">
        <v>191.65</v>
      </c>
      <c r="D1352" s="3">
        <v>195.3</v>
      </c>
      <c r="E1352" s="3">
        <v>190.75</v>
      </c>
      <c r="F1352" s="3">
        <v>192.1</v>
      </c>
    </row>
    <row r="1353" spans="1:6" x14ac:dyDescent="0.25">
      <c r="A1353" s="1">
        <v>41045</v>
      </c>
      <c r="B1353" s="2">
        <v>0.58333333333333337</v>
      </c>
      <c r="C1353" s="3">
        <v>190.45</v>
      </c>
      <c r="D1353" s="3">
        <v>195.85</v>
      </c>
      <c r="E1353" s="3">
        <v>189.2</v>
      </c>
      <c r="F1353" s="3">
        <v>191.7</v>
      </c>
    </row>
    <row r="1354" spans="1:6" x14ac:dyDescent="0.25">
      <c r="A1354" s="1">
        <v>41046</v>
      </c>
      <c r="B1354" s="2">
        <v>0.58333333333333337</v>
      </c>
      <c r="C1354" s="3">
        <v>191.2</v>
      </c>
      <c r="D1354" s="3">
        <v>194.5</v>
      </c>
      <c r="E1354" s="3">
        <v>190.1</v>
      </c>
      <c r="F1354" s="3">
        <v>193.8</v>
      </c>
    </row>
    <row r="1355" spans="1:6" x14ac:dyDescent="0.25">
      <c r="A1355" s="1">
        <v>41047</v>
      </c>
      <c r="B1355" s="2">
        <v>0.58333333333333337</v>
      </c>
      <c r="C1355" s="3">
        <v>192</v>
      </c>
      <c r="D1355" s="3">
        <v>195.55</v>
      </c>
      <c r="E1355" s="3">
        <v>191.4</v>
      </c>
      <c r="F1355" s="3">
        <v>192.85</v>
      </c>
    </row>
    <row r="1356" spans="1:6" x14ac:dyDescent="0.25">
      <c r="A1356" s="1">
        <v>41050</v>
      </c>
      <c r="B1356" s="2">
        <v>0.58333333333333337</v>
      </c>
      <c r="C1356" s="3">
        <v>192.7</v>
      </c>
      <c r="D1356" s="3">
        <v>195.05</v>
      </c>
      <c r="E1356" s="3">
        <v>188</v>
      </c>
      <c r="F1356" s="3">
        <v>188.85</v>
      </c>
    </row>
    <row r="1357" spans="1:6" x14ac:dyDescent="0.25">
      <c r="A1357" s="1">
        <v>41051</v>
      </c>
      <c r="B1357" s="2">
        <v>0.58333333333333337</v>
      </c>
      <c r="C1357" s="3">
        <v>189.7</v>
      </c>
      <c r="D1357" s="3">
        <v>190.7</v>
      </c>
      <c r="E1357" s="3">
        <v>186.55</v>
      </c>
      <c r="F1357" s="3">
        <v>188.2</v>
      </c>
    </row>
    <row r="1358" spans="1:6" x14ac:dyDescent="0.25">
      <c r="A1358" s="1">
        <v>41052</v>
      </c>
      <c r="B1358" s="2">
        <v>0.58333333333333337</v>
      </c>
      <c r="C1358" s="3">
        <v>187.2</v>
      </c>
      <c r="D1358" s="3">
        <v>187.2</v>
      </c>
      <c r="E1358" s="3">
        <v>178.8</v>
      </c>
      <c r="F1358" s="3">
        <v>180.6</v>
      </c>
    </row>
    <row r="1359" spans="1:6" x14ac:dyDescent="0.25">
      <c r="A1359" s="1">
        <v>41053</v>
      </c>
      <c r="B1359" s="2">
        <v>0.58333333333333337</v>
      </c>
      <c r="C1359" s="3">
        <v>180.7</v>
      </c>
      <c r="D1359" s="3">
        <v>183.3</v>
      </c>
      <c r="E1359" s="3">
        <v>179</v>
      </c>
      <c r="F1359" s="3">
        <v>180.6</v>
      </c>
    </row>
    <row r="1360" spans="1:6" x14ac:dyDescent="0.25">
      <c r="A1360" s="1">
        <v>41054</v>
      </c>
      <c r="B1360" s="2">
        <v>0.58333333333333337</v>
      </c>
      <c r="C1360" s="3">
        <v>180.15</v>
      </c>
      <c r="D1360" s="3">
        <v>182.25</v>
      </c>
      <c r="E1360" s="3">
        <v>179.15</v>
      </c>
      <c r="F1360" s="3">
        <v>181.5</v>
      </c>
    </row>
    <row r="1361" spans="1:6" x14ac:dyDescent="0.25">
      <c r="A1361" s="1">
        <v>41058</v>
      </c>
      <c r="B1361" s="2">
        <v>0.58333333333333337</v>
      </c>
      <c r="C1361" s="3">
        <v>182.15</v>
      </c>
      <c r="D1361" s="3">
        <v>183.15</v>
      </c>
      <c r="E1361" s="3">
        <v>178.45</v>
      </c>
      <c r="F1361" s="3">
        <v>179.1</v>
      </c>
    </row>
    <row r="1362" spans="1:6" x14ac:dyDescent="0.25">
      <c r="A1362" s="1">
        <v>41059</v>
      </c>
      <c r="B1362" s="2">
        <v>0.58333333333333337</v>
      </c>
      <c r="C1362" s="3">
        <v>179.1</v>
      </c>
      <c r="D1362" s="3">
        <v>180.1</v>
      </c>
      <c r="E1362" s="3">
        <v>176</v>
      </c>
      <c r="F1362" s="3">
        <v>178.1</v>
      </c>
    </row>
    <row r="1363" spans="1:6" x14ac:dyDescent="0.25">
      <c r="A1363" s="1">
        <v>41060</v>
      </c>
      <c r="B1363" s="2">
        <v>0.58333333333333337</v>
      </c>
      <c r="C1363" s="3">
        <v>177.9</v>
      </c>
      <c r="D1363" s="3">
        <v>179.15</v>
      </c>
      <c r="E1363" s="3">
        <v>173.85</v>
      </c>
      <c r="F1363" s="3">
        <v>174.35</v>
      </c>
    </row>
    <row r="1364" spans="1:6" x14ac:dyDescent="0.25">
      <c r="A1364" s="1">
        <v>41061</v>
      </c>
      <c r="B1364" s="2">
        <v>0.58333333333333337</v>
      </c>
      <c r="C1364" s="3">
        <v>174.35</v>
      </c>
      <c r="D1364" s="3">
        <v>174.95</v>
      </c>
      <c r="E1364" s="3">
        <v>170.2</v>
      </c>
      <c r="F1364" s="3">
        <v>171.2</v>
      </c>
    </row>
    <row r="1365" spans="1:6" x14ac:dyDescent="0.25">
      <c r="A1365" s="1">
        <v>41064</v>
      </c>
      <c r="B1365" s="2">
        <v>0.58333333333333337</v>
      </c>
      <c r="C1365" s="3">
        <v>171.6</v>
      </c>
      <c r="D1365" s="3">
        <v>172.65</v>
      </c>
      <c r="E1365" s="3">
        <v>168.35</v>
      </c>
      <c r="F1365" s="3">
        <v>172.15</v>
      </c>
    </row>
    <row r="1366" spans="1:6" x14ac:dyDescent="0.25">
      <c r="A1366" s="1">
        <v>41065</v>
      </c>
      <c r="B1366" s="2">
        <v>0.58333333333333337</v>
      </c>
      <c r="C1366" s="3">
        <v>171.7</v>
      </c>
      <c r="D1366" s="3">
        <v>173.05</v>
      </c>
      <c r="E1366" s="3">
        <v>169.6</v>
      </c>
      <c r="F1366" s="3">
        <v>169.9</v>
      </c>
    </row>
    <row r="1367" spans="1:6" x14ac:dyDescent="0.25">
      <c r="A1367" s="1">
        <v>41066</v>
      </c>
      <c r="B1367" s="2">
        <v>0.58333333333333337</v>
      </c>
      <c r="C1367" s="3">
        <v>170.15</v>
      </c>
      <c r="D1367" s="3">
        <v>172.6</v>
      </c>
      <c r="E1367" s="3">
        <v>169.2</v>
      </c>
      <c r="F1367" s="3">
        <v>169.6</v>
      </c>
    </row>
    <row r="1368" spans="1:6" x14ac:dyDescent="0.25">
      <c r="A1368" s="1">
        <v>41067</v>
      </c>
      <c r="B1368" s="2">
        <v>0.58333333333333337</v>
      </c>
      <c r="C1368" s="3">
        <v>169.9</v>
      </c>
      <c r="D1368" s="3">
        <v>171.8</v>
      </c>
      <c r="E1368" s="3">
        <v>167.95</v>
      </c>
      <c r="F1368" s="3">
        <v>170.35</v>
      </c>
    </row>
    <row r="1369" spans="1:6" x14ac:dyDescent="0.25">
      <c r="A1369" s="1">
        <v>41068</v>
      </c>
      <c r="B1369" s="2">
        <v>0.58333333333333337</v>
      </c>
      <c r="C1369" s="3">
        <v>170.35</v>
      </c>
      <c r="D1369" s="3">
        <v>171.4</v>
      </c>
      <c r="E1369" s="3">
        <v>168.3</v>
      </c>
      <c r="F1369" s="3">
        <v>169.3</v>
      </c>
    </row>
    <row r="1370" spans="1:6" x14ac:dyDescent="0.25">
      <c r="A1370" s="1">
        <v>41071</v>
      </c>
      <c r="B1370" s="2">
        <v>0.58333333333333337</v>
      </c>
      <c r="C1370" s="3">
        <v>169.3</v>
      </c>
      <c r="D1370" s="3">
        <v>171.5</v>
      </c>
      <c r="E1370" s="3">
        <v>167.1</v>
      </c>
      <c r="F1370" s="3">
        <v>168.6</v>
      </c>
    </row>
    <row r="1371" spans="1:6" x14ac:dyDescent="0.25">
      <c r="A1371" s="1">
        <v>41072</v>
      </c>
      <c r="B1371" s="2">
        <v>0.58333333333333337</v>
      </c>
      <c r="C1371" s="3">
        <v>167.5</v>
      </c>
      <c r="D1371" s="3">
        <v>168.6</v>
      </c>
      <c r="E1371" s="3">
        <v>166.7</v>
      </c>
      <c r="F1371" s="3">
        <v>167.25</v>
      </c>
    </row>
    <row r="1372" spans="1:6" x14ac:dyDescent="0.25">
      <c r="A1372" s="1">
        <v>41073</v>
      </c>
      <c r="B1372" s="2">
        <v>0.58333333333333337</v>
      </c>
      <c r="C1372" s="3">
        <v>167.55</v>
      </c>
      <c r="D1372" s="3">
        <v>168.3</v>
      </c>
      <c r="E1372" s="3">
        <v>165.6</v>
      </c>
      <c r="F1372" s="3">
        <v>166.1</v>
      </c>
    </row>
    <row r="1373" spans="1:6" x14ac:dyDescent="0.25">
      <c r="A1373" s="1">
        <v>41074</v>
      </c>
      <c r="B1373" s="2">
        <v>0.58333333333333337</v>
      </c>
      <c r="C1373" s="3">
        <v>165.9</v>
      </c>
      <c r="D1373" s="3">
        <v>165.95</v>
      </c>
      <c r="E1373" s="3">
        <v>162.6</v>
      </c>
      <c r="F1373" s="3">
        <v>162.94999999999999</v>
      </c>
    </row>
    <row r="1374" spans="1:6" x14ac:dyDescent="0.25">
      <c r="A1374" s="1">
        <v>41075</v>
      </c>
      <c r="B1374" s="2">
        <v>0.58333333333333337</v>
      </c>
      <c r="C1374" s="3">
        <v>162.94999999999999</v>
      </c>
      <c r="D1374" s="3">
        <v>165.05</v>
      </c>
      <c r="E1374" s="3">
        <v>162.9</v>
      </c>
      <c r="F1374" s="3">
        <v>163.9</v>
      </c>
    </row>
    <row r="1375" spans="1:6" x14ac:dyDescent="0.25">
      <c r="A1375" s="1">
        <v>41078</v>
      </c>
      <c r="B1375" s="2">
        <v>0.58333333333333337</v>
      </c>
      <c r="C1375" s="3">
        <v>164.25</v>
      </c>
      <c r="D1375" s="3">
        <v>164.65</v>
      </c>
      <c r="E1375" s="3">
        <v>162</v>
      </c>
      <c r="F1375" s="3">
        <v>163.4</v>
      </c>
    </row>
    <row r="1376" spans="1:6" x14ac:dyDescent="0.25">
      <c r="A1376" s="1">
        <v>41079</v>
      </c>
      <c r="B1376" s="2">
        <v>0.58333333333333337</v>
      </c>
      <c r="C1376" s="3">
        <v>163.4</v>
      </c>
      <c r="D1376" s="3">
        <v>170.9</v>
      </c>
      <c r="E1376" s="3">
        <v>162.4</v>
      </c>
      <c r="F1376" s="3">
        <v>170.7</v>
      </c>
    </row>
    <row r="1377" spans="1:6" x14ac:dyDescent="0.25">
      <c r="A1377" s="1">
        <v>41080</v>
      </c>
      <c r="B1377" s="2">
        <v>0.58333333333333337</v>
      </c>
      <c r="C1377" s="3">
        <v>170.3</v>
      </c>
      <c r="D1377" s="3">
        <v>173.4</v>
      </c>
      <c r="E1377" s="3">
        <v>163</v>
      </c>
      <c r="F1377" s="3">
        <v>164.3</v>
      </c>
    </row>
    <row r="1378" spans="1:6" x14ac:dyDescent="0.25">
      <c r="A1378" s="1">
        <v>41081</v>
      </c>
      <c r="B1378" s="2">
        <v>0.58333333333333337</v>
      </c>
      <c r="C1378" s="3">
        <v>163.9</v>
      </c>
      <c r="D1378" s="3">
        <v>171.25</v>
      </c>
      <c r="E1378" s="3">
        <v>163.30000000000001</v>
      </c>
      <c r="F1378" s="3">
        <v>170.7</v>
      </c>
    </row>
    <row r="1379" spans="1:6" x14ac:dyDescent="0.25">
      <c r="A1379" s="1">
        <v>41082</v>
      </c>
      <c r="B1379" s="2">
        <v>0.58333333333333337</v>
      </c>
      <c r="C1379" s="3">
        <v>170.4</v>
      </c>
      <c r="D1379" s="3">
        <v>171.65</v>
      </c>
      <c r="E1379" s="3">
        <v>164.95</v>
      </c>
      <c r="F1379" s="3">
        <v>167.8</v>
      </c>
    </row>
    <row r="1380" spans="1:6" x14ac:dyDescent="0.25">
      <c r="A1380" s="1">
        <v>41085</v>
      </c>
      <c r="B1380" s="2">
        <v>0.58333333333333337</v>
      </c>
      <c r="C1380" s="3">
        <v>167.9</v>
      </c>
      <c r="D1380" s="3">
        <v>171.15</v>
      </c>
      <c r="E1380" s="3">
        <v>166</v>
      </c>
      <c r="F1380" s="3">
        <v>170.65</v>
      </c>
    </row>
    <row r="1381" spans="1:6" x14ac:dyDescent="0.25">
      <c r="A1381" s="1">
        <v>41086</v>
      </c>
      <c r="B1381" s="2">
        <v>0.58333333333333337</v>
      </c>
      <c r="C1381" s="3">
        <v>170.65</v>
      </c>
      <c r="D1381" s="3">
        <v>178.25</v>
      </c>
      <c r="E1381" s="3">
        <v>168.9</v>
      </c>
      <c r="F1381" s="3">
        <v>177.65</v>
      </c>
    </row>
    <row r="1382" spans="1:6" x14ac:dyDescent="0.25">
      <c r="A1382" s="1">
        <v>41087</v>
      </c>
      <c r="B1382" s="2">
        <v>0.58333333333333337</v>
      </c>
      <c r="C1382" s="3">
        <v>177.65</v>
      </c>
      <c r="D1382" s="3">
        <v>180.45</v>
      </c>
      <c r="E1382" s="3">
        <v>174.65</v>
      </c>
      <c r="F1382" s="3">
        <v>176.75</v>
      </c>
    </row>
    <row r="1383" spans="1:6" x14ac:dyDescent="0.25">
      <c r="A1383" s="1">
        <v>41088</v>
      </c>
      <c r="B1383" s="2">
        <v>0.58333333333333337</v>
      </c>
      <c r="C1383" s="3">
        <v>176.7</v>
      </c>
      <c r="D1383" s="3">
        <v>177.05</v>
      </c>
      <c r="E1383" s="3">
        <v>172.75</v>
      </c>
      <c r="F1383" s="3">
        <v>174.95</v>
      </c>
    </row>
    <row r="1384" spans="1:6" x14ac:dyDescent="0.25">
      <c r="A1384" s="1">
        <v>41089</v>
      </c>
      <c r="B1384" s="2">
        <v>0.58333333333333337</v>
      </c>
      <c r="C1384" s="3">
        <v>175.65</v>
      </c>
      <c r="D1384" s="3">
        <v>183.65</v>
      </c>
      <c r="E1384" s="3">
        <v>175.65</v>
      </c>
      <c r="F1384" s="3">
        <v>182.6</v>
      </c>
    </row>
    <row r="1385" spans="1:6" x14ac:dyDescent="0.25">
      <c r="A1385" s="1">
        <v>41092</v>
      </c>
      <c r="B1385" s="2">
        <v>0.58333333333333337</v>
      </c>
      <c r="C1385" s="3">
        <v>182.65</v>
      </c>
      <c r="D1385" s="3">
        <v>186.8</v>
      </c>
      <c r="E1385" s="3">
        <v>181.6</v>
      </c>
      <c r="F1385" s="3">
        <v>186.5</v>
      </c>
    </row>
    <row r="1386" spans="1:6" x14ac:dyDescent="0.25">
      <c r="A1386" s="1">
        <v>41093</v>
      </c>
      <c r="B1386" s="2">
        <v>0.58333333333333337</v>
      </c>
      <c r="C1386" s="3">
        <v>186.55</v>
      </c>
      <c r="D1386" s="3">
        <v>193.3</v>
      </c>
      <c r="E1386" s="3">
        <v>186.55</v>
      </c>
      <c r="F1386" s="3">
        <v>192.35</v>
      </c>
    </row>
    <row r="1387" spans="1:6" x14ac:dyDescent="0.25">
      <c r="A1387" s="1">
        <v>41095</v>
      </c>
      <c r="B1387" s="2">
        <v>0.58333333333333337</v>
      </c>
      <c r="C1387" s="3">
        <v>190.95</v>
      </c>
      <c r="D1387" s="3">
        <v>199</v>
      </c>
      <c r="E1387" s="3">
        <v>187.75</v>
      </c>
      <c r="F1387" s="3">
        <v>192.25</v>
      </c>
    </row>
    <row r="1388" spans="1:6" x14ac:dyDescent="0.25">
      <c r="A1388" s="1">
        <v>41096</v>
      </c>
      <c r="B1388" s="2">
        <v>0.58333333333333337</v>
      </c>
      <c r="C1388" s="3">
        <v>190.8</v>
      </c>
      <c r="D1388" s="3">
        <v>193.15</v>
      </c>
      <c r="E1388" s="3">
        <v>187.7</v>
      </c>
      <c r="F1388" s="3">
        <v>188.35</v>
      </c>
    </row>
    <row r="1389" spans="1:6" x14ac:dyDescent="0.25">
      <c r="A1389" s="1">
        <v>41099</v>
      </c>
      <c r="B1389" s="2">
        <v>0.58333333333333337</v>
      </c>
      <c r="C1389" s="3">
        <v>187.9</v>
      </c>
      <c r="D1389" s="3">
        <v>194.7</v>
      </c>
      <c r="E1389" s="3">
        <v>187</v>
      </c>
      <c r="F1389" s="3">
        <v>194.25</v>
      </c>
    </row>
    <row r="1390" spans="1:6" x14ac:dyDescent="0.25">
      <c r="A1390" s="1">
        <v>41100</v>
      </c>
      <c r="B1390" s="2">
        <v>0.58333333333333337</v>
      </c>
      <c r="C1390" s="3">
        <v>193.6</v>
      </c>
      <c r="D1390" s="3">
        <v>198.5</v>
      </c>
      <c r="E1390" s="3">
        <v>192.1</v>
      </c>
      <c r="F1390" s="3">
        <v>196.4</v>
      </c>
    </row>
    <row r="1391" spans="1:6" x14ac:dyDescent="0.25">
      <c r="A1391" s="1">
        <v>41101</v>
      </c>
      <c r="B1391" s="2">
        <v>0.58333333333333337</v>
      </c>
      <c r="C1391" s="3">
        <v>195.55</v>
      </c>
      <c r="D1391" s="3">
        <v>204.1</v>
      </c>
      <c r="E1391" s="3">
        <v>194.55</v>
      </c>
      <c r="F1391" s="3">
        <v>196.6</v>
      </c>
    </row>
    <row r="1392" spans="1:6" x14ac:dyDescent="0.25">
      <c r="A1392" s="1">
        <v>41102</v>
      </c>
      <c r="B1392" s="2">
        <v>0.58333333333333337</v>
      </c>
      <c r="C1392" s="3">
        <v>196.6</v>
      </c>
      <c r="D1392" s="3">
        <v>196.65</v>
      </c>
      <c r="E1392" s="3">
        <v>190.05</v>
      </c>
      <c r="F1392" s="3">
        <v>193.95</v>
      </c>
    </row>
    <row r="1393" spans="1:6" x14ac:dyDescent="0.25">
      <c r="A1393" s="1">
        <v>41103</v>
      </c>
      <c r="B1393" s="2">
        <v>0.58333333333333337</v>
      </c>
      <c r="C1393" s="3">
        <v>194.1</v>
      </c>
      <c r="D1393" s="3">
        <v>199.65</v>
      </c>
      <c r="E1393" s="3">
        <v>194.1</v>
      </c>
      <c r="F1393" s="3">
        <v>198</v>
      </c>
    </row>
    <row r="1394" spans="1:6" x14ac:dyDescent="0.25">
      <c r="A1394" s="1">
        <v>41106</v>
      </c>
      <c r="B1394" s="2">
        <v>0.58333333333333337</v>
      </c>
      <c r="C1394" s="3">
        <v>197.55</v>
      </c>
      <c r="D1394" s="3">
        <v>200.1</v>
      </c>
      <c r="E1394" s="3">
        <v>194.95</v>
      </c>
      <c r="F1394" s="3">
        <v>195.85</v>
      </c>
    </row>
    <row r="1395" spans="1:6" x14ac:dyDescent="0.25">
      <c r="A1395" s="1">
        <v>41107</v>
      </c>
      <c r="B1395" s="2">
        <v>0.58333333333333337</v>
      </c>
      <c r="C1395" s="3">
        <v>195.8</v>
      </c>
      <c r="D1395" s="3">
        <v>196.25</v>
      </c>
      <c r="E1395" s="3">
        <v>190.9</v>
      </c>
      <c r="F1395" s="3">
        <v>193.75</v>
      </c>
    </row>
    <row r="1396" spans="1:6" x14ac:dyDescent="0.25">
      <c r="A1396" s="1">
        <v>41108</v>
      </c>
      <c r="B1396" s="2">
        <v>0.58333333333333337</v>
      </c>
      <c r="C1396" s="3">
        <v>194.2</v>
      </c>
      <c r="D1396" s="3">
        <v>195.35</v>
      </c>
      <c r="E1396" s="3">
        <v>189.3</v>
      </c>
      <c r="F1396" s="3">
        <v>194.05</v>
      </c>
    </row>
    <row r="1397" spans="1:6" x14ac:dyDescent="0.25">
      <c r="A1397" s="1">
        <v>41109</v>
      </c>
      <c r="B1397" s="2">
        <v>0.58333333333333337</v>
      </c>
      <c r="C1397" s="3">
        <v>194.35</v>
      </c>
      <c r="D1397" s="3">
        <v>201.3</v>
      </c>
      <c r="E1397" s="3">
        <v>193.95</v>
      </c>
      <c r="F1397" s="3">
        <v>200.85</v>
      </c>
    </row>
    <row r="1398" spans="1:6" x14ac:dyDescent="0.25">
      <c r="A1398" s="1">
        <v>41110</v>
      </c>
      <c r="B1398" s="2">
        <v>0.58333333333333337</v>
      </c>
      <c r="C1398" s="3">
        <v>200.8</v>
      </c>
      <c r="D1398" s="3">
        <v>202.75</v>
      </c>
      <c r="E1398" s="3">
        <v>198</v>
      </c>
      <c r="F1398" s="3">
        <v>198.85</v>
      </c>
    </row>
    <row r="1399" spans="1:6" x14ac:dyDescent="0.25">
      <c r="A1399" s="1">
        <v>41113</v>
      </c>
      <c r="B1399" s="2">
        <v>0.58333333333333337</v>
      </c>
      <c r="C1399" s="3">
        <v>197.75</v>
      </c>
      <c r="D1399" s="3">
        <v>198.3</v>
      </c>
      <c r="E1399" s="3">
        <v>195</v>
      </c>
      <c r="F1399" s="3">
        <v>197</v>
      </c>
    </row>
    <row r="1400" spans="1:6" x14ac:dyDescent="0.25">
      <c r="A1400" s="1">
        <v>41114</v>
      </c>
      <c r="B1400" s="2">
        <v>0.58333333333333337</v>
      </c>
      <c r="C1400" s="3">
        <v>196.3</v>
      </c>
      <c r="D1400" s="3">
        <v>197.35</v>
      </c>
      <c r="E1400" s="3">
        <v>185.6</v>
      </c>
      <c r="F1400" s="3">
        <v>187.35</v>
      </c>
    </row>
    <row r="1401" spans="1:6" x14ac:dyDescent="0.25">
      <c r="A1401" s="1">
        <v>41115</v>
      </c>
      <c r="B1401" s="2">
        <v>0.58333333333333337</v>
      </c>
      <c r="C1401" s="3">
        <v>187.35</v>
      </c>
      <c r="D1401" s="3">
        <v>190.35</v>
      </c>
      <c r="E1401" s="3">
        <v>185.9</v>
      </c>
      <c r="F1401" s="3">
        <v>188.2</v>
      </c>
    </row>
    <row r="1402" spans="1:6" x14ac:dyDescent="0.25">
      <c r="A1402" s="1">
        <v>41116</v>
      </c>
      <c r="B1402" s="2">
        <v>0.58333333333333337</v>
      </c>
      <c r="C1402" s="3">
        <v>188.2</v>
      </c>
      <c r="D1402" s="3">
        <v>191.4</v>
      </c>
      <c r="E1402" s="3">
        <v>185</v>
      </c>
      <c r="F1402" s="3">
        <v>185.95</v>
      </c>
    </row>
    <row r="1403" spans="1:6" x14ac:dyDescent="0.25">
      <c r="A1403" s="1">
        <v>41117</v>
      </c>
      <c r="B1403" s="2">
        <v>0.58333333333333337</v>
      </c>
      <c r="C1403" s="3">
        <v>185.95</v>
      </c>
      <c r="D1403" s="3">
        <v>188.65</v>
      </c>
      <c r="E1403" s="3">
        <v>184.95</v>
      </c>
      <c r="F1403" s="3">
        <v>185.6</v>
      </c>
    </row>
    <row r="1404" spans="1:6" x14ac:dyDescent="0.25">
      <c r="A1404" s="1">
        <v>41120</v>
      </c>
      <c r="B1404" s="2">
        <v>0.58333333333333337</v>
      </c>
      <c r="C1404" s="3">
        <v>186.25</v>
      </c>
      <c r="D1404" s="3">
        <v>190.8</v>
      </c>
      <c r="E1404" s="3">
        <v>185.05</v>
      </c>
      <c r="F1404" s="3">
        <v>190.25</v>
      </c>
    </row>
    <row r="1405" spans="1:6" x14ac:dyDescent="0.25">
      <c r="A1405" s="1">
        <v>41121</v>
      </c>
      <c r="B1405" s="2">
        <v>0.58333333333333337</v>
      </c>
      <c r="C1405" s="3">
        <v>190</v>
      </c>
      <c r="D1405" s="3">
        <v>190.55</v>
      </c>
      <c r="E1405" s="3">
        <v>184.6</v>
      </c>
      <c r="F1405" s="3">
        <v>186.3</v>
      </c>
    </row>
    <row r="1406" spans="1:6" x14ac:dyDescent="0.25">
      <c r="A1406" s="1">
        <v>41122</v>
      </c>
      <c r="B1406" s="2">
        <v>0.58333333333333337</v>
      </c>
      <c r="C1406" s="3">
        <v>186.55</v>
      </c>
      <c r="D1406" s="3">
        <v>187.5</v>
      </c>
      <c r="E1406" s="3">
        <v>182.5</v>
      </c>
      <c r="F1406" s="3">
        <v>186.5</v>
      </c>
    </row>
    <row r="1407" spans="1:6" x14ac:dyDescent="0.25">
      <c r="A1407" s="1">
        <v>41123</v>
      </c>
      <c r="B1407" s="2">
        <v>0.58333333333333337</v>
      </c>
      <c r="C1407" s="3">
        <v>186.85</v>
      </c>
      <c r="D1407" s="3">
        <v>187.25</v>
      </c>
      <c r="E1407" s="3">
        <v>183.15</v>
      </c>
      <c r="F1407" s="3">
        <v>183.55</v>
      </c>
    </row>
    <row r="1408" spans="1:6" x14ac:dyDescent="0.25">
      <c r="A1408" s="1">
        <v>41124</v>
      </c>
      <c r="B1408" s="2">
        <v>0.58333333333333337</v>
      </c>
      <c r="C1408" s="3">
        <v>183.55</v>
      </c>
      <c r="D1408" s="3">
        <v>186.1</v>
      </c>
      <c r="E1408" s="3">
        <v>183.2</v>
      </c>
      <c r="F1408" s="3">
        <v>185.7</v>
      </c>
    </row>
    <row r="1409" spans="1:6" x14ac:dyDescent="0.25">
      <c r="A1409" s="1">
        <v>41127</v>
      </c>
      <c r="B1409" s="2">
        <v>0.58333333333333337</v>
      </c>
      <c r="C1409" s="3">
        <v>185</v>
      </c>
      <c r="D1409" s="3">
        <v>189.75</v>
      </c>
      <c r="E1409" s="3">
        <v>184.9</v>
      </c>
      <c r="F1409" s="3">
        <v>187.4</v>
      </c>
    </row>
    <row r="1410" spans="1:6" x14ac:dyDescent="0.25">
      <c r="A1410" s="1">
        <v>41128</v>
      </c>
      <c r="B1410" s="2">
        <v>0.58333333333333337</v>
      </c>
      <c r="C1410" s="3">
        <v>187.4</v>
      </c>
      <c r="D1410" s="3">
        <v>188.1</v>
      </c>
      <c r="E1410" s="3">
        <v>184.3</v>
      </c>
      <c r="F1410" s="3">
        <v>184.55</v>
      </c>
    </row>
    <row r="1411" spans="1:6" x14ac:dyDescent="0.25">
      <c r="A1411" s="1">
        <v>41129</v>
      </c>
      <c r="B1411" s="2">
        <v>0.58333333333333337</v>
      </c>
      <c r="C1411" s="3">
        <v>184.65</v>
      </c>
      <c r="D1411" s="3">
        <v>185</v>
      </c>
      <c r="E1411" s="3">
        <v>181.8</v>
      </c>
      <c r="F1411" s="3">
        <v>182.4</v>
      </c>
    </row>
    <row r="1412" spans="1:6" x14ac:dyDescent="0.25">
      <c r="A1412" s="1">
        <v>41130</v>
      </c>
      <c r="B1412" s="2">
        <v>0.58333333333333337</v>
      </c>
      <c r="C1412" s="3">
        <v>182.85</v>
      </c>
      <c r="D1412" s="3">
        <v>183.25</v>
      </c>
      <c r="E1412" s="3">
        <v>178.15</v>
      </c>
      <c r="F1412" s="3">
        <v>178.35</v>
      </c>
    </row>
    <row r="1413" spans="1:6" x14ac:dyDescent="0.25">
      <c r="A1413" s="1">
        <v>41131</v>
      </c>
      <c r="B1413" s="2">
        <v>0.58333333333333337</v>
      </c>
      <c r="C1413" s="3">
        <v>178.9</v>
      </c>
      <c r="D1413" s="3">
        <v>179.35</v>
      </c>
      <c r="E1413" s="3">
        <v>176.1</v>
      </c>
      <c r="F1413" s="3">
        <v>178.15</v>
      </c>
    </row>
    <row r="1414" spans="1:6" x14ac:dyDescent="0.25">
      <c r="A1414" s="1">
        <v>41134</v>
      </c>
      <c r="B1414" s="2">
        <v>0.58333333333333337</v>
      </c>
      <c r="C1414" s="3">
        <v>178.15</v>
      </c>
      <c r="D1414" s="3">
        <v>179.1</v>
      </c>
      <c r="E1414" s="3">
        <v>174.8</v>
      </c>
      <c r="F1414" s="3">
        <v>175.85</v>
      </c>
    </row>
    <row r="1415" spans="1:6" x14ac:dyDescent="0.25">
      <c r="A1415" s="1">
        <v>41135</v>
      </c>
      <c r="B1415" s="2">
        <v>0.58333333333333337</v>
      </c>
      <c r="C1415" s="3">
        <v>175.85</v>
      </c>
      <c r="D1415" s="3">
        <v>177.4</v>
      </c>
      <c r="E1415" s="3">
        <v>174.15</v>
      </c>
      <c r="F1415" s="3">
        <v>174.8</v>
      </c>
    </row>
    <row r="1416" spans="1:6" x14ac:dyDescent="0.25">
      <c r="A1416" s="1">
        <v>41136</v>
      </c>
      <c r="B1416" s="2">
        <v>0.58333333333333337</v>
      </c>
      <c r="C1416" s="3">
        <v>174.85</v>
      </c>
      <c r="D1416" s="3">
        <v>175.35</v>
      </c>
      <c r="E1416" s="3">
        <v>170.6</v>
      </c>
      <c r="F1416" s="3">
        <v>173.75</v>
      </c>
    </row>
    <row r="1417" spans="1:6" x14ac:dyDescent="0.25">
      <c r="A1417" s="1">
        <v>41137</v>
      </c>
      <c r="B1417" s="2">
        <v>0.58333333333333337</v>
      </c>
      <c r="C1417" s="3">
        <v>173.6</v>
      </c>
      <c r="D1417" s="3">
        <v>173.6</v>
      </c>
      <c r="E1417" s="3">
        <v>169.6</v>
      </c>
      <c r="F1417" s="3">
        <v>170.6</v>
      </c>
    </row>
    <row r="1418" spans="1:6" x14ac:dyDescent="0.25">
      <c r="A1418" s="1">
        <v>41138</v>
      </c>
      <c r="B1418" s="2">
        <v>0.58333333333333337</v>
      </c>
      <c r="C1418" s="3">
        <v>170.6</v>
      </c>
      <c r="D1418" s="3">
        <v>172.5</v>
      </c>
      <c r="E1418" s="3">
        <v>169.05</v>
      </c>
      <c r="F1418" s="3">
        <v>172</v>
      </c>
    </row>
    <row r="1419" spans="1:6" x14ac:dyDescent="0.25">
      <c r="A1419" s="1">
        <v>41141</v>
      </c>
      <c r="B1419" s="2">
        <v>0.58333333333333337</v>
      </c>
      <c r="C1419" s="3">
        <v>172.3</v>
      </c>
      <c r="D1419" s="3">
        <v>175.4</v>
      </c>
      <c r="E1419" s="3">
        <v>172</v>
      </c>
      <c r="F1419" s="3">
        <v>173.35</v>
      </c>
    </row>
    <row r="1420" spans="1:6" x14ac:dyDescent="0.25">
      <c r="A1420" s="1">
        <v>41142</v>
      </c>
      <c r="B1420" s="2">
        <v>0.58333333333333337</v>
      </c>
      <c r="C1420" s="3">
        <v>173.4</v>
      </c>
      <c r="D1420" s="3">
        <v>174.95</v>
      </c>
      <c r="E1420" s="3">
        <v>172.7</v>
      </c>
      <c r="F1420" s="3">
        <v>173</v>
      </c>
    </row>
    <row r="1421" spans="1:6" x14ac:dyDescent="0.25">
      <c r="A1421" s="1">
        <v>41143</v>
      </c>
      <c r="B1421" s="2">
        <v>0.58333333333333337</v>
      </c>
      <c r="C1421" s="3">
        <v>172.65</v>
      </c>
      <c r="D1421" s="3">
        <v>172.85</v>
      </c>
      <c r="E1421" s="3">
        <v>169.85</v>
      </c>
      <c r="F1421" s="3">
        <v>170.9</v>
      </c>
    </row>
    <row r="1422" spans="1:6" x14ac:dyDescent="0.25">
      <c r="A1422" s="1">
        <v>41144</v>
      </c>
      <c r="B1422" s="2">
        <v>0.58333333333333337</v>
      </c>
      <c r="C1422" s="3">
        <v>171.2</v>
      </c>
      <c r="D1422" s="3">
        <v>172.05</v>
      </c>
      <c r="E1422" s="3">
        <v>170.05</v>
      </c>
      <c r="F1422" s="3">
        <v>170.65</v>
      </c>
    </row>
    <row r="1423" spans="1:6" x14ac:dyDescent="0.25">
      <c r="A1423" s="1">
        <v>41145</v>
      </c>
      <c r="B1423" s="2">
        <v>0.58333333333333337</v>
      </c>
      <c r="C1423" s="3">
        <v>170.95</v>
      </c>
      <c r="D1423" s="3">
        <v>173.3</v>
      </c>
      <c r="E1423" s="3">
        <v>170.05</v>
      </c>
      <c r="F1423" s="3">
        <v>171.7</v>
      </c>
    </row>
    <row r="1424" spans="1:6" x14ac:dyDescent="0.25">
      <c r="A1424" s="1">
        <v>41148</v>
      </c>
      <c r="B1424" s="2">
        <v>0.58333333333333337</v>
      </c>
      <c r="C1424" s="3">
        <v>173.3</v>
      </c>
      <c r="D1424" s="3">
        <v>176.5</v>
      </c>
      <c r="E1424" s="3">
        <v>173.3</v>
      </c>
      <c r="F1424" s="3">
        <v>176.15</v>
      </c>
    </row>
    <row r="1425" spans="1:6" x14ac:dyDescent="0.25">
      <c r="A1425" s="1">
        <v>41149</v>
      </c>
      <c r="B1425" s="2">
        <v>0.58333333333333337</v>
      </c>
      <c r="C1425" s="3">
        <v>175.85</v>
      </c>
      <c r="D1425" s="3">
        <v>177.3</v>
      </c>
      <c r="E1425" s="3">
        <v>174.35</v>
      </c>
      <c r="F1425" s="3">
        <v>176.75</v>
      </c>
    </row>
    <row r="1426" spans="1:6" x14ac:dyDescent="0.25">
      <c r="A1426" s="1">
        <v>41150</v>
      </c>
      <c r="B1426" s="2">
        <v>0.58333333333333337</v>
      </c>
      <c r="C1426" s="3">
        <v>176.8</v>
      </c>
      <c r="D1426" s="3">
        <v>177.9</v>
      </c>
      <c r="E1426" s="3">
        <v>174.55</v>
      </c>
      <c r="F1426" s="3">
        <v>175.45</v>
      </c>
    </row>
    <row r="1427" spans="1:6" x14ac:dyDescent="0.25">
      <c r="A1427" s="1">
        <v>41151</v>
      </c>
      <c r="B1427" s="2">
        <v>0.58333333333333337</v>
      </c>
      <c r="C1427" s="3">
        <v>175.2</v>
      </c>
      <c r="D1427" s="3">
        <v>177.15</v>
      </c>
      <c r="E1427" s="3">
        <v>171.3</v>
      </c>
      <c r="F1427" s="3">
        <v>172.2</v>
      </c>
    </row>
    <row r="1428" spans="1:6" x14ac:dyDescent="0.25">
      <c r="A1428" s="1">
        <v>41152</v>
      </c>
      <c r="B1428" s="2">
        <v>0.58333333333333337</v>
      </c>
      <c r="C1428" s="3">
        <v>172.9</v>
      </c>
      <c r="D1428" s="3">
        <v>176.25</v>
      </c>
      <c r="E1428" s="3">
        <v>171.3</v>
      </c>
      <c r="F1428" s="3">
        <v>173.55</v>
      </c>
    </row>
    <row r="1429" spans="1:6" x14ac:dyDescent="0.25">
      <c r="A1429" s="1">
        <v>41156</v>
      </c>
      <c r="B1429" s="2">
        <v>0.58333333333333337</v>
      </c>
      <c r="C1429" s="3">
        <v>174.45</v>
      </c>
      <c r="D1429" s="3">
        <v>176.7</v>
      </c>
      <c r="E1429" s="3">
        <v>173.3</v>
      </c>
      <c r="F1429" s="3">
        <v>174.1</v>
      </c>
    </row>
    <row r="1430" spans="1:6" x14ac:dyDescent="0.25">
      <c r="A1430" s="1">
        <v>41157</v>
      </c>
      <c r="B1430" s="2">
        <v>0.58333333333333337</v>
      </c>
      <c r="C1430" s="3">
        <v>174.1</v>
      </c>
      <c r="D1430" s="3">
        <v>175.15</v>
      </c>
      <c r="E1430" s="3">
        <v>169.15</v>
      </c>
      <c r="F1430" s="3">
        <v>169.4</v>
      </c>
    </row>
    <row r="1431" spans="1:6" x14ac:dyDescent="0.25">
      <c r="A1431" s="1">
        <v>41158</v>
      </c>
      <c r="B1431" s="2">
        <v>0.58333333333333337</v>
      </c>
      <c r="C1431" s="3">
        <v>169.8</v>
      </c>
      <c r="D1431" s="3">
        <v>171.55</v>
      </c>
      <c r="E1431" s="3">
        <v>165.35</v>
      </c>
      <c r="F1431" s="3">
        <v>167</v>
      </c>
    </row>
    <row r="1432" spans="1:6" x14ac:dyDescent="0.25">
      <c r="A1432" s="1">
        <v>41159</v>
      </c>
      <c r="B1432" s="2">
        <v>0.58333333333333337</v>
      </c>
      <c r="C1432" s="3">
        <v>168.4</v>
      </c>
      <c r="D1432" s="3">
        <v>172.5</v>
      </c>
      <c r="E1432" s="3">
        <v>167.3</v>
      </c>
      <c r="F1432" s="3">
        <v>171.85</v>
      </c>
    </row>
    <row r="1433" spans="1:6" x14ac:dyDescent="0.25">
      <c r="A1433" s="1">
        <v>41162</v>
      </c>
      <c r="B1433" s="2">
        <v>0.58333333333333337</v>
      </c>
      <c r="C1433" s="3">
        <v>172.5</v>
      </c>
      <c r="D1433" s="3">
        <v>183.15</v>
      </c>
      <c r="E1433" s="3">
        <v>172.05</v>
      </c>
      <c r="F1433" s="3">
        <v>182.45</v>
      </c>
    </row>
    <row r="1434" spans="1:6" x14ac:dyDescent="0.25">
      <c r="A1434" s="1">
        <v>41163</v>
      </c>
      <c r="B1434" s="2">
        <v>0.58333333333333337</v>
      </c>
      <c r="C1434" s="3">
        <v>182.45</v>
      </c>
      <c r="D1434" s="3">
        <v>188.8</v>
      </c>
      <c r="E1434" s="3">
        <v>181.9</v>
      </c>
      <c r="F1434" s="3">
        <v>186.35</v>
      </c>
    </row>
    <row r="1435" spans="1:6" x14ac:dyDescent="0.25">
      <c r="A1435" s="1">
        <v>41164</v>
      </c>
      <c r="B1435" s="2">
        <v>0.58333333333333337</v>
      </c>
      <c r="C1435" s="3">
        <v>185.75</v>
      </c>
      <c r="D1435" s="3">
        <v>187.7</v>
      </c>
      <c r="E1435" s="3">
        <v>185.45</v>
      </c>
      <c r="F1435" s="3">
        <v>186.3</v>
      </c>
    </row>
    <row r="1436" spans="1:6" x14ac:dyDescent="0.25">
      <c r="A1436" s="1">
        <v>41165</v>
      </c>
      <c r="B1436" s="2">
        <v>0.58333333333333337</v>
      </c>
      <c r="C1436" s="3">
        <v>185.85</v>
      </c>
      <c r="D1436" s="3">
        <v>190.1</v>
      </c>
      <c r="E1436" s="3">
        <v>184.6</v>
      </c>
      <c r="F1436" s="3">
        <v>187.65</v>
      </c>
    </row>
    <row r="1437" spans="1:6" x14ac:dyDescent="0.25">
      <c r="A1437" s="1">
        <v>41166</v>
      </c>
      <c r="B1437" s="2">
        <v>0.58333333333333337</v>
      </c>
      <c r="C1437" s="3">
        <v>188.35</v>
      </c>
      <c r="D1437" s="3">
        <v>192.5</v>
      </c>
      <c r="E1437" s="3">
        <v>188.35</v>
      </c>
      <c r="F1437" s="3">
        <v>189.9</v>
      </c>
    </row>
    <row r="1438" spans="1:6" x14ac:dyDescent="0.25">
      <c r="A1438" s="1">
        <v>41169</v>
      </c>
      <c r="B1438" s="2">
        <v>0.58333333333333337</v>
      </c>
      <c r="C1438" s="3">
        <v>189.95</v>
      </c>
      <c r="D1438" s="3">
        <v>192.35</v>
      </c>
      <c r="E1438" s="3">
        <v>182.9</v>
      </c>
      <c r="F1438" s="3">
        <v>184.45</v>
      </c>
    </row>
    <row r="1439" spans="1:6" x14ac:dyDescent="0.25">
      <c r="A1439" s="1">
        <v>41170</v>
      </c>
      <c r="B1439" s="2">
        <v>0.58333333333333337</v>
      </c>
      <c r="C1439" s="3">
        <v>183.95</v>
      </c>
      <c r="D1439" s="3">
        <v>187.25</v>
      </c>
      <c r="E1439" s="3">
        <v>180.45</v>
      </c>
      <c r="F1439" s="3">
        <v>186.3</v>
      </c>
    </row>
    <row r="1440" spans="1:6" x14ac:dyDescent="0.25">
      <c r="A1440" s="1">
        <v>41171</v>
      </c>
      <c r="B1440" s="2">
        <v>0.58333333333333337</v>
      </c>
      <c r="C1440" s="3">
        <v>186.85</v>
      </c>
      <c r="D1440" s="3">
        <v>187.9</v>
      </c>
      <c r="E1440" s="3">
        <v>181.15</v>
      </c>
      <c r="F1440" s="3">
        <v>183.2</v>
      </c>
    </row>
    <row r="1441" spans="1:6" x14ac:dyDescent="0.25">
      <c r="A1441" s="1">
        <v>41172</v>
      </c>
      <c r="B1441" s="2">
        <v>0.58333333333333337</v>
      </c>
      <c r="C1441" s="3">
        <v>183</v>
      </c>
      <c r="D1441" s="3">
        <v>183.3</v>
      </c>
      <c r="E1441" s="3">
        <v>177.1</v>
      </c>
      <c r="F1441" s="3">
        <v>177.4</v>
      </c>
    </row>
    <row r="1442" spans="1:6" x14ac:dyDescent="0.25">
      <c r="A1442" s="1">
        <v>41173</v>
      </c>
      <c r="B1442" s="2">
        <v>0.58333333333333337</v>
      </c>
      <c r="C1442" s="3">
        <v>177.4</v>
      </c>
      <c r="D1442" s="3">
        <v>182.6</v>
      </c>
      <c r="E1442" s="3">
        <v>177.4</v>
      </c>
      <c r="F1442" s="3">
        <v>182.1</v>
      </c>
    </row>
    <row r="1443" spans="1:6" x14ac:dyDescent="0.25">
      <c r="A1443" s="1">
        <v>41176</v>
      </c>
      <c r="B1443" s="2">
        <v>0.58333333333333337</v>
      </c>
      <c r="C1443" s="3">
        <v>180.6</v>
      </c>
      <c r="D1443" s="3">
        <v>181.55</v>
      </c>
      <c r="E1443" s="3">
        <v>176.45</v>
      </c>
      <c r="F1443" s="3">
        <v>181.1</v>
      </c>
    </row>
    <row r="1444" spans="1:6" x14ac:dyDescent="0.25">
      <c r="A1444" s="1">
        <v>41177</v>
      </c>
      <c r="B1444" s="2">
        <v>0.58333333333333337</v>
      </c>
      <c r="C1444" s="3">
        <v>181.25</v>
      </c>
      <c r="D1444" s="3">
        <v>183.65</v>
      </c>
      <c r="E1444" s="3">
        <v>180.35</v>
      </c>
      <c r="F1444" s="3">
        <v>182.45</v>
      </c>
    </row>
    <row r="1445" spans="1:6" x14ac:dyDescent="0.25">
      <c r="A1445" s="1">
        <v>41178</v>
      </c>
      <c r="B1445" s="2">
        <v>0.58333333333333337</v>
      </c>
      <c r="C1445" s="3">
        <v>181.8</v>
      </c>
      <c r="D1445" s="3">
        <v>182.05</v>
      </c>
      <c r="E1445" s="3">
        <v>177.8</v>
      </c>
      <c r="F1445" s="3">
        <v>178.25</v>
      </c>
    </row>
    <row r="1446" spans="1:6" x14ac:dyDescent="0.25">
      <c r="A1446" s="1">
        <v>41179</v>
      </c>
      <c r="B1446" s="2">
        <v>0.58333333333333337</v>
      </c>
      <c r="C1446" s="3">
        <v>178.4</v>
      </c>
      <c r="D1446" s="3">
        <v>183.45</v>
      </c>
      <c r="E1446" s="3">
        <v>178.25</v>
      </c>
      <c r="F1446" s="3">
        <v>183.1</v>
      </c>
    </row>
    <row r="1447" spans="1:6" x14ac:dyDescent="0.25">
      <c r="A1447" s="1">
        <v>41180</v>
      </c>
      <c r="B1447" s="2">
        <v>0.58333333333333337</v>
      </c>
      <c r="C1447" s="3">
        <v>183.05</v>
      </c>
      <c r="D1447" s="3">
        <v>184</v>
      </c>
      <c r="E1447" s="3">
        <v>179.05</v>
      </c>
      <c r="F1447" s="3">
        <v>182.3</v>
      </c>
    </row>
    <row r="1448" spans="1:6" x14ac:dyDescent="0.25">
      <c r="A1448" s="1">
        <v>41183</v>
      </c>
      <c r="B1448" s="2">
        <v>0.58333333333333337</v>
      </c>
      <c r="C1448" s="3">
        <v>181.65</v>
      </c>
      <c r="D1448" s="3">
        <v>187.75</v>
      </c>
      <c r="E1448" s="3">
        <v>180.95</v>
      </c>
      <c r="F1448" s="3">
        <v>186.85</v>
      </c>
    </row>
    <row r="1449" spans="1:6" x14ac:dyDescent="0.25">
      <c r="A1449" s="1">
        <v>41184</v>
      </c>
      <c r="B1449" s="2">
        <v>0.58333333333333337</v>
      </c>
      <c r="C1449" s="3">
        <v>186.9</v>
      </c>
      <c r="D1449" s="3">
        <v>193.35</v>
      </c>
      <c r="E1449" s="3">
        <v>186.75</v>
      </c>
      <c r="F1449" s="3">
        <v>192.45</v>
      </c>
    </row>
    <row r="1450" spans="1:6" x14ac:dyDescent="0.25">
      <c r="A1450" s="1">
        <v>41185</v>
      </c>
      <c r="B1450" s="2">
        <v>0.58333333333333337</v>
      </c>
      <c r="C1450" s="3">
        <v>190.3</v>
      </c>
      <c r="D1450" s="3">
        <v>194.25</v>
      </c>
      <c r="E1450" s="3">
        <v>189.3</v>
      </c>
      <c r="F1450" s="3">
        <v>189.85</v>
      </c>
    </row>
    <row r="1451" spans="1:6" x14ac:dyDescent="0.25">
      <c r="A1451" s="1">
        <v>41186</v>
      </c>
      <c r="B1451" s="2">
        <v>0.58333333333333337</v>
      </c>
      <c r="C1451" s="3">
        <v>189.85</v>
      </c>
      <c r="D1451" s="3">
        <v>192.6</v>
      </c>
      <c r="E1451" s="3">
        <v>182.2</v>
      </c>
      <c r="F1451" s="3">
        <v>183.85</v>
      </c>
    </row>
    <row r="1452" spans="1:6" x14ac:dyDescent="0.25">
      <c r="A1452" s="1">
        <v>41187</v>
      </c>
      <c r="B1452" s="2">
        <v>0.58333333333333337</v>
      </c>
      <c r="C1452" s="3">
        <v>183.85</v>
      </c>
      <c r="D1452" s="3">
        <v>185.35</v>
      </c>
      <c r="E1452" s="3">
        <v>176.5</v>
      </c>
      <c r="F1452" s="3">
        <v>176.9</v>
      </c>
    </row>
    <row r="1453" spans="1:6" x14ac:dyDescent="0.25">
      <c r="A1453" s="1">
        <v>41190</v>
      </c>
      <c r="B1453" s="2">
        <v>0.58333333333333337</v>
      </c>
      <c r="C1453" s="3">
        <v>176.6</v>
      </c>
      <c r="D1453" s="3">
        <v>178.2</v>
      </c>
      <c r="E1453" s="3">
        <v>175.15</v>
      </c>
      <c r="F1453" s="3">
        <v>177.9</v>
      </c>
    </row>
    <row r="1454" spans="1:6" x14ac:dyDescent="0.25">
      <c r="A1454" s="1">
        <v>41191</v>
      </c>
      <c r="B1454" s="2">
        <v>0.58333333333333337</v>
      </c>
      <c r="C1454" s="3">
        <v>177.3</v>
      </c>
      <c r="D1454" s="3">
        <v>178.8</v>
      </c>
      <c r="E1454" s="3">
        <v>172.9</v>
      </c>
      <c r="F1454" s="3">
        <v>174.1</v>
      </c>
    </row>
    <row r="1455" spans="1:6" x14ac:dyDescent="0.25">
      <c r="A1455" s="1">
        <v>41192</v>
      </c>
      <c r="B1455" s="2">
        <v>0.58333333333333337</v>
      </c>
      <c r="C1455" s="3">
        <v>175.45</v>
      </c>
      <c r="D1455" s="3">
        <v>175.75</v>
      </c>
      <c r="E1455" s="3">
        <v>172.1</v>
      </c>
      <c r="F1455" s="3">
        <v>172.25</v>
      </c>
    </row>
    <row r="1456" spans="1:6" x14ac:dyDescent="0.25">
      <c r="A1456" s="1">
        <v>41193</v>
      </c>
      <c r="B1456" s="2">
        <v>0.58333333333333337</v>
      </c>
      <c r="C1456" s="3">
        <v>172.1</v>
      </c>
      <c r="D1456" s="3">
        <v>172.5</v>
      </c>
      <c r="E1456" s="3">
        <v>169.1</v>
      </c>
      <c r="F1456" s="3">
        <v>169.55</v>
      </c>
    </row>
    <row r="1457" spans="1:6" x14ac:dyDescent="0.25">
      <c r="A1457" s="1">
        <v>41194</v>
      </c>
      <c r="B1457" s="2">
        <v>0.58333333333333337</v>
      </c>
      <c r="C1457" s="3">
        <v>169.9</v>
      </c>
      <c r="D1457" s="3">
        <v>171.9</v>
      </c>
      <c r="E1457" s="3">
        <v>168.5</v>
      </c>
      <c r="F1457" s="3">
        <v>170.5</v>
      </c>
    </row>
    <row r="1458" spans="1:6" x14ac:dyDescent="0.25">
      <c r="A1458" s="1">
        <v>41197</v>
      </c>
      <c r="B1458" s="2">
        <v>0.58333333333333337</v>
      </c>
      <c r="C1458" s="3">
        <v>170.5</v>
      </c>
      <c r="D1458" s="3">
        <v>171.55</v>
      </c>
      <c r="E1458" s="3">
        <v>168.3</v>
      </c>
      <c r="F1458" s="3">
        <v>169.65</v>
      </c>
    </row>
    <row r="1459" spans="1:6" x14ac:dyDescent="0.25">
      <c r="A1459" s="1">
        <v>41198</v>
      </c>
      <c r="B1459" s="2">
        <v>0.58333333333333337</v>
      </c>
      <c r="C1459" s="3">
        <v>170.3</v>
      </c>
      <c r="D1459" s="3">
        <v>172.25</v>
      </c>
      <c r="E1459" s="3">
        <v>169.15</v>
      </c>
      <c r="F1459" s="3">
        <v>171.6</v>
      </c>
    </row>
    <row r="1460" spans="1:6" x14ac:dyDescent="0.25">
      <c r="A1460" s="1">
        <v>41199</v>
      </c>
      <c r="B1460" s="2">
        <v>0.58333333333333337</v>
      </c>
      <c r="C1460" s="3">
        <v>171.8</v>
      </c>
      <c r="D1460" s="3">
        <v>172.15</v>
      </c>
      <c r="E1460" s="3">
        <v>168.4</v>
      </c>
      <c r="F1460" s="3">
        <v>170.3</v>
      </c>
    </row>
    <row r="1461" spans="1:6" x14ac:dyDescent="0.25">
      <c r="A1461" s="1">
        <v>41200</v>
      </c>
      <c r="B1461" s="2">
        <v>0.58333333333333337</v>
      </c>
      <c r="C1461" s="3">
        <v>169.9</v>
      </c>
      <c r="D1461" s="3">
        <v>170.35</v>
      </c>
      <c r="E1461" s="3">
        <v>165.95</v>
      </c>
      <c r="F1461" s="3">
        <v>167.4</v>
      </c>
    </row>
    <row r="1462" spans="1:6" x14ac:dyDescent="0.25">
      <c r="A1462" s="1">
        <v>41201</v>
      </c>
      <c r="B1462" s="2">
        <v>0.58333333333333337</v>
      </c>
      <c r="C1462" s="3">
        <v>167.45</v>
      </c>
      <c r="D1462" s="3">
        <v>171.65</v>
      </c>
      <c r="E1462" s="3">
        <v>166.95</v>
      </c>
      <c r="F1462" s="3">
        <v>170.45</v>
      </c>
    </row>
    <row r="1463" spans="1:6" x14ac:dyDescent="0.25">
      <c r="A1463" s="1">
        <v>41204</v>
      </c>
      <c r="B1463" s="2">
        <v>0.58333333333333337</v>
      </c>
      <c r="C1463" s="3">
        <v>171.3</v>
      </c>
      <c r="D1463" s="3">
        <v>174.5</v>
      </c>
      <c r="E1463" s="3">
        <v>170.2</v>
      </c>
      <c r="F1463" s="3">
        <v>173.3</v>
      </c>
    </row>
    <row r="1464" spans="1:6" x14ac:dyDescent="0.25">
      <c r="A1464" s="1">
        <v>41205</v>
      </c>
      <c r="B1464" s="2">
        <v>0.58333333333333337</v>
      </c>
      <c r="C1464" s="3">
        <v>172.9</v>
      </c>
      <c r="D1464" s="3">
        <v>172.9</v>
      </c>
      <c r="E1464" s="3">
        <v>169.05</v>
      </c>
      <c r="F1464" s="3">
        <v>169.65</v>
      </c>
    </row>
    <row r="1465" spans="1:6" x14ac:dyDescent="0.25">
      <c r="A1465" s="1">
        <v>41206</v>
      </c>
      <c r="B1465" s="2">
        <v>0.58333333333333337</v>
      </c>
      <c r="C1465" s="3">
        <v>169.65</v>
      </c>
      <c r="D1465" s="3">
        <v>171.1</v>
      </c>
      <c r="E1465" s="3">
        <v>167.5</v>
      </c>
      <c r="F1465" s="3">
        <v>168.6</v>
      </c>
    </row>
    <row r="1466" spans="1:6" x14ac:dyDescent="0.25">
      <c r="A1466" s="1">
        <v>41207</v>
      </c>
      <c r="B1466" s="2">
        <v>0.58333333333333337</v>
      </c>
      <c r="C1466" s="3">
        <v>169.3</v>
      </c>
      <c r="D1466" s="3">
        <v>170.7</v>
      </c>
      <c r="E1466" s="3">
        <v>168</v>
      </c>
      <c r="F1466" s="3">
        <v>169.8</v>
      </c>
    </row>
    <row r="1467" spans="1:6" x14ac:dyDescent="0.25">
      <c r="A1467" s="1">
        <v>41208</v>
      </c>
      <c r="B1467" s="2">
        <v>0.58333333333333337</v>
      </c>
      <c r="C1467" s="3">
        <v>169.8</v>
      </c>
      <c r="D1467" s="3">
        <v>170.25</v>
      </c>
      <c r="E1467" s="3">
        <v>165.7</v>
      </c>
      <c r="F1467" s="3">
        <v>166.55</v>
      </c>
    </row>
    <row r="1468" spans="1:6" x14ac:dyDescent="0.25">
      <c r="A1468" s="1">
        <v>41211</v>
      </c>
      <c r="B1468" s="2">
        <v>0.58333333333333337</v>
      </c>
      <c r="C1468" s="3">
        <v>166.55</v>
      </c>
      <c r="D1468" s="3">
        <v>170.6</v>
      </c>
      <c r="E1468" s="3">
        <v>165.1</v>
      </c>
      <c r="F1468" s="3">
        <v>170.45</v>
      </c>
    </row>
    <row r="1469" spans="1:6" x14ac:dyDescent="0.25">
      <c r="A1469" s="1">
        <v>41212</v>
      </c>
      <c r="B1469" s="2">
        <v>0.58333333333333337</v>
      </c>
      <c r="C1469" s="3">
        <v>170.8</v>
      </c>
      <c r="D1469" s="3">
        <v>171.55</v>
      </c>
      <c r="E1469" s="3">
        <v>165.35</v>
      </c>
      <c r="F1469" s="3">
        <v>166</v>
      </c>
    </row>
    <row r="1470" spans="1:6" x14ac:dyDescent="0.25">
      <c r="A1470" s="1">
        <v>41213</v>
      </c>
      <c r="B1470" s="2">
        <v>0.58333333333333337</v>
      </c>
      <c r="C1470" s="3">
        <v>165.85</v>
      </c>
      <c r="D1470" s="3">
        <v>167.65</v>
      </c>
      <c r="E1470" s="3">
        <v>163.19999999999999</v>
      </c>
      <c r="F1470" s="3">
        <v>163.44999999999999</v>
      </c>
    </row>
    <row r="1471" spans="1:6" x14ac:dyDescent="0.25">
      <c r="A1471" s="1">
        <v>41214</v>
      </c>
      <c r="B1471" s="2">
        <v>0.58333333333333337</v>
      </c>
      <c r="C1471" s="3">
        <v>163.44999999999999</v>
      </c>
      <c r="D1471" s="3">
        <v>165.2</v>
      </c>
      <c r="E1471" s="3">
        <v>161.6</v>
      </c>
      <c r="F1471" s="3">
        <v>162.25</v>
      </c>
    </row>
    <row r="1472" spans="1:6" x14ac:dyDescent="0.25">
      <c r="A1472" s="1">
        <v>41215</v>
      </c>
      <c r="B1472" s="2">
        <v>0.58333333333333337</v>
      </c>
      <c r="C1472" s="3">
        <v>163.80000000000001</v>
      </c>
      <c r="D1472" s="3">
        <v>164.25</v>
      </c>
      <c r="E1472" s="3">
        <v>161.94999999999999</v>
      </c>
      <c r="F1472" s="3">
        <v>163.5</v>
      </c>
    </row>
    <row r="1473" spans="1:6" x14ac:dyDescent="0.25">
      <c r="A1473" s="1">
        <v>41218</v>
      </c>
      <c r="B1473" s="2">
        <v>0.58333333333333337</v>
      </c>
      <c r="C1473" s="3">
        <v>163.5</v>
      </c>
      <c r="D1473" s="3">
        <v>163.5</v>
      </c>
      <c r="E1473" s="3">
        <v>159.6</v>
      </c>
      <c r="F1473" s="3">
        <v>159.69999999999999</v>
      </c>
    </row>
    <row r="1474" spans="1:6" x14ac:dyDescent="0.25">
      <c r="A1474" s="1">
        <v>41219</v>
      </c>
      <c r="B1474" s="2">
        <v>0.58333333333333337</v>
      </c>
      <c r="C1474" s="3">
        <v>159.80000000000001</v>
      </c>
      <c r="D1474" s="3">
        <v>161.30000000000001</v>
      </c>
      <c r="E1474" s="3">
        <v>159.15</v>
      </c>
      <c r="F1474" s="3">
        <v>159.4</v>
      </c>
    </row>
    <row r="1475" spans="1:6" x14ac:dyDescent="0.25">
      <c r="A1475" s="1">
        <v>41220</v>
      </c>
      <c r="B1475" s="2">
        <v>0.58333333333333337</v>
      </c>
      <c r="C1475" s="3">
        <v>159.80000000000001</v>
      </c>
      <c r="D1475" s="3">
        <v>162.80000000000001</v>
      </c>
      <c r="E1475" s="3">
        <v>159.5</v>
      </c>
      <c r="F1475" s="3">
        <v>160</v>
      </c>
    </row>
    <row r="1476" spans="1:6" x14ac:dyDescent="0.25">
      <c r="A1476" s="1">
        <v>41221</v>
      </c>
      <c r="B1476" s="2">
        <v>0.58333333333333337</v>
      </c>
      <c r="C1476" s="3">
        <v>160.30000000000001</v>
      </c>
      <c r="D1476" s="3">
        <v>162</v>
      </c>
      <c r="E1476" s="3">
        <v>158.69999999999999</v>
      </c>
      <c r="F1476" s="3">
        <v>160.19999999999999</v>
      </c>
    </row>
    <row r="1477" spans="1:6" x14ac:dyDescent="0.25">
      <c r="A1477" s="1">
        <v>41222</v>
      </c>
      <c r="B1477" s="2">
        <v>0.58333333333333337</v>
      </c>
      <c r="C1477" s="3">
        <v>160.75</v>
      </c>
      <c r="D1477" s="3">
        <v>161.15</v>
      </c>
      <c r="E1477" s="3">
        <v>158.4</v>
      </c>
      <c r="F1477" s="3">
        <v>158.69999999999999</v>
      </c>
    </row>
    <row r="1478" spans="1:6" x14ac:dyDescent="0.25">
      <c r="A1478" s="1">
        <v>41225</v>
      </c>
      <c r="B1478" s="2">
        <v>0.58333333333333337</v>
      </c>
      <c r="C1478" s="3">
        <v>160.15</v>
      </c>
      <c r="D1478" s="3">
        <v>162.85</v>
      </c>
      <c r="E1478" s="3">
        <v>160.1</v>
      </c>
      <c r="F1478" s="3">
        <v>161.35</v>
      </c>
    </row>
    <row r="1479" spans="1:6" x14ac:dyDescent="0.25">
      <c r="A1479" s="1">
        <v>41226</v>
      </c>
      <c r="B1479" s="2">
        <v>0.58333333333333337</v>
      </c>
      <c r="C1479" s="3">
        <v>161.15</v>
      </c>
      <c r="D1479" s="3">
        <v>161.15</v>
      </c>
      <c r="E1479" s="3">
        <v>154.05000000000001</v>
      </c>
      <c r="F1479" s="3">
        <v>154.4</v>
      </c>
    </row>
    <row r="1480" spans="1:6" x14ac:dyDescent="0.25">
      <c r="A1480" s="1">
        <v>41227</v>
      </c>
      <c r="B1480" s="2">
        <v>0.58333333333333337</v>
      </c>
      <c r="C1480" s="3">
        <v>155.19999999999999</v>
      </c>
      <c r="D1480" s="3">
        <v>156.85</v>
      </c>
      <c r="E1480" s="3">
        <v>154.85</v>
      </c>
      <c r="F1480" s="3">
        <v>155.9</v>
      </c>
    </row>
    <row r="1481" spans="1:6" x14ac:dyDescent="0.25">
      <c r="A1481" s="1">
        <v>41228</v>
      </c>
      <c r="B1481" s="2">
        <v>0.58333333333333337</v>
      </c>
      <c r="C1481" s="3">
        <v>155.65</v>
      </c>
      <c r="D1481" s="3">
        <v>157.55000000000001</v>
      </c>
      <c r="E1481" s="3">
        <v>152.6</v>
      </c>
      <c r="F1481" s="3">
        <v>157.15</v>
      </c>
    </row>
    <row r="1482" spans="1:6" x14ac:dyDescent="0.25">
      <c r="A1482" s="1">
        <v>41229</v>
      </c>
      <c r="B1482" s="2">
        <v>0.58333333333333337</v>
      </c>
      <c r="C1482" s="3">
        <v>157.05000000000001</v>
      </c>
      <c r="D1482" s="3">
        <v>157.15</v>
      </c>
      <c r="E1482" s="3">
        <v>154.55000000000001</v>
      </c>
      <c r="F1482" s="3">
        <v>155.65</v>
      </c>
    </row>
    <row r="1483" spans="1:6" x14ac:dyDescent="0.25">
      <c r="A1483" s="1">
        <v>41232</v>
      </c>
      <c r="B1483" s="2">
        <v>0.58333333333333337</v>
      </c>
      <c r="C1483" s="3">
        <v>156.30000000000001</v>
      </c>
      <c r="D1483" s="3">
        <v>160.94999999999999</v>
      </c>
      <c r="E1483" s="3">
        <v>156.15</v>
      </c>
      <c r="F1483" s="3">
        <v>160.55000000000001</v>
      </c>
    </row>
    <row r="1484" spans="1:6" x14ac:dyDescent="0.25">
      <c r="A1484" s="1">
        <v>41233</v>
      </c>
      <c r="B1484" s="2">
        <v>0.58333333333333337</v>
      </c>
      <c r="C1484" s="3">
        <v>160.05000000000001</v>
      </c>
      <c r="D1484" s="3">
        <v>160.30000000000001</v>
      </c>
      <c r="E1484" s="3">
        <v>155.05000000000001</v>
      </c>
      <c r="F1484" s="3">
        <v>155.6</v>
      </c>
    </row>
    <row r="1485" spans="1:6" x14ac:dyDescent="0.25">
      <c r="A1485" s="1">
        <v>41234</v>
      </c>
      <c r="B1485" s="2">
        <v>0.58333333333333337</v>
      </c>
      <c r="C1485" s="3">
        <v>155.35</v>
      </c>
      <c r="D1485" s="3">
        <v>157.30000000000001</v>
      </c>
      <c r="E1485" s="3">
        <v>154.15</v>
      </c>
      <c r="F1485" s="3">
        <v>156.6</v>
      </c>
    </row>
    <row r="1486" spans="1:6" x14ac:dyDescent="0.25">
      <c r="A1486" s="1">
        <v>41236</v>
      </c>
      <c r="B1486" s="2">
        <v>0.58333333333333337</v>
      </c>
      <c r="C1486" s="3">
        <v>156.15</v>
      </c>
      <c r="D1486" s="3">
        <v>157</v>
      </c>
      <c r="E1486" s="3">
        <v>152.80000000000001</v>
      </c>
      <c r="F1486" s="3">
        <v>153.94999999999999</v>
      </c>
    </row>
    <row r="1487" spans="1:6" x14ac:dyDescent="0.25">
      <c r="A1487" s="1">
        <v>41239</v>
      </c>
      <c r="B1487" s="2">
        <v>0.58333333333333337</v>
      </c>
      <c r="C1487" s="3">
        <v>153.69999999999999</v>
      </c>
      <c r="D1487" s="3">
        <v>154.6</v>
      </c>
      <c r="E1487" s="3">
        <v>150.75</v>
      </c>
      <c r="F1487" s="3">
        <v>152.05000000000001</v>
      </c>
    </row>
    <row r="1488" spans="1:6" x14ac:dyDescent="0.25">
      <c r="A1488" s="1">
        <v>41240</v>
      </c>
      <c r="B1488" s="2">
        <v>0.58333333333333337</v>
      </c>
      <c r="C1488" s="3">
        <v>151.75</v>
      </c>
      <c r="D1488" s="3">
        <v>154.44999999999999</v>
      </c>
      <c r="E1488" s="3">
        <v>151.4</v>
      </c>
      <c r="F1488" s="3">
        <v>152.30000000000001</v>
      </c>
    </row>
    <row r="1489" spans="1:6" x14ac:dyDescent="0.25">
      <c r="A1489" s="1">
        <v>41241</v>
      </c>
      <c r="B1489" s="2">
        <v>0.58333333333333337</v>
      </c>
      <c r="C1489" s="3">
        <v>151.94999999999999</v>
      </c>
      <c r="D1489" s="3">
        <v>158.5</v>
      </c>
      <c r="E1489" s="3">
        <v>150.25</v>
      </c>
      <c r="F1489" s="3">
        <v>158</v>
      </c>
    </row>
    <row r="1490" spans="1:6" x14ac:dyDescent="0.25">
      <c r="A1490" s="1">
        <v>41242</v>
      </c>
      <c r="B1490" s="2">
        <v>0.58333333333333337</v>
      </c>
      <c r="C1490" s="3">
        <v>157.65</v>
      </c>
      <c r="D1490" s="3">
        <v>160.30000000000001</v>
      </c>
      <c r="E1490" s="3">
        <v>156.65</v>
      </c>
      <c r="F1490" s="3">
        <v>159.55000000000001</v>
      </c>
    </row>
    <row r="1491" spans="1:6" x14ac:dyDescent="0.25">
      <c r="A1491" s="1">
        <v>41243</v>
      </c>
      <c r="B1491" s="2">
        <v>0.58333333333333337</v>
      </c>
      <c r="C1491" s="3">
        <v>158.44999999999999</v>
      </c>
      <c r="D1491" s="3">
        <v>159.35</v>
      </c>
      <c r="E1491" s="3">
        <v>152.75</v>
      </c>
      <c r="F1491" s="3">
        <v>153.75</v>
      </c>
    </row>
    <row r="1492" spans="1:6" x14ac:dyDescent="0.25">
      <c r="A1492" s="1">
        <v>41246</v>
      </c>
      <c r="B1492" s="2">
        <v>0.58333333333333337</v>
      </c>
      <c r="C1492" s="3">
        <v>153.75</v>
      </c>
      <c r="D1492" s="3">
        <v>156.30000000000001</v>
      </c>
      <c r="E1492" s="3">
        <v>152.05000000000001</v>
      </c>
      <c r="F1492" s="3">
        <v>153.85</v>
      </c>
    </row>
    <row r="1493" spans="1:6" x14ac:dyDescent="0.25">
      <c r="A1493" s="1">
        <v>41247</v>
      </c>
      <c r="B1493" s="2">
        <v>0.58333333333333337</v>
      </c>
      <c r="C1493" s="3">
        <v>153.15</v>
      </c>
      <c r="D1493" s="3">
        <v>155.30000000000001</v>
      </c>
      <c r="E1493" s="3">
        <v>150.25</v>
      </c>
      <c r="F1493" s="3">
        <v>151.5</v>
      </c>
    </row>
    <row r="1494" spans="1:6" x14ac:dyDescent="0.25">
      <c r="A1494" s="1">
        <v>41248</v>
      </c>
      <c r="B1494" s="2">
        <v>0.58333333333333337</v>
      </c>
      <c r="C1494" s="3">
        <v>151.5</v>
      </c>
      <c r="D1494" s="3">
        <v>152.9</v>
      </c>
      <c r="E1494" s="3">
        <v>149.5</v>
      </c>
      <c r="F1494" s="3">
        <v>152.25</v>
      </c>
    </row>
    <row r="1495" spans="1:6" x14ac:dyDescent="0.25">
      <c r="A1495" s="1">
        <v>41249</v>
      </c>
      <c r="B1495" s="2">
        <v>0.58333333333333337</v>
      </c>
      <c r="C1495" s="3">
        <v>152.85</v>
      </c>
      <c r="D1495" s="3">
        <v>154.65</v>
      </c>
      <c r="E1495" s="3">
        <v>152.15</v>
      </c>
      <c r="F1495" s="3">
        <v>154.1</v>
      </c>
    </row>
    <row r="1496" spans="1:6" x14ac:dyDescent="0.25">
      <c r="A1496" s="1">
        <v>41250</v>
      </c>
      <c r="B1496" s="2">
        <v>0.58333333333333337</v>
      </c>
      <c r="C1496" s="3">
        <v>153.80000000000001</v>
      </c>
      <c r="D1496" s="3">
        <v>158.30000000000001</v>
      </c>
      <c r="E1496" s="3">
        <v>152.44999999999999</v>
      </c>
      <c r="F1496" s="3">
        <v>157</v>
      </c>
    </row>
    <row r="1497" spans="1:6" x14ac:dyDescent="0.25">
      <c r="A1497" s="1">
        <v>41253</v>
      </c>
      <c r="B1497" s="2">
        <v>0.58333333333333337</v>
      </c>
      <c r="C1497" s="3">
        <v>155.55000000000001</v>
      </c>
      <c r="D1497" s="3">
        <v>156.85</v>
      </c>
      <c r="E1497" s="3">
        <v>149.69999999999999</v>
      </c>
      <c r="F1497" s="3">
        <v>150.15</v>
      </c>
    </row>
    <row r="1498" spans="1:6" x14ac:dyDescent="0.25">
      <c r="A1498" s="1">
        <v>41254</v>
      </c>
      <c r="B1498" s="2">
        <v>0.58333333333333337</v>
      </c>
      <c r="C1498" s="3">
        <v>150.55000000000001</v>
      </c>
      <c r="D1498" s="3">
        <v>153.4</v>
      </c>
      <c r="E1498" s="3">
        <v>149.9</v>
      </c>
      <c r="F1498" s="3">
        <v>152.65</v>
      </c>
    </row>
    <row r="1499" spans="1:6" x14ac:dyDescent="0.25">
      <c r="A1499" s="1">
        <v>41255</v>
      </c>
      <c r="B1499" s="2">
        <v>0.58333333333333337</v>
      </c>
      <c r="C1499" s="3">
        <v>152.19999999999999</v>
      </c>
      <c r="D1499" s="3">
        <v>153.15</v>
      </c>
      <c r="E1499" s="3">
        <v>149.25</v>
      </c>
      <c r="F1499" s="3">
        <v>149.65</v>
      </c>
    </row>
    <row r="1500" spans="1:6" x14ac:dyDescent="0.25">
      <c r="A1500" s="1">
        <v>41256</v>
      </c>
      <c r="B1500" s="2">
        <v>0.58333333333333337</v>
      </c>
      <c r="C1500" s="3">
        <v>149.69999999999999</v>
      </c>
      <c r="D1500" s="3">
        <v>150.05000000000001</v>
      </c>
      <c r="E1500" s="3">
        <v>146.4</v>
      </c>
      <c r="F1500" s="3">
        <v>146.75</v>
      </c>
    </row>
    <row r="1501" spans="1:6" x14ac:dyDescent="0.25">
      <c r="A1501" s="1">
        <v>41257</v>
      </c>
      <c r="B1501" s="2">
        <v>0.58333333333333337</v>
      </c>
      <c r="C1501" s="3">
        <v>146.75</v>
      </c>
      <c r="D1501" s="3">
        <v>148.69999999999999</v>
      </c>
      <c r="E1501" s="3">
        <v>145.35</v>
      </c>
      <c r="F1501" s="3">
        <v>146.30000000000001</v>
      </c>
    </row>
    <row r="1502" spans="1:6" x14ac:dyDescent="0.25">
      <c r="A1502" s="1">
        <v>41260</v>
      </c>
      <c r="B1502" s="2">
        <v>0.58333333333333337</v>
      </c>
      <c r="C1502" s="3">
        <v>146.30000000000001</v>
      </c>
      <c r="D1502" s="3">
        <v>149.30000000000001</v>
      </c>
      <c r="E1502" s="3">
        <v>146.25</v>
      </c>
      <c r="F1502" s="3">
        <v>149.1</v>
      </c>
    </row>
    <row r="1503" spans="1:6" x14ac:dyDescent="0.25">
      <c r="A1503" s="1">
        <v>41261</v>
      </c>
      <c r="B1503" s="2">
        <v>0.58333333333333337</v>
      </c>
      <c r="C1503" s="3">
        <v>148.19999999999999</v>
      </c>
      <c r="D1503" s="3">
        <v>151.15</v>
      </c>
      <c r="E1503" s="3">
        <v>146.5</v>
      </c>
      <c r="F1503" s="3">
        <v>147.15</v>
      </c>
    </row>
    <row r="1504" spans="1:6" x14ac:dyDescent="0.25">
      <c r="A1504" s="1">
        <v>41262</v>
      </c>
      <c r="B1504" s="2">
        <v>0.58333333333333337</v>
      </c>
      <c r="C1504" s="3">
        <v>146.69999999999999</v>
      </c>
      <c r="D1504" s="3">
        <v>149</v>
      </c>
      <c r="E1504" s="3">
        <v>145.85</v>
      </c>
      <c r="F1504" s="3">
        <v>148.05000000000001</v>
      </c>
    </row>
    <row r="1505" spans="1:6" x14ac:dyDescent="0.25">
      <c r="A1505" s="1">
        <v>41263</v>
      </c>
      <c r="B1505" s="2">
        <v>0.58333333333333337</v>
      </c>
      <c r="C1505" s="3">
        <v>148.15</v>
      </c>
      <c r="D1505" s="3">
        <v>149.4</v>
      </c>
      <c r="E1505" s="3">
        <v>144.94999999999999</v>
      </c>
      <c r="F1505" s="3">
        <v>146.1</v>
      </c>
    </row>
    <row r="1506" spans="1:6" x14ac:dyDescent="0.25">
      <c r="A1506" s="1">
        <v>41264</v>
      </c>
      <c r="B1506" s="2">
        <v>0.58333333333333337</v>
      </c>
      <c r="C1506" s="3">
        <v>146.4</v>
      </c>
      <c r="D1506" s="3">
        <v>150</v>
      </c>
      <c r="E1506" s="3">
        <v>145</v>
      </c>
      <c r="F1506" s="3">
        <v>149.75</v>
      </c>
    </row>
    <row r="1507" spans="1:6" x14ac:dyDescent="0.25">
      <c r="A1507" s="1">
        <v>41267</v>
      </c>
      <c r="B1507" s="2">
        <v>0.58333333333333337</v>
      </c>
      <c r="C1507" s="3">
        <v>149.75</v>
      </c>
      <c r="D1507" s="3">
        <v>151.1</v>
      </c>
      <c r="E1507" s="3">
        <v>148.25</v>
      </c>
      <c r="F1507" s="3">
        <v>150.15</v>
      </c>
    </row>
    <row r="1508" spans="1:6" x14ac:dyDescent="0.25">
      <c r="A1508" s="1">
        <v>41269</v>
      </c>
      <c r="B1508" s="2">
        <v>0.58333333333333337</v>
      </c>
      <c r="C1508" s="3">
        <v>150.19999999999999</v>
      </c>
      <c r="D1508" s="3">
        <v>152.1</v>
      </c>
      <c r="E1508" s="3">
        <v>149</v>
      </c>
      <c r="F1508" s="3">
        <v>151.44999999999999</v>
      </c>
    </row>
    <row r="1509" spans="1:6" x14ac:dyDescent="0.25">
      <c r="A1509" s="1">
        <v>41270</v>
      </c>
      <c r="B1509" s="2">
        <v>0.58333333333333337</v>
      </c>
      <c r="C1509" s="3">
        <v>151.15</v>
      </c>
      <c r="D1509" s="3">
        <v>151.9</v>
      </c>
      <c r="E1509" s="3">
        <v>149.94999999999999</v>
      </c>
      <c r="F1509" s="3">
        <v>151.05000000000001</v>
      </c>
    </row>
    <row r="1510" spans="1:6" x14ac:dyDescent="0.25">
      <c r="A1510" s="1">
        <v>41271</v>
      </c>
      <c r="B1510" s="2">
        <v>0.58333333333333337</v>
      </c>
      <c r="C1510" s="3">
        <v>150.19999999999999</v>
      </c>
      <c r="D1510" s="3">
        <v>152.4</v>
      </c>
      <c r="E1510" s="3">
        <v>148.75</v>
      </c>
      <c r="F1510" s="3">
        <v>150</v>
      </c>
    </row>
    <row r="1511" spans="1:6" x14ac:dyDescent="0.25">
      <c r="A1511" s="1">
        <v>41274</v>
      </c>
      <c r="B1511" s="2">
        <v>0.58333333333333337</v>
      </c>
      <c r="C1511" s="3">
        <v>149.25</v>
      </c>
      <c r="D1511" s="3">
        <v>149.4</v>
      </c>
      <c r="E1511" s="3">
        <v>144.4</v>
      </c>
      <c r="F1511" s="3">
        <v>146.94999999999999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512"/>
  <sheetViews>
    <sheetView tabSelected="1" topLeftCell="B1" workbookViewId="0">
      <selection activeCell="I1" sqref="I1"/>
    </sheetView>
  </sheetViews>
  <sheetFormatPr defaultColWidth="8.85546875" defaultRowHeight="15" x14ac:dyDescent="0.25"/>
  <cols>
    <col min="1" max="1" width="10.5703125" style="4" bestFit="1" customWidth="1"/>
    <col min="2" max="2" width="5.5703125" style="5" bestFit="1" customWidth="1"/>
    <col min="3" max="6" width="6.5703125" style="6" bestFit="1" customWidth="1"/>
    <col min="7" max="7" width="8.85546875" style="7"/>
    <col min="8" max="8" width="8.85546875" style="6"/>
    <col min="9" max="9" width="8.85546875" style="7"/>
    <col min="10" max="10" width="8.85546875" style="6"/>
    <col min="11" max="13" width="8.85546875" style="7"/>
    <col min="14" max="14" width="8.85546875" style="6"/>
    <col min="15" max="15" width="8.85546875" style="7"/>
    <col min="16" max="16" width="8.85546875" style="6"/>
    <col min="17" max="17" width="8.85546875" style="7"/>
    <col min="18" max="18" width="9.28515625" style="9" bestFit="1" customWidth="1"/>
    <col min="19" max="19" width="8.85546875" style="7"/>
    <col min="20" max="20" width="10.7109375" style="7" bestFit="1" customWidth="1"/>
    <col min="21" max="21" width="14.7109375" style="7" customWidth="1"/>
    <col min="22" max="16384" width="8.85546875" style="7"/>
  </cols>
  <sheetData>
    <row r="1" spans="1:21" x14ac:dyDescent="0.25">
      <c r="A1" s="11" t="str">
        <f>Sheet1!A1</f>
        <v>Date</v>
      </c>
      <c r="B1" s="12" t="str">
        <f>Sheet1!B1</f>
        <v>Time</v>
      </c>
      <c r="C1" s="13" t="str">
        <f>Sheet1!C1</f>
        <v>Open</v>
      </c>
      <c r="D1" s="13" t="str">
        <f>Sheet1!D1</f>
        <v>High</v>
      </c>
      <c r="E1" s="13" t="str">
        <f>Sheet1!E1</f>
        <v>Low</v>
      </c>
      <c r="F1" s="13" t="str">
        <f>Sheet1!F1</f>
        <v>Close</v>
      </c>
      <c r="G1" s="14"/>
      <c r="H1" s="13" t="s">
        <v>6</v>
      </c>
      <c r="I1" s="16">
        <v>6</v>
      </c>
      <c r="J1" s="13" t="s">
        <v>7</v>
      </c>
      <c r="K1" s="16">
        <v>28</v>
      </c>
      <c r="L1" s="14" t="s">
        <v>8</v>
      </c>
      <c r="M1" s="14" t="s">
        <v>9</v>
      </c>
      <c r="N1" s="13" t="s">
        <v>10</v>
      </c>
      <c r="O1" s="14" t="s">
        <v>12</v>
      </c>
      <c r="P1" s="13" t="s">
        <v>11</v>
      </c>
      <c r="Q1" s="14" t="s">
        <v>31</v>
      </c>
      <c r="R1" s="15" t="s">
        <v>15</v>
      </c>
      <c r="S1" s="14" t="s">
        <v>30</v>
      </c>
      <c r="T1" s="14" t="s">
        <v>13</v>
      </c>
      <c r="U1" s="10">
        <f>SUM(P:P)*375</f>
        <v>4387.5000000000273</v>
      </c>
    </row>
    <row r="2" spans="1:21" x14ac:dyDescent="0.25">
      <c r="A2" s="4">
        <f>Sheet1!A2</f>
        <v>39085</v>
      </c>
      <c r="B2" s="5">
        <f>Sheet1!B2</f>
        <v>0.58333333333333337</v>
      </c>
      <c r="C2" s="6">
        <f>Sheet1!C2</f>
        <v>203.95</v>
      </c>
      <c r="D2" s="6">
        <f>Sheet1!D2</f>
        <v>205.45</v>
      </c>
      <c r="E2" s="6">
        <f>Sheet1!E2</f>
        <v>201.95</v>
      </c>
      <c r="F2" s="6">
        <f>Sheet1!F2</f>
        <v>203.15</v>
      </c>
      <c r="H2" s="6">
        <f ca="1">IF(ROW($H2)-1&lt;$I$1,$F2,AVERAGE($F2:OFFSET($F2,(($I$1-1)*-1),0)))</f>
        <v>203.15</v>
      </c>
      <c r="J2" s="6">
        <f ca="1">IF(ROW($J2)-1&lt;$K$1,$F2,AVERAGE($F2:OFFSET($F2,(($K$1-1)*-1),0)))</f>
        <v>203.15</v>
      </c>
      <c r="L2" s="7">
        <f>IF(ROW($L2)&gt;($K$1),IF($H2&gt;$J2,1,IF($H2&lt;$J2,-1,$L1*-1)),0)</f>
        <v>0</v>
      </c>
    </row>
    <row r="3" spans="1:21" x14ac:dyDescent="0.25">
      <c r="A3" s="4">
        <f>Sheet1!A3</f>
        <v>39086</v>
      </c>
      <c r="B3" s="5">
        <f>Sheet1!B3</f>
        <v>0.58333333333333337</v>
      </c>
      <c r="C3" s="6">
        <f>Sheet1!C3</f>
        <v>203.35</v>
      </c>
      <c r="D3" s="6">
        <f>Sheet1!D3</f>
        <v>204.8</v>
      </c>
      <c r="E3" s="6">
        <f>Sheet1!E3</f>
        <v>202.15</v>
      </c>
      <c r="F3" s="6">
        <f>Sheet1!F3</f>
        <v>204.55</v>
      </c>
      <c r="H3" s="6">
        <f ca="1">IF(ROW($H3)-1&lt;$I$1,$F3,AVERAGE($F3:OFFSET($F3,(($I$1-1)*-1),0)))</f>
        <v>204.55</v>
      </c>
      <c r="J3" s="6">
        <f ca="1">IF(ROW($J3)-1&lt;$K$1,$F3,AVERAGE($F3:OFFSET($F3,(($K$1-1)*-1),0)))</f>
        <v>204.55</v>
      </c>
      <c r="L3" s="7">
        <f t="shared" ref="L3:L66" si="0">IF(ROW($L3)&gt;($K$1),IF($H3&gt;$J3,1,IF($H3&lt;$J3,-1,$L2*-1)),0)</f>
        <v>0</v>
      </c>
      <c r="M3" s="7" t="str">
        <f>IF(L3&lt;&gt;L2,L3,"")</f>
        <v/>
      </c>
      <c r="N3" s="6" t="str">
        <f>IF(M2&lt;&gt;"",C3,"")</f>
        <v/>
      </c>
      <c r="O3" s="6">
        <f>F3-F2</f>
        <v>1.4000000000000057</v>
      </c>
      <c r="Q3" s="6"/>
      <c r="R3" s="9" t="str">
        <f>IF(Q3="","",Q3*375)</f>
        <v/>
      </c>
      <c r="T3" s="7" t="s">
        <v>16</v>
      </c>
      <c r="U3" s="7">
        <f ca="1">IF(COUNT(M2:M1511)&gt;0,COUNT(M2:M1511),0)</f>
        <v>71</v>
      </c>
    </row>
    <row r="4" spans="1:21" x14ac:dyDescent="0.25">
      <c r="A4" s="4">
        <f>Sheet1!A4</f>
        <v>39087</v>
      </c>
      <c r="B4" s="5">
        <f>Sheet1!B4</f>
        <v>0.58333333333333337</v>
      </c>
      <c r="C4" s="6">
        <f>Sheet1!C4</f>
        <v>202.8</v>
      </c>
      <c r="D4" s="6">
        <f>Sheet1!D4</f>
        <v>203.55</v>
      </c>
      <c r="E4" s="6">
        <f>Sheet1!E4</f>
        <v>199.15</v>
      </c>
      <c r="F4" s="6">
        <f>Sheet1!F4</f>
        <v>200</v>
      </c>
      <c r="H4" s="6">
        <f ca="1">IF(ROW($H4)-1&lt;$I$1,$F4,AVERAGE($F4:OFFSET($F4,(($I$1-1)*-1),0)))</f>
        <v>200</v>
      </c>
      <c r="J4" s="6">
        <f ca="1">IF(ROW($J4)-1&lt;$K$1,$F4,AVERAGE($F4:OFFSET($F4,(($K$1-1)*-1),0)))</f>
        <v>200</v>
      </c>
      <c r="L4" s="7">
        <f t="shared" si="0"/>
        <v>0</v>
      </c>
      <c r="M4" s="7" t="str">
        <f t="shared" ref="M4:M67" si="1">IF(L4&lt;&gt;L3,L4,"")</f>
        <v/>
      </c>
      <c r="N4" s="6" t="str">
        <f t="shared" ref="N4:N67" si="2">IF(M3&lt;&gt;"",C4,"")</f>
        <v/>
      </c>
      <c r="O4" s="6">
        <f t="shared" ref="O4:O67" si="3">F4-F3</f>
        <v>-4.5500000000000114</v>
      </c>
      <c r="Q4" s="6"/>
      <c r="R4" s="9" t="str">
        <f t="shared" ref="R4:R67" si="4">IF(Q4="","",Q4*375)</f>
        <v/>
      </c>
    </row>
    <row r="5" spans="1:21" x14ac:dyDescent="0.25">
      <c r="A5" s="4">
        <f>Sheet1!A5</f>
        <v>39090</v>
      </c>
      <c r="B5" s="5">
        <f>Sheet1!B5</f>
        <v>0.58333333333333337</v>
      </c>
      <c r="C5" s="6">
        <f>Sheet1!C5</f>
        <v>199.8</v>
      </c>
      <c r="D5" s="6">
        <f>Sheet1!D5</f>
        <v>200.45</v>
      </c>
      <c r="E5" s="6">
        <f>Sheet1!E5</f>
        <v>198.75</v>
      </c>
      <c r="F5" s="6">
        <f>Sheet1!F5</f>
        <v>199.65</v>
      </c>
      <c r="H5" s="6">
        <f ca="1">IF(ROW($H5)-1&lt;$I$1,$F5,AVERAGE($F5:OFFSET($F5,(($I$1-1)*-1),0)))</f>
        <v>199.65</v>
      </c>
      <c r="J5" s="6">
        <f ca="1">IF(ROW($J5)-1&lt;$K$1,$F5,AVERAGE($F5:OFFSET($F5,(($K$1-1)*-1),0)))</f>
        <v>199.65</v>
      </c>
      <c r="L5" s="7">
        <f t="shared" si="0"/>
        <v>0</v>
      </c>
      <c r="M5" s="7" t="str">
        <f t="shared" si="1"/>
        <v/>
      </c>
      <c r="N5" s="6" t="str">
        <f t="shared" si="2"/>
        <v/>
      </c>
      <c r="O5" s="6">
        <f t="shared" si="3"/>
        <v>-0.34999999999999432</v>
      </c>
      <c r="Q5" s="6"/>
      <c r="R5" s="9" t="str">
        <f t="shared" si="4"/>
        <v/>
      </c>
      <c r="T5" s="7" t="s">
        <v>17</v>
      </c>
      <c r="U5" s="10">
        <v>-5</v>
      </c>
    </row>
    <row r="6" spans="1:21" x14ac:dyDescent="0.25">
      <c r="A6" s="4">
        <f>Sheet1!A6</f>
        <v>39091</v>
      </c>
      <c r="B6" s="5">
        <f>Sheet1!B6</f>
        <v>0.58333333333333337</v>
      </c>
      <c r="C6" s="6">
        <f>Sheet1!C6</f>
        <v>198.95</v>
      </c>
      <c r="D6" s="6">
        <f>Sheet1!D6</f>
        <v>199.55</v>
      </c>
      <c r="E6" s="6">
        <f>Sheet1!E6</f>
        <v>197.55</v>
      </c>
      <c r="F6" s="6">
        <f>Sheet1!F6</f>
        <v>197.95</v>
      </c>
      <c r="H6" s="6">
        <f ca="1">IF(ROW($H6)-1&lt;$I$1,$F6,AVERAGE($F6:OFFSET($F6,(($I$1-1)*-1),0)))</f>
        <v>197.95</v>
      </c>
      <c r="J6" s="6">
        <f ca="1">IF(ROW($J6)-1&lt;$K$1,$F6,AVERAGE($F6:OFFSET($F6,(($K$1-1)*-1),0)))</f>
        <v>197.95</v>
      </c>
      <c r="L6" s="7">
        <f t="shared" si="0"/>
        <v>0</v>
      </c>
      <c r="M6" s="7" t="str">
        <f t="shared" si="1"/>
        <v/>
      </c>
      <c r="N6" s="6" t="str">
        <f t="shared" si="2"/>
        <v/>
      </c>
      <c r="O6" s="6">
        <f t="shared" si="3"/>
        <v>-1.7000000000000171</v>
      </c>
      <c r="Q6" s="6"/>
      <c r="R6" s="9" t="str">
        <f t="shared" si="4"/>
        <v/>
      </c>
      <c r="T6" s="7" t="s">
        <v>18</v>
      </c>
      <c r="U6" s="10">
        <f ca="1">(U3-1)*U5</f>
        <v>-350</v>
      </c>
    </row>
    <row r="7" spans="1:21" x14ac:dyDescent="0.25">
      <c r="A7" s="4">
        <f>Sheet1!A7</f>
        <v>39092</v>
      </c>
      <c r="B7" s="5">
        <f>Sheet1!B7</f>
        <v>0.58333333333333337</v>
      </c>
      <c r="C7" s="6">
        <f>Sheet1!C7</f>
        <v>197.65</v>
      </c>
      <c r="D7" s="6">
        <f>Sheet1!D7</f>
        <v>200.95</v>
      </c>
      <c r="E7" s="6">
        <f>Sheet1!E7</f>
        <v>197.65</v>
      </c>
      <c r="F7" s="6">
        <f>Sheet1!F7</f>
        <v>200.3</v>
      </c>
      <c r="H7" s="6">
        <f ca="1">IF(ROW($H7)-1&lt;$I$1,$F7,AVERAGE($F7:OFFSET($F7,(($I$1-1)*-1),0)))</f>
        <v>200.93333333333331</v>
      </c>
      <c r="J7" s="6">
        <f ca="1">IF(ROW($J7)-1&lt;$K$1,$F7,AVERAGE($F7:OFFSET($F7,(($K$1-1)*-1),0)))</f>
        <v>200.3</v>
      </c>
      <c r="L7" s="7">
        <f t="shared" si="0"/>
        <v>0</v>
      </c>
      <c r="M7" s="7" t="str">
        <f t="shared" si="1"/>
        <v/>
      </c>
      <c r="N7" s="6" t="str">
        <f t="shared" si="2"/>
        <v/>
      </c>
      <c r="O7" s="6">
        <f t="shared" si="3"/>
        <v>2.3500000000000227</v>
      </c>
      <c r="Q7" s="6"/>
      <c r="R7" s="9" t="str">
        <f t="shared" si="4"/>
        <v/>
      </c>
    </row>
    <row r="8" spans="1:21" x14ac:dyDescent="0.25">
      <c r="A8" s="4">
        <f>Sheet1!A8</f>
        <v>39093</v>
      </c>
      <c r="B8" s="5">
        <f>Sheet1!B8</f>
        <v>0.58333333333333337</v>
      </c>
      <c r="C8" s="6">
        <f>Sheet1!C8</f>
        <v>199.8</v>
      </c>
      <c r="D8" s="6">
        <f>Sheet1!D8</f>
        <v>201.3</v>
      </c>
      <c r="E8" s="6">
        <f>Sheet1!E8</f>
        <v>199.35</v>
      </c>
      <c r="F8" s="6">
        <f>Sheet1!F8</f>
        <v>200.2</v>
      </c>
      <c r="H8" s="6">
        <f ca="1">IF(ROW($H8)-1&lt;$I$1,$F8,AVERAGE($F8:OFFSET($F8,(($I$1-1)*-1),0)))</f>
        <v>200.44166666666669</v>
      </c>
      <c r="J8" s="6">
        <f ca="1">IF(ROW($J8)-1&lt;$K$1,$F8,AVERAGE($F8:OFFSET($F8,(($K$1-1)*-1),0)))</f>
        <v>200.2</v>
      </c>
      <c r="L8" s="7">
        <f t="shared" si="0"/>
        <v>0</v>
      </c>
      <c r="M8" s="7" t="str">
        <f t="shared" si="1"/>
        <v/>
      </c>
      <c r="N8" s="6" t="str">
        <f t="shared" si="2"/>
        <v/>
      </c>
      <c r="O8" s="6">
        <f t="shared" si="3"/>
        <v>-0.10000000000002274</v>
      </c>
      <c r="Q8" s="6"/>
      <c r="R8" s="9" t="str">
        <f t="shared" si="4"/>
        <v/>
      </c>
      <c r="T8" s="7" t="s">
        <v>19</v>
      </c>
      <c r="U8" s="10">
        <f ca="1">SUM(U1,U6)</f>
        <v>4037.5000000000273</v>
      </c>
    </row>
    <row r="9" spans="1:21" x14ac:dyDescent="0.25">
      <c r="A9" s="4">
        <f>Sheet1!A9</f>
        <v>39094</v>
      </c>
      <c r="B9" s="5">
        <f>Sheet1!B9</f>
        <v>0.58333333333333337</v>
      </c>
      <c r="C9" s="6">
        <f>Sheet1!C9</f>
        <v>199.05</v>
      </c>
      <c r="D9" s="6">
        <f>Sheet1!D9</f>
        <v>200.05</v>
      </c>
      <c r="E9" s="6">
        <f>Sheet1!E9</f>
        <v>199.05</v>
      </c>
      <c r="F9" s="6">
        <f>Sheet1!F9</f>
        <v>199.85</v>
      </c>
      <c r="H9" s="6">
        <f ca="1">IF(ROW($H9)-1&lt;$I$1,$F9,AVERAGE($F9:OFFSET($F9,(($I$1-1)*-1),0)))</f>
        <v>199.6583333333333</v>
      </c>
      <c r="J9" s="6">
        <f ca="1">IF(ROW($J9)-1&lt;$K$1,$F9,AVERAGE($F9:OFFSET($F9,(($K$1-1)*-1),0)))</f>
        <v>199.85</v>
      </c>
      <c r="L9" s="7">
        <f t="shared" si="0"/>
        <v>0</v>
      </c>
      <c r="M9" s="7" t="str">
        <f t="shared" si="1"/>
        <v/>
      </c>
      <c r="N9" s="6" t="str">
        <f t="shared" si="2"/>
        <v/>
      </c>
      <c r="O9" s="6">
        <f t="shared" si="3"/>
        <v>-0.34999999999999432</v>
      </c>
      <c r="Q9" s="6"/>
      <c r="R9" s="9" t="str">
        <f t="shared" si="4"/>
        <v/>
      </c>
      <c r="T9" s="7" t="s">
        <v>14</v>
      </c>
      <c r="U9" s="10">
        <f>R1511</f>
        <v>9431.2500000000018</v>
      </c>
    </row>
    <row r="10" spans="1:21" x14ac:dyDescent="0.25">
      <c r="A10" s="4">
        <f>Sheet1!A10</f>
        <v>39098</v>
      </c>
      <c r="B10" s="5">
        <f>Sheet1!B10</f>
        <v>0.58333333333333337</v>
      </c>
      <c r="C10" s="6">
        <f>Sheet1!C10</f>
        <v>200.15</v>
      </c>
      <c r="D10" s="6">
        <f>Sheet1!D10</f>
        <v>201.75</v>
      </c>
      <c r="E10" s="6">
        <f>Sheet1!E10</f>
        <v>199.65</v>
      </c>
      <c r="F10" s="6">
        <f>Sheet1!F10</f>
        <v>201.2</v>
      </c>
      <c r="H10" s="6">
        <f ca="1">IF(ROW($H10)-1&lt;$I$1,$F10,AVERAGE($F10:OFFSET($F10,(($I$1-1)*-1),0)))</f>
        <v>199.85833333333335</v>
      </c>
      <c r="J10" s="6">
        <f ca="1">IF(ROW($J10)-1&lt;$K$1,$F10,AVERAGE($F10:OFFSET($F10,(($K$1-1)*-1),0)))</f>
        <v>201.2</v>
      </c>
      <c r="L10" s="7">
        <f t="shared" si="0"/>
        <v>0</v>
      </c>
      <c r="M10" s="7" t="str">
        <f t="shared" si="1"/>
        <v/>
      </c>
      <c r="N10" s="6" t="str">
        <f t="shared" si="2"/>
        <v/>
      </c>
      <c r="O10" s="6">
        <f t="shared" si="3"/>
        <v>1.3499999999999943</v>
      </c>
      <c r="Q10" s="6"/>
      <c r="R10" s="9" t="str">
        <f t="shared" si="4"/>
        <v/>
      </c>
    </row>
    <row r="11" spans="1:21" x14ac:dyDescent="0.25">
      <c r="A11" s="4">
        <f>Sheet1!A11</f>
        <v>39099</v>
      </c>
      <c r="B11" s="5">
        <f>Sheet1!B11</f>
        <v>0.58333333333333337</v>
      </c>
      <c r="C11" s="6">
        <f>Sheet1!C11</f>
        <v>200.05</v>
      </c>
      <c r="D11" s="6">
        <f>Sheet1!D11</f>
        <v>201.3</v>
      </c>
      <c r="E11" s="6">
        <f>Sheet1!E11</f>
        <v>198.85</v>
      </c>
      <c r="F11" s="6">
        <f>Sheet1!F11</f>
        <v>201.15</v>
      </c>
      <c r="H11" s="6">
        <f ca="1">IF(ROW($H11)-1&lt;$I$1,$F11,AVERAGE($F11:OFFSET($F11,(($I$1-1)*-1),0)))</f>
        <v>200.10833333333335</v>
      </c>
      <c r="J11" s="6">
        <f ca="1">IF(ROW($J11)-1&lt;$K$1,$F11,AVERAGE($F11:OFFSET($F11,(($K$1-1)*-1),0)))</f>
        <v>201.15</v>
      </c>
      <c r="L11" s="7">
        <f t="shared" si="0"/>
        <v>0</v>
      </c>
      <c r="M11" s="7" t="str">
        <f t="shared" si="1"/>
        <v/>
      </c>
      <c r="N11" s="6" t="str">
        <f t="shared" si="2"/>
        <v/>
      </c>
      <c r="O11" s="6">
        <f t="shared" si="3"/>
        <v>-4.9999999999982947E-2</v>
      </c>
      <c r="Q11" s="6"/>
      <c r="R11" s="9" t="str">
        <f t="shared" si="4"/>
        <v/>
      </c>
      <c r="T11" s="7" t="s">
        <v>20</v>
      </c>
      <c r="U11" s="10">
        <f ca="1">SUM(U8:U9)</f>
        <v>13468.750000000029</v>
      </c>
    </row>
    <row r="12" spans="1:21" x14ac:dyDescent="0.25">
      <c r="A12" s="4">
        <f>Sheet1!A12</f>
        <v>39100</v>
      </c>
      <c r="B12" s="5">
        <f>Sheet1!B12</f>
        <v>0.58333333333333337</v>
      </c>
      <c r="C12" s="6">
        <f>Sheet1!C12</f>
        <v>200.65</v>
      </c>
      <c r="D12" s="6">
        <f>Sheet1!D12</f>
        <v>201.15</v>
      </c>
      <c r="E12" s="6">
        <f>Sheet1!E12</f>
        <v>199.15</v>
      </c>
      <c r="F12" s="6">
        <f>Sheet1!F12</f>
        <v>199.3</v>
      </c>
      <c r="H12" s="6">
        <f ca="1">IF(ROW($H12)-1&lt;$I$1,$F12,AVERAGE($F12:OFFSET($F12,(($I$1-1)*-1),0)))</f>
        <v>200.33333333333334</v>
      </c>
      <c r="J12" s="6">
        <f ca="1">IF(ROW($J12)-1&lt;$K$1,$F12,AVERAGE($F12:OFFSET($F12,(($K$1-1)*-1),0)))</f>
        <v>199.3</v>
      </c>
      <c r="L12" s="7">
        <f t="shared" si="0"/>
        <v>0</v>
      </c>
      <c r="M12" s="7" t="str">
        <f t="shared" si="1"/>
        <v/>
      </c>
      <c r="N12" s="6" t="str">
        <f t="shared" si="2"/>
        <v/>
      </c>
      <c r="O12" s="6">
        <f t="shared" si="3"/>
        <v>-1.8499999999999943</v>
      </c>
      <c r="Q12" s="6"/>
      <c r="R12" s="9" t="str">
        <f>IF(Q12="","",Q12*375)</f>
        <v/>
      </c>
    </row>
    <row r="13" spans="1:21" x14ac:dyDescent="0.25">
      <c r="A13" s="4">
        <f>Sheet1!A13</f>
        <v>39101</v>
      </c>
      <c r="B13" s="5">
        <f>Sheet1!B13</f>
        <v>0.58333333333333337</v>
      </c>
      <c r="C13" s="6">
        <f>Sheet1!C13</f>
        <v>198.8</v>
      </c>
      <c r="D13" s="6">
        <f>Sheet1!D13</f>
        <v>200.05</v>
      </c>
      <c r="E13" s="6">
        <f>Sheet1!E13</f>
        <v>198.8</v>
      </c>
      <c r="F13" s="6">
        <f>Sheet1!F13</f>
        <v>199.25</v>
      </c>
      <c r="H13" s="6">
        <f ca="1">IF(ROW($H13)-1&lt;$I$1,$F13,AVERAGE($F13:OFFSET($F13,(($I$1-1)*-1),0)))</f>
        <v>200.15833333333333</v>
      </c>
      <c r="J13" s="6">
        <f ca="1">IF(ROW($J13)-1&lt;$K$1,$F13,AVERAGE($F13:OFFSET($F13,(($K$1-1)*-1),0)))</f>
        <v>199.25</v>
      </c>
      <c r="L13" s="7">
        <f t="shared" si="0"/>
        <v>0</v>
      </c>
      <c r="M13" s="7" t="str">
        <f t="shared" si="1"/>
        <v/>
      </c>
      <c r="N13" s="6" t="str">
        <f t="shared" si="2"/>
        <v/>
      </c>
      <c r="O13" s="6">
        <f t="shared" si="3"/>
        <v>-5.0000000000011369E-2</v>
      </c>
      <c r="Q13" s="6"/>
      <c r="R13" s="9" t="str">
        <f t="shared" si="4"/>
        <v/>
      </c>
      <c r="T13" s="6"/>
      <c r="U13" s="6"/>
    </row>
    <row r="14" spans="1:21" x14ac:dyDescent="0.25">
      <c r="A14" s="4">
        <f>Sheet1!A14</f>
        <v>39104</v>
      </c>
      <c r="B14" s="5">
        <f>Sheet1!B14</f>
        <v>0.58333333333333337</v>
      </c>
      <c r="C14" s="6">
        <f>Sheet1!C14</f>
        <v>198.65</v>
      </c>
      <c r="D14" s="6">
        <f>Sheet1!D14</f>
        <v>199.15</v>
      </c>
      <c r="E14" s="6">
        <f>Sheet1!E14</f>
        <v>196.35</v>
      </c>
      <c r="F14" s="6">
        <f>Sheet1!F14</f>
        <v>196.9</v>
      </c>
      <c r="H14" s="6">
        <f ca="1">IF(ROW($H14)-1&lt;$I$1,$F14,AVERAGE($F14:OFFSET($F14,(($I$1-1)*-1),0)))</f>
        <v>199.60833333333335</v>
      </c>
      <c r="J14" s="6">
        <f ca="1">IF(ROW($J14)-1&lt;$K$1,$F14,AVERAGE($F14:OFFSET($F14,(($K$1-1)*-1),0)))</f>
        <v>196.9</v>
      </c>
      <c r="L14" s="7">
        <f t="shared" si="0"/>
        <v>0</v>
      </c>
      <c r="M14" s="7" t="str">
        <f t="shared" si="1"/>
        <v/>
      </c>
      <c r="N14" s="6" t="str">
        <f t="shared" si="2"/>
        <v/>
      </c>
      <c r="O14" s="6">
        <f t="shared" si="3"/>
        <v>-2.3499999999999943</v>
      </c>
      <c r="Q14" s="6"/>
      <c r="R14" s="9" t="str">
        <f t="shared" si="4"/>
        <v/>
      </c>
      <c r="S14" s="7">
        <f>S13+(P14*375)</f>
        <v>0</v>
      </c>
      <c r="T14" s="18" t="s">
        <v>21</v>
      </c>
    </row>
    <row r="15" spans="1:21" x14ac:dyDescent="0.25">
      <c r="A15" s="4">
        <f>Sheet1!A15</f>
        <v>39105</v>
      </c>
      <c r="B15" s="5">
        <f>Sheet1!B15</f>
        <v>0.58333333333333337</v>
      </c>
      <c r="C15" s="6">
        <f>Sheet1!C15</f>
        <v>196.45</v>
      </c>
      <c r="D15" s="6">
        <f>Sheet1!D15</f>
        <v>196.8</v>
      </c>
      <c r="E15" s="6">
        <f>Sheet1!E15</f>
        <v>194.9</v>
      </c>
      <c r="F15" s="6">
        <f>Sheet1!F15</f>
        <v>195.2</v>
      </c>
      <c r="H15" s="6">
        <f ca="1">IF(ROW($H15)-1&lt;$I$1,$F15,AVERAGE($F15:OFFSET($F15,(($I$1-1)*-1),0)))</f>
        <v>198.83333333333334</v>
      </c>
      <c r="J15" s="6">
        <f ca="1">IF(ROW($J15)-1&lt;$K$1,$F15,AVERAGE($F15:OFFSET($F15,(($K$1-1)*-1),0)))</f>
        <v>195.2</v>
      </c>
      <c r="L15" s="7">
        <f t="shared" si="0"/>
        <v>0</v>
      </c>
      <c r="M15" s="7" t="str">
        <f t="shared" si="1"/>
        <v/>
      </c>
      <c r="N15" s="6" t="str">
        <f t="shared" si="2"/>
        <v/>
      </c>
      <c r="O15" s="6">
        <f t="shared" si="3"/>
        <v>-1.7000000000000171</v>
      </c>
      <c r="Q15" s="6"/>
      <c r="R15" s="9" t="str">
        <f t="shared" si="4"/>
        <v/>
      </c>
      <c r="S15" s="7">
        <f>S14+(P15*375)</f>
        <v>0</v>
      </c>
      <c r="T15" s="17" t="s">
        <v>22</v>
      </c>
    </row>
    <row r="16" spans="1:21" x14ac:dyDescent="0.25">
      <c r="A16" s="4">
        <f>Sheet1!A16</f>
        <v>39106</v>
      </c>
      <c r="B16" s="5">
        <f>Sheet1!B16</f>
        <v>0.58333333333333337</v>
      </c>
      <c r="C16" s="6">
        <f>Sheet1!C16</f>
        <v>194.85</v>
      </c>
      <c r="D16" s="6">
        <f>Sheet1!D16</f>
        <v>196.85</v>
      </c>
      <c r="E16" s="6">
        <f>Sheet1!E16</f>
        <v>194.85</v>
      </c>
      <c r="F16" s="6">
        <f>Sheet1!F16</f>
        <v>196.5</v>
      </c>
      <c r="H16" s="6">
        <f ca="1">IF(ROW($H16)-1&lt;$I$1,$F16,AVERAGE($F16:OFFSET($F16,(($I$1-1)*-1),0)))</f>
        <v>198.04999999999998</v>
      </c>
      <c r="J16" s="6">
        <f ca="1">IF(ROW($J16)-1&lt;$K$1,$F16,AVERAGE($F16:OFFSET($F16,(($K$1-1)*-1),0)))</f>
        <v>196.5</v>
      </c>
      <c r="L16" s="7">
        <f t="shared" si="0"/>
        <v>0</v>
      </c>
      <c r="M16" s="7" t="str">
        <f t="shared" si="1"/>
        <v/>
      </c>
      <c r="N16" s="6" t="str">
        <f t="shared" si="2"/>
        <v/>
      </c>
      <c r="O16" s="6">
        <f t="shared" si="3"/>
        <v>1.3000000000000114</v>
      </c>
      <c r="Q16" s="6"/>
      <c r="R16" s="9" t="str">
        <f t="shared" si="4"/>
        <v/>
      </c>
      <c r="S16" s="7">
        <f t="shared" ref="S16:S79" si="5">S15+(P16*375)</f>
        <v>0</v>
      </c>
      <c r="T16" s="17" t="s">
        <v>23</v>
      </c>
    </row>
    <row r="17" spans="1:20" x14ac:dyDescent="0.25">
      <c r="A17" s="4">
        <f>Sheet1!A17</f>
        <v>39107</v>
      </c>
      <c r="B17" s="5">
        <f>Sheet1!B17</f>
        <v>0.58333333333333337</v>
      </c>
      <c r="C17" s="6">
        <f>Sheet1!C17</f>
        <v>196.05</v>
      </c>
      <c r="D17" s="6">
        <f>Sheet1!D17</f>
        <v>196.55</v>
      </c>
      <c r="E17" s="6">
        <f>Sheet1!E17</f>
        <v>195.45</v>
      </c>
      <c r="F17" s="6">
        <f>Sheet1!F17</f>
        <v>195.55</v>
      </c>
      <c r="H17" s="6">
        <f ca="1">IF(ROW($H17)-1&lt;$I$1,$F17,AVERAGE($F17:OFFSET($F17,(($I$1-1)*-1),0)))</f>
        <v>197.11666666666667</v>
      </c>
      <c r="J17" s="6">
        <f ca="1">IF(ROW($J17)-1&lt;$K$1,$F17,AVERAGE($F17:OFFSET($F17,(($K$1-1)*-1),0)))</f>
        <v>195.55</v>
      </c>
      <c r="L17" s="7">
        <f t="shared" si="0"/>
        <v>0</v>
      </c>
      <c r="M17" s="7" t="str">
        <f t="shared" si="1"/>
        <v/>
      </c>
      <c r="N17" s="6" t="str">
        <f t="shared" si="2"/>
        <v/>
      </c>
      <c r="O17" s="6">
        <f t="shared" si="3"/>
        <v>-0.94999999999998863</v>
      </c>
      <c r="Q17" s="6"/>
      <c r="R17" s="9" t="str">
        <f t="shared" si="4"/>
        <v/>
      </c>
      <c r="S17" s="7">
        <f t="shared" si="5"/>
        <v>0</v>
      </c>
      <c r="T17" s="17" t="s">
        <v>24</v>
      </c>
    </row>
    <row r="18" spans="1:20" x14ac:dyDescent="0.25">
      <c r="A18" s="4">
        <f>Sheet1!A18</f>
        <v>39108</v>
      </c>
      <c r="B18" s="5">
        <f>Sheet1!B18</f>
        <v>0.58333333333333337</v>
      </c>
      <c r="C18" s="6">
        <f>Sheet1!C18</f>
        <v>195.25</v>
      </c>
      <c r="D18" s="6">
        <f>Sheet1!D18</f>
        <v>196.15</v>
      </c>
      <c r="E18" s="6">
        <f>Sheet1!E18</f>
        <v>194.95</v>
      </c>
      <c r="F18" s="6">
        <f>Sheet1!F18</f>
        <v>195.85</v>
      </c>
      <c r="H18" s="6">
        <f ca="1">IF(ROW($H18)-1&lt;$I$1,$F18,AVERAGE($F18:OFFSET($F18,(($I$1-1)*-1),0)))</f>
        <v>196.54166666666663</v>
      </c>
      <c r="J18" s="6">
        <f ca="1">IF(ROW($J18)-1&lt;$K$1,$F18,AVERAGE($F18:OFFSET($F18,(($K$1-1)*-1),0)))</f>
        <v>195.85</v>
      </c>
      <c r="L18" s="7">
        <f t="shared" si="0"/>
        <v>0</v>
      </c>
      <c r="M18" s="7" t="str">
        <f t="shared" si="1"/>
        <v/>
      </c>
      <c r="N18" s="6" t="str">
        <f t="shared" si="2"/>
        <v/>
      </c>
      <c r="O18" s="6">
        <f t="shared" si="3"/>
        <v>0.29999999999998295</v>
      </c>
      <c r="Q18" s="6"/>
      <c r="R18" s="9" t="str">
        <f t="shared" si="4"/>
        <v/>
      </c>
      <c r="S18" s="7">
        <f t="shared" si="5"/>
        <v>0</v>
      </c>
      <c r="T18" s="17" t="s">
        <v>25</v>
      </c>
    </row>
    <row r="19" spans="1:20" x14ac:dyDescent="0.25">
      <c r="A19" s="4">
        <f>Sheet1!A19</f>
        <v>39111</v>
      </c>
      <c r="B19" s="5">
        <f>Sheet1!B19</f>
        <v>0.58333333333333337</v>
      </c>
      <c r="C19" s="6">
        <f>Sheet1!C19</f>
        <v>195.55</v>
      </c>
      <c r="D19" s="6">
        <f>Sheet1!D19</f>
        <v>197.25</v>
      </c>
      <c r="E19" s="6">
        <f>Sheet1!E19</f>
        <v>195.35</v>
      </c>
      <c r="F19" s="6">
        <f>Sheet1!F19</f>
        <v>196.15</v>
      </c>
      <c r="H19" s="6">
        <f ca="1">IF(ROW($H19)-1&lt;$I$1,$F19,AVERAGE($F19:OFFSET($F19,(($I$1-1)*-1),0)))</f>
        <v>196.02500000000001</v>
      </c>
      <c r="J19" s="6">
        <f ca="1">IF(ROW($J19)-1&lt;$K$1,$F19,AVERAGE($F19:OFFSET($F19,(($K$1-1)*-1),0)))</f>
        <v>196.15</v>
      </c>
      <c r="L19" s="7">
        <f t="shared" si="0"/>
        <v>0</v>
      </c>
      <c r="M19" s="7" t="str">
        <f t="shared" si="1"/>
        <v/>
      </c>
      <c r="N19" s="6" t="str">
        <f t="shared" si="2"/>
        <v/>
      </c>
      <c r="O19" s="6">
        <f t="shared" si="3"/>
        <v>0.30000000000001137</v>
      </c>
      <c r="Q19" s="6"/>
      <c r="R19" s="9" t="str">
        <f t="shared" si="4"/>
        <v/>
      </c>
      <c r="S19" s="7">
        <f t="shared" si="5"/>
        <v>0</v>
      </c>
      <c r="T19" s="17" t="s">
        <v>26</v>
      </c>
    </row>
    <row r="20" spans="1:20" x14ac:dyDescent="0.25">
      <c r="A20" s="4">
        <f>Sheet1!A20</f>
        <v>39112</v>
      </c>
      <c r="B20" s="5">
        <f>Sheet1!B20</f>
        <v>0.58333333333333337</v>
      </c>
      <c r="C20" s="6">
        <f>Sheet1!C20</f>
        <v>195.55</v>
      </c>
      <c r="D20" s="6">
        <f>Sheet1!D20</f>
        <v>196.65</v>
      </c>
      <c r="E20" s="6">
        <f>Sheet1!E20</f>
        <v>195.35</v>
      </c>
      <c r="F20" s="6">
        <f>Sheet1!F20</f>
        <v>196.1</v>
      </c>
      <c r="H20" s="6">
        <f ca="1">IF(ROW($H20)-1&lt;$I$1,$F20,AVERAGE($F20:OFFSET($F20,(($I$1-1)*-1),0)))</f>
        <v>195.89166666666665</v>
      </c>
      <c r="J20" s="6">
        <f ca="1">IF(ROW($J20)-1&lt;$K$1,$F20,AVERAGE($F20:OFFSET($F20,(($K$1-1)*-1),0)))</f>
        <v>196.1</v>
      </c>
      <c r="L20" s="7">
        <f t="shared" si="0"/>
        <v>0</v>
      </c>
      <c r="M20" s="7" t="str">
        <f t="shared" si="1"/>
        <v/>
      </c>
      <c r="N20" s="6" t="str">
        <f t="shared" si="2"/>
        <v/>
      </c>
      <c r="O20" s="6">
        <f t="shared" si="3"/>
        <v>-5.0000000000011369E-2</v>
      </c>
      <c r="Q20" s="6"/>
      <c r="R20" s="9" t="str">
        <f t="shared" si="4"/>
        <v/>
      </c>
      <c r="S20" s="7">
        <f t="shared" si="5"/>
        <v>0</v>
      </c>
      <c r="T20" s="17" t="s">
        <v>27</v>
      </c>
    </row>
    <row r="21" spans="1:20" x14ac:dyDescent="0.25">
      <c r="A21" s="4">
        <f>Sheet1!A21</f>
        <v>39113</v>
      </c>
      <c r="B21" s="5">
        <f>Sheet1!B21</f>
        <v>0.58333333333333337</v>
      </c>
      <c r="C21" s="6">
        <f>Sheet1!C21</f>
        <v>196.7</v>
      </c>
      <c r="D21" s="6">
        <f>Sheet1!D21</f>
        <v>197.85</v>
      </c>
      <c r="E21" s="6">
        <f>Sheet1!E21</f>
        <v>196.3</v>
      </c>
      <c r="F21" s="6">
        <f>Sheet1!F21</f>
        <v>197.2</v>
      </c>
      <c r="H21" s="6">
        <f ca="1">IF(ROW($H21)-1&lt;$I$1,$F21,AVERAGE($F21:OFFSET($F21,(($I$1-1)*-1),0)))</f>
        <v>196.22499999999999</v>
      </c>
      <c r="J21" s="6">
        <f ca="1">IF(ROW($J21)-1&lt;$K$1,$F21,AVERAGE($F21:OFFSET($F21,(($K$1-1)*-1),0)))</f>
        <v>197.2</v>
      </c>
      <c r="L21" s="7">
        <f t="shared" si="0"/>
        <v>0</v>
      </c>
      <c r="M21" s="7" t="str">
        <f t="shared" si="1"/>
        <v/>
      </c>
      <c r="N21" s="6" t="str">
        <f t="shared" si="2"/>
        <v/>
      </c>
      <c r="O21" s="6">
        <f t="shared" si="3"/>
        <v>1.0999999999999943</v>
      </c>
      <c r="Q21" s="6"/>
      <c r="R21" s="9" t="str">
        <f t="shared" si="4"/>
        <v/>
      </c>
      <c r="S21" s="7">
        <f t="shared" si="5"/>
        <v>0</v>
      </c>
      <c r="T21" s="17" t="s">
        <v>28</v>
      </c>
    </row>
    <row r="22" spans="1:20" x14ac:dyDescent="0.25">
      <c r="A22" s="4">
        <f>Sheet1!A22</f>
        <v>39114</v>
      </c>
      <c r="B22" s="5">
        <f>Sheet1!B22</f>
        <v>0.58333333333333337</v>
      </c>
      <c r="C22" s="6">
        <f>Sheet1!C22</f>
        <v>197.85</v>
      </c>
      <c r="D22" s="6">
        <f>Sheet1!D22</f>
        <v>198.85</v>
      </c>
      <c r="E22" s="6">
        <f>Sheet1!E22</f>
        <v>197.35</v>
      </c>
      <c r="F22" s="6">
        <f>Sheet1!F22</f>
        <v>198.3</v>
      </c>
      <c r="H22" s="6">
        <f ca="1">IF(ROW($H22)-1&lt;$I$1,$F22,AVERAGE($F22:OFFSET($F22,(($I$1-1)*-1),0)))</f>
        <v>196.52499999999998</v>
      </c>
      <c r="J22" s="6">
        <f ca="1">IF(ROW($J22)-1&lt;$K$1,$F22,AVERAGE($F22:OFFSET($F22,(($K$1-1)*-1),0)))</f>
        <v>198.3</v>
      </c>
      <c r="L22" s="7">
        <f t="shared" si="0"/>
        <v>0</v>
      </c>
      <c r="M22" s="7" t="str">
        <f t="shared" si="1"/>
        <v/>
      </c>
      <c r="N22" s="6" t="str">
        <f t="shared" si="2"/>
        <v/>
      </c>
      <c r="O22" s="6">
        <f t="shared" si="3"/>
        <v>1.1000000000000227</v>
      </c>
      <c r="Q22" s="6"/>
      <c r="R22" s="9" t="str">
        <f t="shared" si="4"/>
        <v/>
      </c>
      <c r="S22" s="7">
        <f t="shared" si="5"/>
        <v>0</v>
      </c>
      <c r="T22" s="17" t="s">
        <v>29</v>
      </c>
    </row>
    <row r="23" spans="1:20" x14ac:dyDescent="0.25">
      <c r="A23" s="4">
        <f>Sheet1!A23</f>
        <v>39115</v>
      </c>
      <c r="B23" s="5">
        <f>Sheet1!B23</f>
        <v>0.58333333333333337</v>
      </c>
      <c r="C23" s="6">
        <f>Sheet1!C23</f>
        <v>198.95</v>
      </c>
      <c r="D23" s="6">
        <f>Sheet1!D23</f>
        <v>198.95</v>
      </c>
      <c r="E23" s="6">
        <f>Sheet1!E23</f>
        <v>197.3</v>
      </c>
      <c r="F23" s="6">
        <f>Sheet1!F23</f>
        <v>197.8</v>
      </c>
      <c r="H23" s="6">
        <f ca="1">IF(ROW($H23)-1&lt;$I$1,$F23,AVERAGE($F23:OFFSET($F23,(($I$1-1)*-1),0)))</f>
        <v>196.89999999999998</v>
      </c>
      <c r="J23" s="6">
        <f ca="1">IF(ROW($J23)-1&lt;$K$1,$F23,AVERAGE($F23:OFFSET($F23,(($K$1-1)*-1),0)))</f>
        <v>197.8</v>
      </c>
      <c r="L23" s="7">
        <f t="shared" si="0"/>
        <v>0</v>
      </c>
      <c r="M23" s="7" t="str">
        <f t="shared" si="1"/>
        <v/>
      </c>
      <c r="N23" s="6" t="str">
        <f t="shared" si="2"/>
        <v/>
      </c>
      <c r="O23" s="6">
        <f t="shared" si="3"/>
        <v>-0.5</v>
      </c>
      <c r="Q23" s="6"/>
      <c r="R23" s="9" t="str">
        <f t="shared" si="4"/>
        <v/>
      </c>
      <c r="S23" s="7">
        <f t="shared" si="5"/>
        <v>0</v>
      </c>
    </row>
    <row r="24" spans="1:20" x14ac:dyDescent="0.25">
      <c r="A24" s="4">
        <f>Sheet1!A24</f>
        <v>39118</v>
      </c>
      <c r="B24" s="5">
        <f>Sheet1!B24</f>
        <v>0.58333333333333337</v>
      </c>
      <c r="C24" s="6">
        <f>Sheet1!C24</f>
        <v>197.85</v>
      </c>
      <c r="D24" s="6">
        <f>Sheet1!D24</f>
        <v>197.9</v>
      </c>
      <c r="E24" s="6">
        <f>Sheet1!E24</f>
        <v>195.65</v>
      </c>
      <c r="F24" s="6">
        <f>Sheet1!F24</f>
        <v>196.25</v>
      </c>
      <c r="H24" s="6">
        <f ca="1">IF(ROW($H24)-1&lt;$I$1,$F24,AVERAGE($F24:OFFSET($F24,(($I$1-1)*-1),0)))</f>
        <v>196.96666666666667</v>
      </c>
      <c r="J24" s="6">
        <f ca="1">IF(ROW($J24)-1&lt;$K$1,$F24,AVERAGE($F24:OFFSET($F24,(($K$1-1)*-1),0)))</f>
        <v>196.25</v>
      </c>
      <c r="L24" s="7">
        <f t="shared" si="0"/>
        <v>0</v>
      </c>
      <c r="M24" s="7" t="str">
        <f t="shared" si="1"/>
        <v/>
      </c>
      <c r="N24" s="6" t="str">
        <f t="shared" si="2"/>
        <v/>
      </c>
      <c r="O24" s="6">
        <f t="shared" si="3"/>
        <v>-1.5500000000000114</v>
      </c>
      <c r="Q24" s="6"/>
      <c r="R24" s="9" t="str">
        <f t="shared" si="4"/>
        <v/>
      </c>
      <c r="S24" s="7">
        <f t="shared" si="5"/>
        <v>0</v>
      </c>
    </row>
    <row r="25" spans="1:20" x14ac:dyDescent="0.25">
      <c r="A25" s="4">
        <f>Sheet1!A25</f>
        <v>39119</v>
      </c>
      <c r="B25" s="5">
        <f>Sheet1!B25</f>
        <v>0.58333333333333337</v>
      </c>
      <c r="C25" s="6">
        <f>Sheet1!C25</f>
        <v>196.55</v>
      </c>
      <c r="D25" s="6">
        <f>Sheet1!D25</f>
        <v>196.8</v>
      </c>
      <c r="E25" s="6">
        <f>Sheet1!E25</f>
        <v>195.8</v>
      </c>
      <c r="F25" s="6">
        <f>Sheet1!F25</f>
        <v>196.05</v>
      </c>
      <c r="H25" s="6">
        <f ca="1">IF(ROW($H25)-1&lt;$I$1,$F25,AVERAGE($F25:OFFSET($F25,(($I$1-1)*-1),0)))</f>
        <v>196.94999999999996</v>
      </c>
      <c r="J25" s="6">
        <f ca="1">IF(ROW($J25)-1&lt;$K$1,$F25,AVERAGE($F25:OFFSET($F25,(($K$1-1)*-1),0)))</f>
        <v>196.05</v>
      </c>
      <c r="L25" s="7">
        <f t="shared" si="0"/>
        <v>0</v>
      </c>
      <c r="M25" s="7" t="str">
        <f t="shared" si="1"/>
        <v/>
      </c>
      <c r="N25" s="6" t="str">
        <f t="shared" si="2"/>
        <v/>
      </c>
      <c r="O25" s="6">
        <f t="shared" si="3"/>
        <v>-0.19999999999998863</v>
      </c>
      <c r="Q25" s="6"/>
      <c r="R25" s="9" t="str">
        <f t="shared" si="4"/>
        <v/>
      </c>
      <c r="S25" s="7">
        <f t="shared" si="5"/>
        <v>0</v>
      </c>
    </row>
    <row r="26" spans="1:20" x14ac:dyDescent="0.25">
      <c r="A26" s="4">
        <f>Sheet1!A26</f>
        <v>39120</v>
      </c>
      <c r="B26" s="5">
        <f>Sheet1!B26</f>
        <v>0.58333333333333337</v>
      </c>
      <c r="C26" s="6">
        <f>Sheet1!C26</f>
        <v>195.95</v>
      </c>
      <c r="D26" s="6">
        <f>Sheet1!D26</f>
        <v>197.55</v>
      </c>
      <c r="E26" s="6">
        <f>Sheet1!E26</f>
        <v>195.85</v>
      </c>
      <c r="F26" s="6">
        <f>Sheet1!F26</f>
        <v>196.35</v>
      </c>
      <c r="H26" s="6">
        <f ca="1">IF(ROW($H26)-1&lt;$I$1,$F26,AVERAGE($F26:OFFSET($F26,(($I$1-1)*-1),0)))</f>
        <v>196.99166666666665</v>
      </c>
      <c r="J26" s="6">
        <f ca="1">IF(ROW($J26)-1&lt;$K$1,$F26,AVERAGE($F26:OFFSET($F26,(($K$1-1)*-1),0)))</f>
        <v>196.35</v>
      </c>
      <c r="L26" s="7">
        <f t="shared" si="0"/>
        <v>0</v>
      </c>
      <c r="M26" s="7" t="str">
        <f t="shared" si="1"/>
        <v/>
      </c>
      <c r="N26" s="6" t="str">
        <f t="shared" si="2"/>
        <v/>
      </c>
      <c r="O26" s="6">
        <f t="shared" si="3"/>
        <v>0.29999999999998295</v>
      </c>
      <c r="Q26" s="6"/>
      <c r="R26" s="9" t="str">
        <f t="shared" si="4"/>
        <v/>
      </c>
      <c r="S26" s="7">
        <f t="shared" si="5"/>
        <v>0</v>
      </c>
    </row>
    <row r="27" spans="1:20" x14ac:dyDescent="0.25">
      <c r="A27" s="4">
        <f>Sheet1!A27</f>
        <v>39121</v>
      </c>
      <c r="B27" s="5">
        <f>Sheet1!B27</f>
        <v>0.58333333333333337</v>
      </c>
      <c r="C27" s="6">
        <f>Sheet1!C27</f>
        <v>196.55</v>
      </c>
      <c r="D27" s="6">
        <f>Sheet1!D27</f>
        <v>196.55</v>
      </c>
      <c r="E27" s="6">
        <f>Sheet1!E27</f>
        <v>195.05</v>
      </c>
      <c r="F27" s="6">
        <f>Sheet1!F27</f>
        <v>195.05</v>
      </c>
      <c r="H27" s="6">
        <f ca="1">IF(ROW($H27)-1&lt;$I$1,$F27,AVERAGE($F27:OFFSET($F27,(($I$1-1)*-1),0)))</f>
        <v>196.63333333333335</v>
      </c>
      <c r="J27" s="6">
        <f ca="1">IF(ROW($J27)-1&lt;$K$1,$F27,AVERAGE($F27:OFFSET($F27,(($K$1-1)*-1),0)))</f>
        <v>195.05</v>
      </c>
      <c r="L27" s="7">
        <f t="shared" si="0"/>
        <v>0</v>
      </c>
      <c r="M27" s="7" t="str">
        <f t="shared" si="1"/>
        <v/>
      </c>
      <c r="N27" s="6" t="str">
        <f t="shared" si="2"/>
        <v/>
      </c>
      <c r="O27" s="6">
        <f t="shared" si="3"/>
        <v>-1.2999999999999829</v>
      </c>
      <c r="Q27" s="6"/>
      <c r="R27" s="9" t="str">
        <f t="shared" si="4"/>
        <v/>
      </c>
      <c r="S27" s="7">
        <f t="shared" si="5"/>
        <v>0</v>
      </c>
    </row>
    <row r="28" spans="1:20" x14ac:dyDescent="0.25">
      <c r="A28" s="4">
        <f>Sheet1!A28</f>
        <v>39122</v>
      </c>
      <c r="B28" s="5">
        <f>Sheet1!B28</f>
        <v>0.58333333333333337</v>
      </c>
      <c r="C28" s="6">
        <f>Sheet1!C28</f>
        <v>192.2</v>
      </c>
      <c r="D28" s="6">
        <f>Sheet1!D28</f>
        <v>192.4</v>
      </c>
      <c r="E28" s="6">
        <f>Sheet1!E28</f>
        <v>191.1</v>
      </c>
      <c r="F28" s="6">
        <f>Sheet1!F28</f>
        <v>191.2</v>
      </c>
      <c r="H28" s="6">
        <f ca="1">IF(ROW($H28)-1&lt;$I$1,$F28,AVERAGE($F28:OFFSET($F28,(($I$1-1)*-1),0)))</f>
        <v>195.45000000000002</v>
      </c>
      <c r="J28" s="6">
        <f ca="1">IF(ROW($J28)-1&lt;$K$1,$F28,AVERAGE($F28:OFFSET($F28,(($K$1-1)*-1),0)))</f>
        <v>191.2</v>
      </c>
      <c r="L28" s="7">
        <f t="shared" si="0"/>
        <v>0</v>
      </c>
      <c r="M28" s="7" t="str">
        <f t="shared" si="1"/>
        <v/>
      </c>
      <c r="N28" s="6" t="str">
        <f t="shared" si="2"/>
        <v/>
      </c>
      <c r="O28" s="6">
        <f t="shared" si="3"/>
        <v>-3.8500000000000227</v>
      </c>
      <c r="Q28" s="6"/>
      <c r="R28" s="9" t="str">
        <f t="shared" si="4"/>
        <v/>
      </c>
      <c r="S28" s="7">
        <f t="shared" si="5"/>
        <v>0</v>
      </c>
    </row>
    <row r="29" spans="1:20" x14ac:dyDescent="0.25">
      <c r="A29" s="4">
        <f>Sheet1!A29</f>
        <v>39125</v>
      </c>
      <c r="B29" s="5">
        <f>Sheet1!B29</f>
        <v>0.58333333333333337</v>
      </c>
      <c r="C29" s="6">
        <f>Sheet1!C29</f>
        <v>194.1</v>
      </c>
      <c r="D29" s="6">
        <f>Sheet1!D29</f>
        <v>194.3</v>
      </c>
      <c r="E29" s="6">
        <f>Sheet1!E29</f>
        <v>193.25</v>
      </c>
      <c r="F29" s="6">
        <f>Sheet1!F29</f>
        <v>193.45</v>
      </c>
      <c r="H29" s="6">
        <f ca="1">IF(ROW($H29)-1&lt;$I$1,$F29,AVERAGE($F29:OFFSET($F29,(($I$1-1)*-1),0)))</f>
        <v>194.72500000000002</v>
      </c>
      <c r="J29" s="6">
        <f ca="1">IF(ROW($J29)-1&lt;$K$1,$F29,AVERAGE($F29:OFFSET($F29,(($K$1-1)*-1),0)))</f>
        <v>197.87321428571431</v>
      </c>
      <c r="L29" s="7">
        <f t="shared" ca="1" si="0"/>
        <v>-1</v>
      </c>
      <c r="M29" s="7">
        <f t="shared" ca="1" si="1"/>
        <v>-1</v>
      </c>
      <c r="N29" s="6" t="str">
        <f t="shared" si="2"/>
        <v/>
      </c>
      <c r="O29" s="6">
        <f t="shared" si="3"/>
        <v>2.25</v>
      </c>
      <c r="Q29" s="6"/>
      <c r="R29" s="9" t="str">
        <f t="shared" si="4"/>
        <v/>
      </c>
      <c r="S29" s="7">
        <f t="shared" si="5"/>
        <v>0</v>
      </c>
    </row>
    <row r="30" spans="1:20" x14ac:dyDescent="0.25">
      <c r="A30" s="4">
        <f>Sheet1!A30</f>
        <v>39126</v>
      </c>
      <c r="B30" s="5">
        <f>Sheet1!B30</f>
        <v>0.58333333333333337</v>
      </c>
      <c r="C30" s="6">
        <f>Sheet1!C30</f>
        <v>193</v>
      </c>
      <c r="D30" s="6">
        <f>Sheet1!D30</f>
        <v>193.7</v>
      </c>
      <c r="E30" s="6">
        <f>Sheet1!E30</f>
        <v>192.4</v>
      </c>
      <c r="F30" s="6">
        <f>Sheet1!F30</f>
        <v>193.1</v>
      </c>
      <c r="H30" s="6">
        <f ca="1">IF(ROW($H30)-1&lt;$I$1,$F30,AVERAGE($F30:OFFSET($F30,(($I$1-1)*-1),0)))</f>
        <v>194.20000000000002</v>
      </c>
      <c r="J30" s="6">
        <f ca="1">IF(ROW($J30)-1&lt;$K$1,$F30,AVERAGE($F30:OFFSET($F30,(($K$1-1)*-1),0)))</f>
        <v>197.51428571428573</v>
      </c>
      <c r="L30" s="7">
        <f t="shared" ca="1" si="0"/>
        <v>-1</v>
      </c>
      <c r="M30" s="7" t="str">
        <f t="shared" ca="1" si="1"/>
        <v/>
      </c>
      <c r="N30" s="6">
        <f t="shared" ca="1" si="2"/>
        <v>193</v>
      </c>
      <c r="O30" s="6">
        <f t="shared" si="3"/>
        <v>-0.34999999999999432</v>
      </c>
      <c r="Q30" s="6">
        <v>-9.9999999999994316E-2</v>
      </c>
      <c r="R30" s="9">
        <f t="shared" si="4"/>
        <v>-37.499999999997868</v>
      </c>
      <c r="S30" s="7">
        <f t="shared" si="5"/>
        <v>0</v>
      </c>
    </row>
    <row r="31" spans="1:20" x14ac:dyDescent="0.25">
      <c r="A31" s="4">
        <f>Sheet1!A31</f>
        <v>39127</v>
      </c>
      <c r="B31" s="5">
        <f>Sheet1!B31</f>
        <v>0.58333333333333337</v>
      </c>
      <c r="C31" s="6">
        <f>Sheet1!C31</f>
        <v>193.9</v>
      </c>
      <c r="D31" s="6">
        <f>Sheet1!D31</f>
        <v>194.25</v>
      </c>
      <c r="E31" s="6">
        <f>Sheet1!E31</f>
        <v>193.1</v>
      </c>
      <c r="F31" s="6">
        <f>Sheet1!F31</f>
        <v>193.2</v>
      </c>
      <c r="H31" s="6">
        <f ca="1">IF(ROW($H31)-1&lt;$I$1,$F31,AVERAGE($F31:OFFSET($F31,(($I$1-1)*-1),0)))</f>
        <v>193.72499999999999</v>
      </c>
      <c r="J31" s="6">
        <f ca="1">IF(ROW($J31)-1&lt;$K$1,$F31,AVERAGE($F31:OFFSET($F31,(($K$1-1)*-1),0)))</f>
        <v>197.10892857142858</v>
      </c>
      <c r="L31" s="7">
        <f t="shared" ca="1" si="0"/>
        <v>-1</v>
      </c>
      <c r="M31" s="7" t="str">
        <f t="shared" ca="1" si="1"/>
        <v/>
      </c>
      <c r="N31" s="6" t="str">
        <f t="shared" ca="1" si="2"/>
        <v/>
      </c>
      <c r="O31" s="6">
        <f t="shared" si="3"/>
        <v>9.9999999999994316E-2</v>
      </c>
      <c r="Q31" s="6">
        <v>-0.19999999999998863</v>
      </c>
      <c r="R31" s="9">
        <f t="shared" si="4"/>
        <v>-74.999999999995737</v>
      </c>
      <c r="S31" s="7">
        <f t="shared" si="5"/>
        <v>0</v>
      </c>
    </row>
    <row r="32" spans="1:20" x14ac:dyDescent="0.25">
      <c r="A32" s="4">
        <f>Sheet1!A32</f>
        <v>39128</v>
      </c>
      <c r="B32" s="5">
        <f>Sheet1!B32</f>
        <v>0.58333333333333337</v>
      </c>
      <c r="C32" s="6">
        <f>Sheet1!C32</f>
        <v>193.65</v>
      </c>
      <c r="D32" s="6">
        <f>Sheet1!D32</f>
        <v>194.7</v>
      </c>
      <c r="E32" s="6">
        <f>Sheet1!E32</f>
        <v>193.65</v>
      </c>
      <c r="F32" s="6">
        <f>Sheet1!F32</f>
        <v>194.35</v>
      </c>
      <c r="H32" s="6">
        <f ca="1">IF(ROW($H32)-1&lt;$I$1,$F32,AVERAGE($F32:OFFSET($F32,(($I$1-1)*-1),0)))</f>
        <v>193.39166666666665</v>
      </c>
      <c r="J32" s="6">
        <f ca="1">IF(ROW($J32)-1&lt;$K$1,$F32,AVERAGE($F32:OFFSET($F32,(($K$1-1)*-1),0)))</f>
        <v>196.9071428571429</v>
      </c>
      <c r="L32" s="7">
        <f t="shared" ca="1" si="0"/>
        <v>-1</v>
      </c>
      <c r="M32" s="7" t="str">
        <f t="shared" ca="1" si="1"/>
        <v/>
      </c>
      <c r="N32" s="6" t="str">
        <f t="shared" ca="1" si="2"/>
        <v/>
      </c>
      <c r="O32" s="6">
        <f t="shared" si="3"/>
        <v>1.1500000000000057</v>
      </c>
      <c r="Q32" s="6">
        <v>-1.3499999999999943</v>
      </c>
      <c r="R32" s="9">
        <f t="shared" si="4"/>
        <v>-506.24999999999784</v>
      </c>
      <c r="S32" s="7">
        <f t="shared" si="5"/>
        <v>0</v>
      </c>
    </row>
    <row r="33" spans="1:19" x14ac:dyDescent="0.25">
      <c r="A33" s="4">
        <f>Sheet1!A33</f>
        <v>39129</v>
      </c>
      <c r="B33" s="5">
        <f>Sheet1!B33</f>
        <v>0.58333333333333337</v>
      </c>
      <c r="C33" s="6">
        <f>Sheet1!C33</f>
        <v>192.9</v>
      </c>
      <c r="D33" s="6">
        <f>Sheet1!D33</f>
        <v>193.8</v>
      </c>
      <c r="E33" s="6">
        <f>Sheet1!E33</f>
        <v>192.3</v>
      </c>
      <c r="F33" s="6">
        <f>Sheet1!F33</f>
        <v>192.5</v>
      </c>
      <c r="H33" s="6">
        <f ca="1">IF(ROW($H33)-1&lt;$I$1,$F33,AVERAGE($F33:OFFSET($F33,(($I$1-1)*-1),0)))</f>
        <v>192.9666666666667</v>
      </c>
      <c r="J33" s="6">
        <f ca="1">IF(ROW($J33)-1&lt;$K$1,$F33,AVERAGE($F33:OFFSET($F33,(($K$1-1)*-1),0)))</f>
        <v>196.65178571428575</v>
      </c>
      <c r="L33" s="7">
        <f t="shared" ca="1" si="0"/>
        <v>-1</v>
      </c>
      <c r="M33" s="7" t="str">
        <f t="shared" ca="1" si="1"/>
        <v/>
      </c>
      <c r="N33" s="6" t="str">
        <f t="shared" ca="1" si="2"/>
        <v/>
      </c>
      <c r="O33" s="6">
        <f t="shared" si="3"/>
        <v>-1.8499999999999943</v>
      </c>
      <c r="Q33" s="6">
        <v>0.5</v>
      </c>
      <c r="R33" s="9">
        <f t="shared" si="4"/>
        <v>187.5</v>
      </c>
      <c r="S33" s="7">
        <f t="shared" si="5"/>
        <v>0</v>
      </c>
    </row>
    <row r="34" spans="1:19" x14ac:dyDescent="0.25">
      <c r="A34" s="4">
        <f>Sheet1!A34</f>
        <v>39133</v>
      </c>
      <c r="B34" s="5">
        <f>Sheet1!B34</f>
        <v>0.58333333333333337</v>
      </c>
      <c r="C34" s="6">
        <f>Sheet1!C34</f>
        <v>192.1</v>
      </c>
      <c r="D34" s="6">
        <f>Sheet1!D34</f>
        <v>192.85</v>
      </c>
      <c r="E34" s="6">
        <f>Sheet1!E34</f>
        <v>191.6</v>
      </c>
      <c r="F34" s="6">
        <f>Sheet1!F34</f>
        <v>191.7</v>
      </c>
      <c r="H34" s="6">
        <f ca="1">IF(ROW($H34)-1&lt;$I$1,$F34,AVERAGE($F34:OFFSET($F34,(($I$1-1)*-1),0)))</f>
        <v>193.04999999999998</v>
      </c>
      <c r="J34" s="6">
        <f ca="1">IF(ROW($J34)-1&lt;$K$1,$F34,AVERAGE($F34:OFFSET($F34,(($K$1-1)*-1),0)))</f>
        <v>196.42857142857142</v>
      </c>
      <c r="L34" s="7">
        <f t="shared" ca="1" si="0"/>
        <v>-1</v>
      </c>
      <c r="M34" s="7" t="str">
        <f t="shared" ca="1" si="1"/>
        <v/>
      </c>
      <c r="N34" s="6" t="str">
        <f t="shared" ca="1" si="2"/>
        <v/>
      </c>
      <c r="O34" s="6">
        <f t="shared" si="3"/>
        <v>-0.80000000000001137</v>
      </c>
      <c r="Q34" s="6">
        <v>1.3000000000000114</v>
      </c>
      <c r="R34" s="9">
        <f t="shared" si="4"/>
        <v>487.50000000000426</v>
      </c>
      <c r="S34" s="7">
        <f t="shared" si="5"/>
        <v>0</v>
      </c>
    </row>
    <row r="35" spans="1:19" x14ac:dyDescent="0.25">
      <c r="A35" s="4">
        <f>Sheet1!A35</f>
        <v>39134</v>
      </c>
      <c r="B35" s="5">
        <f>Sheet1!B35</f>
        <v>0.58333333333333337</v>
      </c>
      <c r="C35" s="6">
        <f>Sheet1!C35</f>
        <v>191.6</v>
      </c>
      <c r="D35" s="6">
        <f>Sheet1!D35</f>
        <v>193.8</v>
      </c>
      <c r="E35" s="6">
        <f>Sheet1!E35</f>
        <v>190.8</v>
      </c>
      <c r="F35" s="6">
        <f>Sheet1!F35</f>
        <v>192.6</v>
      </c>
      <c r="H35" s="6">
        <f ca="1">IF(ROW($H35)-1&lt;$I$1,$F35,AVERAGE($F35:OFFSET($F35,(($I$1-1)*-1),0)))</f>
        <v>192.9083333333333</v>
      </c>
      <c r="J35" s="6">
        <f ca="1">IF(ROW($J35)-1&lt;$K$1,$F35,AVERAGE($F35:OFFSET($F35,(($K$1-1)*-1),0)))</f>
        <v>196.15357142857147</v>
      </c>
      <c r="L35" s="7">
        <f t="shared" ca="1" si="0"/>
        <v>-1</v>
      </c>
      <c r="M35" s="7" t="str">
        <f t="shared" ca="1" si="1"/>
        <v/>
      </c>
      <c r="N35" s="6" t="str">
        <f t="shared" ca="1" si="2"/>
        <v/>
      </c>
      <c r="O35" s="6">
        <f t="shared" si="3"/>
        <v>0.90000000000000568</v>
      </c>
      <c r="Q35" s="6">
        <v>0.40000000000000568</v>
      </c>
      <c r="R35" s="9">
        <f t="shared" si="4"/>
        <v>150.00000000000213</v>
      </c>
      <c r="S35" s="7">
        <f t="shared" si="5"/>
        <v>0</v>
      </c>
    </row>
    <row r="36" spans="1:19" x14ac:dyDescent="0.25">
      <c r="A36" s="4">
        <f>Sheet1!A36</f>
        <v>39135</v>
      </c>
      <c r="B36" s="5">
        <f>Sheet1!B36</f>
        <v>0.58333333333333337</v>
      </c>
      <c r="C36" s="6">
        <f>Sheet1!C36</f>
        <v>193.2</v>
      </c>
      <c r="D36" s="6">
        <f>Sheet1!D36</f>
        <v>197.5</v>
      </c>
      <c r="E36" s="6">
        <f>Sheet1!E36</f>
        <v>192.55</v>
      </c>
      <c r="F36" s="6">
        <f>Sheet1!F36</f>
        <v>196.6</v>
      </c>
      <c r="H36" s="6">
        <f ca="1">IF(ROW($H36)-1&lt;$I$1,$F36,AVERAGE($F36:OFFSET($F36,(($I$1-1)*-1),0)))</f>
        <v>193.49166666666667</v>
      </c>
      <c r="J36" s="6">
        <f ca="1">IF(ROW($J36)-1&lt;$K$1,$F36,AVERAGE($F36:OFFSET($F36,(($K$1-1)*-1),0)))</f>
        <v>196.02500000000006</v>
      </c>
      <c r="L36" s="7">
        <f t="shared" ca="1" si="0"/>
        <v>-1</v>
      </c>
      <c r="M36" s="7" t="str">
        <f t="shared" ca="1" si="1"/>
        <v/>
      </c>
      <c r="N36" s="6" t="str">
        <f t="shared" ca="1" si="2"/>
        <v/>
      </c>
      <c r="O36" s="6">
        <f t="shared" si="3"/>
        <v>4</v>
      </c>
      <c r="Q36" s="6">
        <v>-3.5999999999999943</v>
      </c>
      <c r="R36" s="9">
        <f t="shared" si="4"/>
        <v>-1349.999999999998</v>
      </c>
      <c r="S36" s="7">
        <f t="shared" si="5"/>
        <v>0</v>
      </c>
    </row>
    <row r="37" spans="1:19" x14ac:dyDescent="0.25">
      <c r="A37" s="4">
        <f>Sheet1!A37</f>
        <v>39136</v>
      </c>
      <c r="B37" s="5">
        <f>Sheet1!B37</f>
        <v>0.58333333333333337</v>
      </c>
      <c r="C37" s="6">
        <f>Sheet1!C37</f>
        <v>197.5</v>
      </c>
      <c r="D37" s="6">
        <f>Sheet1!D37</f>
        <v>197.5</v>
      </c>
      <c r="E37" s="6">
        <f>Sheet1!E37</f>
        <v>196.1</v>
      </c>
      <c r="F37" s="6">
        <f>Sheet1!F37</f>
        <v>197</v>
      </c>
      <c r="H37" s="6">
        <f ca="1">IF(ROW($H37)-1&lt;$I$1,$F37,AVERAGE($F37:OFFSET($F37,(($I$1-1)*-1),0)))</f>
        <v>194.125</v>
      </c>
      <c r="J37" s="6">
        <f ca="1">IF(ROW($J37)-1&lt;$K$1,$F37,AVERAGE($F37:OFFSET($F37,(($K$1-1)*-1),0)))</f>
        <v>195.92321428571432</v>
      </c>
      <c r="L37" s="7">
        <f t="shared" ca="1" si="0"/>
        <v>-1</v>
      </c>
      <c r="M37" s="7" t="str">
        <f t="shared" ca="1" si="1"/>
        <v/>
      </c>
      <c r="N37" s="6" t="str">
        <f t="shared" ca="1" si="2"/>
        <v/>
      </c>
      <c r="O37" s="6">
        <f t="shared" si="3"/>
        <v>0.40000000000000568</v>
      </c>
      <c r="Q37" s="6">
        <v>-4</v>
      </c>
      <c r="R37" s="9">
        <f t="shared" si="4"/>
        <v>-1500</v>
      </c>
      <c r="S37" s="7">
        <f t="shared" si="5"/>
        <v>0</v>
      </c>
    </row>
    <row r="38" spans="1:19" x14ac:dyDescent="0.25">
      <c r="A38" s="4">
        <f>Sheet1!A38</f>
        <v>39139</v>
      </c>
      <c r="B38" s="5">
        <f>Sheet1!B38</f>
        <v>0.58333333333333337</v>
      </c>
      <c r="C38" s="6">
        <f>Sheet1!C38</f>
        <v>196.2</v>
      </c>
      <c r="D38" s="6">
        <f>Sheet1!D38</f>
        <v>196.6</v>
      </c>
      <c r="E38" s="6">
        <f>Sheet1!E38</f>
        <v>194.9</v>
      </c>
      <c r="F38" s="6">
        <f>Sheet1!F38</f>
        <v>195.5</v>
      </c>
      <c r="H38" s="6">
        <f ca="1">IF(ROW($H38)-1&lt;$I$1,$F38,AVERAGE($F38:OFFSET($F38,(($I$1-1)*-1),0)))</f>
        <v>194.31666666666669</v>
      </c>
      <c r="J38" s="6">
        <f ca="1">IF(ROW($J38)-1&lt;$K$1,$F38,AVERAGE($F38:OFFSET($F38,(($K$1-1)*-1),0)))</f>
        <v>195.71964285714287</v>
      </c>
      <c r="L38" s="7">
        <f t="shared" ca="1" si="0"/>
        <v>-1</v>
      </c>
      <c r="M38" s="7" t="str">
        <f t="shared" ca="1" si="1"/>
        <v/>
      </c>
      <c r="N38" s="6" t="str">
        <f t="shared" ca="1" si="2"/>
        <v/>
      </c>
      <c r="O38" s="6">
        <f t="shared" si="3"/>
        <v>-1.5</v>
      </c>
      <c r="Q38" s="6">
        <v>-2.5</v>
      </c>
      <c r="R38" s="9">
        <f t="shared" si="4"/>
        <v>-937.5</v>
      </c>
      <c r="S38" s="7">
        <f t="shared" si="5"/>
        <v>0</v>
      </c>
    </row>
    <row r="39" spans="1:19" x14ac:dyDescent="0.25">
      <c r="A39" s="4">
        <f>Sheet1!A39</f>
        <v>39140</v>
      </c>
      <c r="B39" s="5">
        <f>Sheet1!B39</f>
        <v>0.58333333333333337</v>
      </c>
      <c r="C39" s="6">
        <f>Sheet1!C39</f>
        <v>195.2</v>
      </c>
      <c r="D39" s="6">
        <f>Sheet1!D39</f>
        <v>195.3</v>
      </c>
      <c r="E39" s="6">
        <f>Sheet1!E39</f>
        <v>194.1</v>
      </c>
      <c r="F39" s="6">
        <f>Sheet1!F39</f>
        <v>194.8</v>
      </c>
      <c r="H39" s="6">
        <f ca="1">IF(ROW($H39)-1&lt;$I$1,$F39,AVERAGE($F39:OFFSET($F39,(($I$1-1)*-1),0)))</f>
        <v>194.70000000000002</v>
      </c>
      <c r="J39" s="6">
        <f ca="1">IF(ROW($J39)-1&lt;$K$1,$F39,AVERAGE($F39:OFFSET($F39,(($K$1-1)*-1),0)))</f>
        <v>195.49285714285719</v>
      </c>
      <c r="L39" s="7">
        <f t="shared" ca="1" si="0"/>
        <v>-1</v>
      </c>
      <c r="M39" s="7" t="str">
        <f t="shared" ca="1" si="1"/>
        <v/>
      </c>
      <c r="N39" s="6" t="str">
        <f t="shared" ca="1" si="2"/>
        <v/>
      </c>
      <c r="O39" s="6">
        <f t="shared" si="3"/>
        <v>-0.69999999999998863</v>
      </c>
      <c r="Q39" s="6">
        <v>-1.8000000000000114</v>
      </c>
      <c r="R39" s="9">
        <f t="shared" si="4"/>
        <v>-675.00000000000432</v>
      </c>
      <c r="S39" s="7">
        <f t="shared" si="5"/>
        <v>0</v>
      </c>
    </row>
    <row r="40" spans="1:19" x14ac:dyDescent="0.25">
      <c r="A40" s="4">
        <f>Sheet1!A40</f>
        <v>39141</v>
      </c>
      <c r="B40" s="5">
        <f>Sheet1!B40</f>
        <v>0.58333333333333337</v>
      </c>
      <c r="C40" s="6">
        <f>Sheet1!C40</f>
        <v>194.8</v>
      </c>
      <c r="D40" s="6">
        <f>Sheet1!D40</f>
        <v>196.45</v>
      </c>
      <c r="E40" s="6">
        <f>Sheet1!E40</f>
        <v>193.9</v>
      </c>
      <c r="F40" s="6">
        <f>Sheet1!F40</f>
        <v>194.75</v>
      </c>
      <c r="H40" s="6">
        <f ca="1">IF(ROW($H40)-1&lt;$I$1,$F40,AVERAGE($F40:OFFSET($F40,(($I$1-1)*-1),0)))</f>
        <v>195.20833333333334</v>
      </c>
      <c r="J40" s="6">
        <f ca="1">IF(ROW($J40)-1&lt;$K$1,$F40,AVERAGE($F40:OFFSET($F40,(($K$1-1)*-1),0)))</f>
        <v>195.33035714285714</v>
      </c>
      <c r="L40" s="7">
        <f t="shared" ca="1" si="0"/>
        <v>-1</v>
      </c>
      <c r="M40" s="7" t="str">
        <f t="shared" ca="1" si="1"/>
        <v/>
      </c>
      <c r="N40" s="6" t="str">
        <f t="shared" ca="1" si="2"/>
        <v/>
      </c>
      <c r="O40" s="6">
        <f t="shared" si="3"/>
        <v>-5.0000000000011369E-2</v>
      </c>
      <c r="Q40" s="6">
        <v>-1.75</v>
      </c>
      <c r="R40" s="9">
        <f t="shared" si="4"/>
        <v>-656.25</v>
      </c>
      <c r="S40" s="7">
        <f t="shared" si="5"/>
        <v>0</v>
      </c>
    </row>
    <row r="41" spans="1:19" x14ac:dyDescent="0.25">
      <c r="A41" s="4">
        <f>Sheet1!A41</f>
        <v>39142</v>
      </c>
      <c r="B41" s="5">
        <f>Sheet1!B41</f>
        <v>0.58333333333333337</v>
      </c>
      <c r="C41" s="6">
        <f>Sheet1!C41</f>
        <v>193.6</v>
      </c>
      <c r="D41" s="6">
        <f>Sheet1!D41</f>
        <v>193.7</v>
      </c>
      <c r="E41" s="6">
        <f>Sheet1!E41</f>
        <v>191.5</v>
      </c>
      <c r="F41" s="6">
        <f>Sheet1!F41</f>
        <v>193</v>
      </c>
      <c r="H41" s="6">
        <f ca="1">IF(ROW($H41)-1&lt;$I$1,$F41,AVERAGE($F41:OFFSET($F41,(($I$1-1)*-1),0)))</f>
        <v>195.27500000000001</v>
      </c>
      <c r="J41" s="6">
        <f ca="1">IF(ROW($J41)-1&lt;$K$1,$F41,AVERAGE($F41:OFFSET($F41,(($K$1-1)*-1),0)))</f>
        <v>195.10714285714289</v>
      </c>
      <c r="L41" s="7">
        <f t="shared" ca="1" si="0"/>
        <v>1</v>
      </c>
      <c r="M41" s="7">
        <f t="shared" ca="1" si="1"/>
        <v>1</v>
      </c>
      <c r="N41" s="6" t="str">
        <f t="shared" ca="1" si="2"/>
        <v/>
      </c>
      <c r="O41" s="6">
        <f t="shared" si="3"/>
        <v>-1.75</v>
      </c>
      <c r="Q41" s="6">
        <v>0</v>
      </c>
      <c r="R41" s="9">
        <f t="shared" si="4"/>
        <v>0</v>
      </c>
      <c r="S41" s="7">
        <f t="shared" si="5"/>
        <v>0</v>
      </c>
    </row>
    <row r="42" spans="1:19" x14ac:dyDescent="0.25">
      <c r="A42" s="4">
        <f>Sheet1!A42</f>
        <v>39143</v>
      </c>
      <c r="B42" s="5">
        <f>Sheet1!B42</f>
        <v>0.58333333333333337</v>
      </c>
      <c r="C42" s="6">
        <f>Sheet1!C42</f>
        <v>192.1</v>
      </c>
      <c r="D42" s="6">
        <f>Sheet1!D42</f>
        <v>192.7</v>
      </c>
      <c r="E42" s="6">
        <f>Sheet1!E42</f>
        <v>191.5</v>
      </c>
      <c r="F42" s="6">
        <f>Sheet1!F42</f>
        <v>191.65</v>
      </c>
      <c r="H42" s="6">
        <f ca="1">IF(ROW($H42)-1&lt;$I$1,$F42,AVERAGE($F42:OFFSET($F42,(($I$1-1)*-1),0)))</f>
        <v>194.45000000000002</v>
      </c>
      <c r="J42" s="6">
        <f ca="1">IF(ROW($J42)-1&lt;$K$1,$F42,AVERAGE($F42:OFFSET($F42,(($K$1-1)*-1),0)))</f>
        <v>194.91964285714283</v>
      </c>
      <c r="L42" s="7">
        <f t="shared" ca="1" si="0"/>
        <v>-1</v>
      </c>
      <c r="M42" s="7">
        <f t="shared" ca="1" si="1"/>
        <v>-1</v>
      </c>
      <c r="N42" s="6">
        <f t="shared" ca="1" si="2"/>
        <v>192.1</v>
      </c>
      <c r="O42" s="6">
        <f t="shared" si="3"/>
        <v>-1.3499999999999943</v>
      </c>
      <c r="P42" s="6">
        <v>0.90000000000000568</v>
      </c>
      <c r="Q42" s="6">
        <v>-0.44999999999998863</v>
      </c>
      <c r="R42" s="9">
        <f t="shared" si="4"/>
        <v>-168.74999999999574</v>
      </c>
      <c r="S42" s="7">
        <f t="shared" si="5"/>
        <v>337.50000000000216</v>
      </c>
    </row>
    <row r="43" spans="1:19" x14ac:dyDescent="0.25">
      <c r="A43" s="4">
        <f>Sheet1!A43</f>
        <v>39146</v>
      </c>
      <c r="B43" s="5">
        <f>Sheet1!B43</f>
        <v>0.58333333333333337</v>
      </c>
      <c r="C43" s="6">
        <f>Sheet1!C43</f>
        <v>191.1</v>
      </c>
      <c r="D43" s="6">
        <f>Sheet1!D43</f>
        <v>191.4</v>
      </c>
      <c r="E43" s="6">
        <f>Sheet1!E43</f>
        <v>187.9</v>
      </c>
      <c r="F43" s="6">
        <f>Sheet1!F43</f>
        <v>187.9</v>
      </c>
      <c r="H43" s="6">
        <f ca="1">IF(ROW($H43)-1&lt;$I$1,$F43,AVERAGE($F43:OFFSET($F43,(($I$1-1)*-1),0)))</f>
        <v>192.93333333333331</v>
      </c>
      <c r="J43" s="6">
        <f ca="1">IF(ROW($J43)-1&lt;$K$1,$F43,AVERAGE($F43:OFFSET($F43,(($K$1-1)*-1),0)))</f>
        <v>194.6589285714285</v>
      </c>
      <c r="L43" s="7">
        <f t="shared" ca="1" si="0"/>
        <v>-1</v>
      </c>
      <c r="M43" s="7" t="str">
        <f t="shared" ca="1" si="1"/>
        <v/>
      </c>
      <c r="N43" s="6">
        <f t="shared" ca="1" si="2"/>
        <v>191.1</v>
      </c>
      <c r="O43" s="6">
        <f t="shared" si="3"/>
        <v>-3.75</v>
      </c>
      <c r="P43" s="6">
        <v>-1</v>
      </c>
      <c r="Q43" s="6">
        <v>3.1999999999999886</v>
      </c>
      <c r="R43" s="9">
        <f t="shared" si="4"/>
        <v>1199.9999999999957</v>
      </c>
      <c r="S43" s="7">
        <f t="shared" si="5"/>
        <v>-37.49999999999784</v>
      </c>
    </row>
    <row r="44" spans="1:19" x14ac:dyDescent="0.25">
      <c r="A44" s="4">
        <f>Sheet1!A44</f>
        <v>39147</v>
      </c>
      <c r="B44" s="5">
        <f>Sheet1!B44</f>
        <v>0.58333333333333337</v>
      </c>
      <c r="C44" s="6">
        <f>Sheet1!C44</f>
        <v>188.8</v>
      </c>
      <c r="D44" s="6">
        <f>Sheet1!D44</f>
        <v>190.3</v>
      </c>
      <c r="E44" s="6">
        <f>Sheet1!E44</f>
        <v>188.6</v>
      </c>
      <c r="F44" s="6">
        <f>Sheet1!F44</f>
        <v>189.35</v>
      </c>
      <c r="H44" s="6">
        <f ca="1">IF(ROW($H44)-1&lt;$I$1,$F44,AVERAGE($F44:OFFSET($F44,(($I$1-1)*-1),0)))</f>
        <v>191.9083333333333</v>
      </c>
      <c r="J44" s="6">
        <f ca="1">IF(ROW($J44)-1&lt;$K$1,$F44,AVERAGE($F44:OFFSET($F44,(($K$1-1)*-1),0)))</f>
        <v>194.40357142857138</v>
      </c>
      <c r="L44" s="7">
        <f t="shared" ca="1" si="0"/>
        <v>-1</v>
      </c>
      <c r="M44" s="7" t="str">
        <f t="shared" ca="1" si="1"/>
        <v/>
      </c>
      <c r="N44" s="6" t="str">
        <f t="shared" ca="1" si="2"/>
        <v/>
      </c>
      <c r="O44" s="6">
        <f t="shared" si="3"/>
        <v>1.4499999999999886</v>
      </c>
      <c r="Q44" s="6">
        <v>1.75</v>
      </c>
      <c r="R44" s="9">
        <f t="shared" si="4"/>
        <v>656.25</v>
      </c>
      <c r="S44" s="7">
        <f t="shared" si="5"/>
        <v>-37.49999999999784</v>
      </c>
    </row>
    <row r="45" spans="1:19" x14ac:dyDescent="0.25">
      <c r="A45" s="4">
        <f>Sheet1!A45</f>
        <v>39148</v>
      </c>
      <c r="B45" s="5">
        <f>Sheet1!B45</f>
        <v>0.58333333333333337</v>
      </c>
      <c r="C45" s="6">
        <f>Sheet1!C45</f>
        <v>189.35</v>
      </c>
      <c r="D45" s="6">
        <f>Sheet1!D45</f>
        <v>189.5</v>
      </c>
      <c r="E45" s="6">
        <f>Sheet1!E45</f>
        <v>187.6</v>
      </c>
      <c r="F45" s="6">
        <f>Sheet1!F45</f>
        <v>188.75</v>
      </c>
      <c r="H45" s="6">
        <f ca="1">IF(ROW($H45)-1&lt;$I$1,$F45,AVERAGE($F45:OFFSET($F45,(($I$1-1)*-1),0)))</f>
        <v>190.9</v>
      </c>
      <c r="J45" s="6">
        <f ca="1">IF(ROW($J45)-1&lt;$K$1,$F45,AVERAGE($F45:OFFSET($F45,(($K$1-1)*-1),0)))</f>
        <v>194.16071428571425</v>
      </c>
      <c r="L45" s="7">
        <f t="shared" ca="1" si="0"/>
        <v>-1</v>
      </c>
      <c r="M45" s="7" t="str">
        <f t="shared" ca="1" si="1"/>
        <v/>
      </c>
      <c r="N45" s="6" t="str">
        <f t="shared" ca="1" si="2"/>
        <v/>
      </c>
      <c r="O45" s="6">
        <f t="shared" si="3"/>
        <v>-0.59999999999999432</v>
      </c>
      <c r="Q45" s="6">
        <v>2.3499999999999943</v>
      </c>
      <c r="R45" s="9">
        <f t="shared" si="4"/>
        <v>881.24999999999784</v>
      </c>
      <c r="S45" s="7">
        <f t="shared" si="5"/>
        <v>-37.49999999999784</v>
      </c>
    </row>
    <row r="46" spans="1:19" x14ac:dyDescent="0.25">
      <c r="A46" s="4">
        <f>Sheet1!A46</f>
        <v>39149</v>
      </c>
      <c r="B46" s="5">
        <f>Sheet1!B46</f>
        <v>0.58333333333333337</v>
      </c>
      <c r="C46" s="6">
        <f>Sheet1!C46</f>
        <v>189.1</v>
      </c>
      <c r="D46" s="6">
        <f>Sheet1!D46</f>
        <v>189.75</v>
      </c>
      <c r="E46" s="6">
        <f>Sheet1!E46</f>
        <v>188</v>
      </c>
      <c r="F46" s="6">
        <f>Sheet1!F46</f>
        <v>188.7</v>
      </c>
      <c r="H46" s="6">
        <f ca="1">IF(ROW($H46)-1&lt;$I$1,$F46,AVERAGE($F46:OFFSET($F46,(($I$1-1)*-1),0)))</f>
        <v>189.89166666666665</v>
      </c>
      <c r="J46" s="6">
        <f ca="1">IF(ROW($J46)-1&lt;$K$1,$F46,AVERAGE($F46:OFFSET($F46,(($K$1-1)*-1),0)))</f>
        <v>193.9053571428571</v>
      </c>
      <c r="L46" s="7">
        <f t="shared" ca="1" si="0"/>
        <v>-1</v>
      </c>
      <c r="M46" s="7" t="str">
        <f t="shared" ca="1" si="1"/>
        <v/>
      </c>
      <c r="N46" s="6" t="str">
        <f t="shared" ca="1" si="2"/>
        <v/>
      </c>
      <c r="O46" s="6">
        <f t="shared" si="3"/>
        <v>-5.0000000000011369E-2</v>
      </c>
      <c r="Q46" s="6">
        <v>2.4000000000000057</v>
      </c>
      <c r="R46" s="9">
        <f t="shared" si="4"/>
        <v>900.00000000000216</v>
      </c>
      <c r="S46" s="7">
        <f t="shared" si="5"/>
        <v>-37.49999999999784</v>
      </c>
    </row>
    <row r="47" spans="1:19" x14ac:dyDescent="0.25">
      <c r="A47" s="4">
        <f>Sheet1!A47</f>
        <v>39150</v>
      </c>
      <c r="B47" s="5">
        <f>Sheet1!B47</f>
        <v>0.58333333333333337</v>
      </c>
      <c r="C47" s="6">
        <f>Sheet1!C47</f>
        <v>188.5</v>
      </c>
      <c r="D47" s="6">
        <f>Sheet1!D47</f>
        <v>189.25</v>
      </c>
      <c r="E47" s="6">
        <f>Sheet1!E47</f>
        <v>188</v>
      </c>
      <c r="F47" s="6">
        <f>Sheet1!F47</f>
        <v>188.9</v>
      </c>
      <c r="H47" s="6">
        <f ca="1">IF(ROW($H47)-1&lt;$I$1,$F47,AVERAGE($F47:OFFSET($F47,(($I$1-1)*-1),0)))</f>
        <v>189.20833333333334</v>
      </c>
      <c r="J47" s="6">
        <f ca="1">IF(ROW($J47)-1&lt;$K$1,$F47,AVERAGE($F47:OFFSET($F47,(($K$1-1)*-1),0)))</f>
        <v>193.64642857142852</v>
      </c>
      <c r="L47" s="7">
        <f t="shared" ca="1" si="0"/>
        <v>-1</v>
      </c>
      <c r="M47" s="7" t="str">
        <f t="shared" ca="1" si="1"/>
        <v/>
      </c>
      <c r="N47" s="6" t="str">
        <f t="shared" ca="1" si="2"/>
        <v/>
      </c>
      <c r="O47" s="6">
        <f t="shared" si="3"/>
        <v>0.20000000000001705</v>
      </c>
      <c r="Q47" s="6">
        <v>2.1999999999999886</v>
      </c>
      <c r="R47" s="9">
        <f t="shared" si="4"/>
        <v>824.99999999999568</v>
      </c>
      <c r="S47" s="7">
        <f t="shared" si="5"/>
        <v>-37.49999999999784</v>
      </c>
    </row>
    <row r="48" spans="1:19" x14ac:dyDescent="0.25">
      <c r="A48" s="4">
        <f>Sheet1!A48</f>
        <v>39153</v>
      </c>
      <c r="B48" s="5">
        <f>Sheet1!B48</f>
        <v>0.58333333333333337</v>
      </c>
      <c r="C48" s="6">
        <f>Sheet1!C48</f>
        <v>188.7</v>
      </c>
      <c r="D48" s="6">
        <f>Sheet1!D48</f>
        <v>189</v>
      </c>
      <c r="E48" s="6">
        <f>Sheet1!E48</f>
        <v>187.6</v>
      </c>
      <c r="F48" s="6">
        <f>Sheet1!F48</f>
        <v>188.3</v>
      </c>
      <c r="H48" s="6">
        <f ca="1">IF(ROW($H48)-1&lt;$I$1,$F48,AVERAGE($F48:OFFSET($F48,(($I$1-1)*-1),0)))</f>
        <v>188.65</v>
      </c>
      <c r="J48" s="6">
        <f ca="1">IF(ROW($J48)-1&lt;$K$1,$F48,AVERAGE($F48:OFFSET($F48,(($K$1-1)*-1),0)))</f>
        <v>193.3678571428571</v>
      </c>
      <c r="L48" s="7">
        <f t="shared" ca="1" si="0"/>
        <v>-1</v>
      </c>
      <c r="M48" s="7" t="str">
        <f t="shared" ca="1" si="1"/>
        <v/>
      </c>
      <c r="N48" s="6" t="str">
        <f t="shared" ca="1" si="2"/>
        <v/>
      </c>
      <c r="O48" s="6">
        <f t="shared" si="3"/>
        <v>-0.59999999999999432</v>
      </c>
      <c r="Q48" s="6">
        <v>2.7999999999999829</v>
      </c>
      <c r="R48" s="9">
        <f t="shared" si="4"/>
        <v>1049.9999999999936</v>
      </c>
      <c r="S48" s="7">
        <f t="shared" si="5"/>
        <v>-37.49999999999784</v>
      </c>
    </row>
    <row r="49" spans="1:19" x14ac:dyDescent="0.25">
      <c r="A49" s="4">
        <f>Sheet1!A49</f>
        <v>39154</v>
      </c>
      <c r="B49" s="5">
        <f>Sheet1!B49</f>
        <v>0.58333333333333337</v>
      </c>
      <c r="C49" s="6">
        <f>Sheet1!C49</f>
        <v>188.65</v>
      </c>
      <c r="D49" s="6">
        <f>Sheet1!D49</f>
        <v>189.9</v>
      </c>
      <c r="E49" s="6">
        <f>Sheet1!E49</f>
        <v>187.4</v>
      </c>
      <c r="F49" s="6">
        <f>Sheet1!F49</f>
        <v>187.55</v>
      </c>
      <c r="H49" s="6">
        <f ca="1">IF(ROW($H49)-1&lt;$I$1,$F49,AVERAGE($F49:OFFSET($F49,(($I$1-1)*-1),0)))</f>
        <v>188.59166666666667</v>
      </c>
      <c r="J49" s="6">
        <f ca="1">IF(ROW($J49)-1&lt;$K$1,$F49,AVERAGE($F49:OFFSET($F49,(($K$1-1)*-1),0)))</f>
        <v>193.02321428571432</v>
      </c>
      <c r="L49" s="7">
        <f t="shared" ca="1" si="0"/>
        <v>-1</v>
      </c>
      <c r="M49" s="7" t="str">
        <f t="shared" ca="1" si="1"/>
        <v/>
      </c>
      <c r="N49" s="6" t="str">
        <f t="shared" ca="1" si="2"/>
        <v/>
      </c>
      <c r="O49" s="6">
        <f t="shared" si="3"/>
        <v>-0.75</v>
      </c>
      <c r="Q49" s="6">
        <v>3.5499999999999829</v>
      </c>
      <c r="R49" s="9">
        <f t="shared" si="4"/>
        <v>1331.2499999999936</v>
      </c>
      <c r="S49" s="7">
        <f t="shared" si="5"/>
        <v>-37.49999999999784</v>
      </c>
    </row>
    <row r="50" spans="1:19" x14ac:dyDescent="0.25">
      <c r="A50" s="4">
        <f>Sheet1!A50</f>
        <v>39155</v>
      </c>
      <c r="B50" s="5">
        <f>Sheet1!B50</f>
        <v>0.58333333333333337</v>
      </c>
      <c r="C50" s="6">
        <f>Sheet1!C50</f>
        <v>186.9</v>
      </c>
      <c r="D50" s="6">
        <f>Sheet1!D50</f>
        <v>187.2</v>
      </c>
      <c r="E50" s="6">
        <f>Sheet1!E50</f>
        <v>186</v>
      </c>
      <c r="F50" s="6">
        <f>Sheet1!F50</f>
        <v>186.35</v>
      </c>
      <c r="H50" s="6">
        <f ca="1">IF(ROW($H50)-1&lt;$I$1,$F50,AVERAGE($F50:OFFSET($F50,(($I$1-1)*-1),0)))</f>
        <v>188.09166666666667</v>
      </c>
      <c r="J50" s="6">
        <f ca="1">IF(ROW($J50)-1&lt;$K$1,$F50,AVERAGE($F50:OFFSET($F50,(($K$1-1)*-1),0)))</f>
        <v>192.59642857142859</v>
      </c>
      <c r="L50" s="7">
        <f t="shared" ca="1" si="0"/>
        <v>-1</v>
      </c>
      <c r="M50" s="7" t="str">
        <f t="shared" ca="1" si="1"/>
        <v/>
      </c>
      <c r="N50" s="6" t="str">
        <f t="shared" ca="1" si="2"/>
        <v/>
      </c>
      <c r="O50" s="6">
        <f t="shared" si="3"/>
        <v>-1.2000000000000171</v>
      </c>
      <c r="Q50" s="6">
        <v>4.75</v>
      </c>
      <c r="R50" s="9">
        <f t="shared" si="4"/>
        <v>1781.25</v>
      </c>
      <c r="S50" s="7">
        <f t="shared" si="5"/>
        <v>-37.49999999999784</v>
      </c>
    </row>
    <row r="51" spans="1:19" x14ac:dyDescent="0.25">
      <c r="A51" s="4">
        <f>Sheet1!A51</f>
        <v>39156</v>
      </c>
      <c r="B51" s="5">
        <f>Sheet1!B51</f>
        <v>0.58333333333333337</v>
      </c>
      <c r="C51" s="6">
        <f>Sheet1!C51</f>
        <v>187</v>
      </c>
      <c r="D51" s="6">
        <f>Sheet1!D51</f>
        <v>187.5</v>
      </c>
      <c r="E51" s="6">
        <f>Sheet1!E51</f>
        <v>186.3</v>
      </c>
      <c r="F51" s="6">
        <f>Sheet1!F51</f>
        <v>187.05</v>
      </c>
      <c r="H51" s="6">
        <f ca="1">IF(ROW($H51)-1&lt;$I$1,$F51,AVERAGE($F51:OFFSET($F51,(($I$1-1)*-1),0)))</f>
        <v>187.80833333333337</v>
      </c>
      <c r="J51" s="6">
        <f ca="1">IF(ROW($J51)-1&lt;$K$1,$F51,AVERAGE($F51:OFFSET($F51,(($K$1-1)*-1),0)))</f>
        <v>192.21250000000003</v>
      </c>
      <c r="L51" s="7">
        <f t="shared" ca="1" si="0"/>
        <v>-1</v>
      </c>
      <c r="M51" s="7" t="str">
        <f t="shared" ca="1" si="1"/>
        <v/>
      </c>
      <c r="N51" s="6" t="str">
        <f t="shared" ca="1" si="2"/>
        <v/>
      </c>
      <c r="O51" s="6">
        <f t="shared" si="3"/>
        <v>0.70000000000001705</v>
      </c>
      <c r="Q51" s="6">
        <v>4.0499999999999829</v>
      </c>
      <c r="R51" s="9">
        <f t="shared" si="4"/>
        <v>1518.7499999999936</v>
      </c>
      <c r="S51" s="7">
        <f t="shared" si="5"/>
        <v>-37.49999999999784</v>
      </c>
    </row>
    <row r="52" spans="1:19" x14ac:dyDescent="0.25">
      <c r="A52" s="4">
        <f>Sheet1!A52</f>
        <v>39157</v>
      </c>
      <c r="B52" s="5">
        <f>Sheet1!B52</f>
        <v>0.58333333333333337</v>
      </c>
      <c r="C52" s="6">
        <f>Sheet1!C52</f>
        <v>186.75</v>
      </c>
      <c r="D52" s="6">
        <f>Sheet1!D52</f>
        <v>187</v>
      </c>
      <c r="E52" s="6">
        <f>Sheet1!E52</f>
        <v>186.05</v>
      </c>
      <c r="F52" s="6">
        <f>Sheet1!F52</f>
        <v>186.85</v>
      </c>
      <c r="H52" s="6">
        <f ca="1">IF(ROW($H52)-1&lt;$I$1,$F52,AVERAGE($F52:OFFSET($F52,(($I$1-1)*-1),0)))</f>
        <v>187.5</v>
      </c>
      <c r="J52" s="6">
        <f ca="1">IF(ROW($J52)-1&lt;$K$1,$F52,AVERAGE($F52:OFFSET($F52,(($K$1-1)*-1),0)))</f>
        <v>191.87678571428575</v>
      </c>
      <c r="L52" s="7">
        <f t="shared" ca="1" si="0"/>
        <v>-1</v>
      </c>
      <c r="M52" s="7" t="str">
        <f t="shared" ca="1" si="1"/>
        <v/>
      </c>
      <c r="N52" s="6" t="str">
        <f t="shared" ca="1" si="2"/>
        <v/>
      </c>
      <c r="O52" s="6">
        <f t="shared" si="3"/>
        <v>-0.20000000000001705</v>
      </c>
      <c r="Q52" s="6">
        <v>4.25</v>
      </c>
      <c r="R52" s="9">
        <f t="shared" si="4"/>
        <v>1593.75</v>
      </c>
      <c r="S52" s="7">
        <f t="shared" si="5"/>
        <v>-37.49999999999784</v>
      </c>
    </row>
    <row r="53" spans="1:19" x14ac:dyDescent="0.25">
      <c r="A53" s="4">
        <f>Sheet1!A53</f>
        <v>39160</v>
      </c>
      <c r="B53" s="5">
        <f>Sheet1!B53</f>
        <v>0.58333333333333337</v>
      </c>
      <c r="C53" s="6">
        <f>Sheet1!C53</f>
        <v>187</v>
      </c>
      <c r="D53" s="6">
        <f>Sheet1!D53</f>
        <v>187.7</v>
      </c>
      <c r="E53" s="6">
        <f>Sheet1!E53</f>
        <v>185.75</v>
      </c>
      <c r="F53" s="6">
        <f>Sheet1!F53</f>
        <v>186.75</v>
      </c>
      <c r="H53" s="6">
        <f ca="1">IF(ROW($H53)-1&lt;$I$1,$F53,AVERAGE($F53:OFFSET($F53,(($I$1-1)*-1),0)))</f>
        <v>187.14166666666665</v>
      </c>
      <c r="J53" s="6">
        <f ca="1">IF(ROW($J53)-1&lt;$K$1,$F53,AVERAGE($F53:OFFSET($F53,(($K$1-1)*-1),0)))</f>
        <v>191.54464285714289</v>
      </c>
      <c r="L53" s="7">
        <f t="shared" ca="1" si="0"/>
        <v>-1</v>
      </c>
      <c r="M53" s="7" t="str">
        <f t="shared" ca="1" si="1"/>
        <v/>
      </c>
      <c r="N53" s="6" t="str">
        <f t="shared" ca="1" si="2"/>
        <v/>
      </c>
      <c r="O53" s="6">
        <f t="shared" si="3"/>
        <v>-9.9999999999994316E-2</v>
      </c>
      <c r="Q53" s="6">
        <v>4.3499999999999943</v>
      </c>
      <c r="R53" s="9">
        <f t="shared" si="4"/>
        <v>1631.249999999998</v>
      </c>
      <c r="S53" s="7">
        <f t="shared" si="5"/>
        <v>-37.49999999999784</v>
      </c>
    </row>
    <row r="54" spans="1:19" x14ac:dyDescent="0.25">
      <c r="A54" s="4">
        <f>Sheet1!A54</f>
        <v>39161</v>
      </c>
      <c r="B54" s="5">
        <f>Sheet1!B54</f>
        <v>0.58333333333333337</v>
      </c>
      <c r="C54" s="6">
        <f>Sheet1!C54</f>
        <v>186.25</v>
      </c>
      <c r="D54" s="6">
        <f>Sheet1!D54</f>
        <v>187</v>
      </c>
      <c r="E54" s="6">
        <f>Sheet1!E54</f>
        <v>185.3</v>
      </c>
      <c r="F54" s="6">
        <f>Sheet1!F54</f>
        <v>185.8</v>
      </c>
      <c r="H54" s="6">
        <f ca="1">IF(ROW($H54)-1&lt;$I$1,$F54,AVERAGE($F54:OFFSET($F54,(($I$1-1)*-1),0)))</f>
        <v>186.72500000000002</v>
      </c>
      <c r="J54" s="6">
        <f ca="1">IF(ROW($J54)-1&lt;$K$1,$F54,AVERAGE($F54:OFFSET($F54,(($K$1-1)*-1),0)))</f>
        <v>191.1678571428572</v>
      </c>
      <c r="L54" s="7">
        <f t="shared" ca="1" si="0"/>
        <v>-1</v>
      </c>
      <c r="M54" s="7" t="str">
        <f t="shared" ca="1" si="1"/>
        <v/>
      </c>
      <c r="N54" s="6" t="str">
        <f t="shared" ca="1" si="2"/>
        <v/>
      </c>
      <c r="O54" s="6">
        <f t="shared" si="3"/>
        <v>-0.94999999999998863</v>
      </c>
      <c r="Q54" s="6">
        <v>5.2999999999999829</v>
      </c>
      <c r="R54" s="9">
        <f t="shared" si="4"/>
        <v>1987.4999999999936</v>
      </c>
      <c r="S54" s="7">
        <f t="shared" si="5"/>
        <v>-37.49999999999784</v>
      </c>
    </row>
    <row r="55" spans="1:19" x14ac:dyDescent="0.25">
      <c r="A55" s="4">
        <f>Sheet1!A55</f>
        <v>39162</v>
      </c>
      <c r="B55" s="5">
        <f>Sheet1!B55</f>
        <v>0.58333333333333337</v>
      </c>
      <c r="C55" s="6">
        <f>Sheet1!C55</f>
        <v>185.75</v>
      </c>
      <c r="D55" s="6">
        <f>Sheet1!D55</f>
        <v>189.35</v>
      </c>
      <c r="E55" s="6">
        <f>Sheet1!E55</f>
        <v>185.75</v>
      </c>
      <c r="F55" s="6">
        <f>Sheet1!F55</f>
        <v>189</v>
      </c>
      <c r="H55" s="6">
        <f ca="1">IF(ROW($H55)-1&lt;$I$1,$F55,AVERAGE($F55:OFFSET($F55,(($I$1-1)*-1),0)))</f>
        <v>186.96666666666667</v>
      </c>
      <c r="J55" s="6">
        <f ca="1">IF(ROW($J55)-1&lt;$K$1,$F55,AVERAGE($F55:OFFSET($F55,(($K$1-1)*-1),0)))</f>
        <v>190.95178571428576</v>
      </c>
      <c r="L55" s="7">
        <f t="shared" ca="1" si="0"/>
        <v>-1</v>
      </c>
      <c r="M55" s="7" t="str">
        <f t="shared" ca="1" si="1"/>
        <v/>
      </c>
      <c r="N55" s="6" t="str">
        <f t="shared" ca="1" si="2"/>
        <v/>
      </c>
      <c r="O55" s="6">
        <f t="shared" si="3"/>
        <v>3.1999999999999886</v>
      </c>
      <c r="Q55" s="6">
        <v>2.0999999999999943</v>
      </c>
      <c r="R55" s="9">
        <f t="shared" si="4"/>
        <v>787.49999999999784</v>
      </c>
      <c r="S55" s="7">
        <f t="shared" si="5"/>
        <v>-37.49999999999784</v>
      </c>
    </row>
    <row r="56" spans="1:19" x14ac:dyDescent="0.25">
      <c r="A56" s="4">
        <f>Sheet1!A56</f>
        <v>39163</v>
      </c>
      <c r="B56" s="5">
        <f>Sheet1!B56</f>
        <v>0.58333333333333337</v>
      </c>
      <c r="C56" s="6">
        <f>Sheet1!C56</f>
        <v>188.6</v>
      </c>
      <c r="D56" s="6">
        <f>Sheet1!D56</f>
        <v>188.9</v>
      </c>
      <c r="E56" s="6">
        <f>Sheet1!E56</f>
        <v>187.5</v>
      </c>
      <c r="F56" s="6">
        <f>Sheet1!F56</f>
        <v>188.25</v>
      </c>
      <c r="H56" s="6">
        <f ca="1">IF(ROW($H56)-1&lt;$I$1,$F56,AVERAGE($F56:OFFSET($F56,(($I$1-1)*-1),0)))</f>
        <v>187.28333333333333</v>
      </c>
      <c r="J56" s="6">
        <f ca="1">IF(ROW($J56)-1&lt;$K$1,$F56,AVERAGE($F56:OFFSET($F56,(($K$1-1)*-1),0)))</f>
        <v>190.84642857142859</v>
      </c>
      <c r="L56" s="7">
        <f t="shared" ca="1" si="0"/>
        <v>-1</v>
      </c>
      <c r="M56" s="7" t="str">
        <f t="shared" ca="1" si="1"/>
        <v/>
      </c>
      <c r="N56" s="6" t="str">
        <f t="shared" ca="1" si="2"/>
        <v/>
      </c>
      <c r="O56" s="6">
        <f t="shared" si="3"/>
        <v>-0.75</v>
      </c>
      <c r="Q56" s="6">
        <v>2.8499999999999943</v>
      </c>
      <c r="R56" s="9">
        <f t="shared" si="4"/>
        <v>1068.749999999998</v>
      </c>
      <c r="S56" s="7">
        <f t="shared" si="5"/>
        <v>-37.49999999999784</v>
      </c>
    </row>
    <row r="57" spans="1:19" x14ac:dyDescent="0.25">
      <c r="A57" s="4">
        <f>Sheet1!A57</f>
        <v>39164</v>
      </c>
      <c r="B57" s="5">
        <f>Sheet1!B57</f>
        <v>0.58333333333333337</v>
      </c>
      <c r="C57" s="6">
        <f>Sheet1!C57</f>
        <v>189.25</v>
      </c>
      <c r="D57" s="6">
        <f>Sheet1!D57</f>
        <v>190.6</v>
      </c>
      <c r="E57" s="6">
        <f>Sheet1!E57</f>
        <v>189.25</v>
      </c>
      <c r="F57" s="6">
        <f>Sheet1!F57</f>
        <v>189.85</v>
      </c>
      <c r="H57" s="6">
        <f ca="1">IF(ROW($H57)-1&lt;$I$1,$F57,AVERAGE($F57:OFFSET($F57,(($I$1-1)*-1),0)))</f>
        <v>187.75</v>
      </c>
      <c r="J57" s="6">
        <f ca="1">IF(ROW($J57)-1&lt;$K$1,$F57,AVERAGE($F57:OFFSET($F57,(($K$1-1)*-1),0)))</f>
        <v>190.71785714285716</v>
      </c>
      <c r="L57" s="7">
        <f t="shared" ca="1" si="0"/>
        <v>-1</v>
      </c>
      <c r="M57" s="7" t="str">
        <f t="shared" ca="1" si="1"/>
        <v/>
      </c>
      <c r="N57" s="6" t="str">
        <f t="shared" ca="1" si="2"/>
        <v/>
      </c>
      <c r="O57" s="6">
        <f t="shared" si="3"/>
        <v>1.5999999999999943</v>
      </c>
      <c r="Q57" s="6">
        <v>1.25</v>
      </c>
      <c r="R57" s="9">
        <f t="shared" si="4"/>
        <v>468.75</v>
      </c>
      <c r="S57" s="7">
        <f t="shared" si="5"/>
        <v>-37.49999999999784</v>
      </c>
    </row>
    <row r="58" spans="1:19" x14ac:dyDescent="0.25">
      <c r="A58" s="4">
        <f>Sheet1!A58</f>
        <v>39167</v>
      </c>
      <c r="B58" s="5">
        <f>Sheet1!B58</f>
        <v>0.58333333333333337</v>
      </c>
      <c r="C58" s="6">
        <f>Sheet1!C58</f>
        <v>189.6</v>
      </c>
      <c r="D58" s="6">
        <f>Sheet1!D58</f>
        <v>191.3</v>
      </c>
      <c r="E58" s="6">
        <f>Sheet1!E58</f>
        <v>189.4</v>
      </c>
      <c r="F58" s="6">
        <f>Sheet1!F58</f>
        <v>190.85</v>
      </c>
      <c r="H58" s="6">
        <f ca="1">IF(ROW($H58)-1&lt;$I$1,$F58,AVERAGE($F58:OFFSET($F58,(($I$1-1)*-1),0)))</f>
        <v>188.41666666666666</v>
      </c>
      <c r="J58" s="6">
        <f ca="1">IF(ROW($J58)-1&lt;$K$1,$F58,AVERAGE($F58:OFFSET($F58,(($K$1-1)*-1),0)))</f>
        <v>190.63750000000005</v>
      </c>
      <c r="L58" s="7">
        <f t="shared" ca="1" si="0"/>
        <v>-1</v>
      </c>
      <c r="M58" s="7" t="str">
        <f t="shared" ca="1" si="1"/>
        <v/>
      </c>
      <c r="N58" s="6" t="str">
        <f t="shared" ca="1" si="2"/>
        <v/>
      </c>
      <c r="O58" s="6">
        <f t="shared" si="3"/>
        <v>1</v>
      </c>
      <c r="Q58" s="6">
        <v>0.25</v>
      </c>
      <c r="R58" s="9">
        <f t="shared" si="4"/>
        <v>93.75</v>
      </c>
      <c r="S58" s="7">
        <f t="shared" si="5"/>
        <v>-37.49999999999784</v>
      </c>
    </row>
    <row r="59" spans="1:19" x14ac:dyDescent="0.25">
      <c r="A59" s="4">
        <f>Sheet1!A59</f>
        <v>39168</v>
      </c>
      <c r="B59" s="5">
        <f>Sheet1!B59</f>
        <v>0.58333333333333337</v>
      </c>
      <c r="C59" s="6">
        <f>Sheet1!C59</f>
        <v>190.4</v>
      </c>
      <c r="D59" s="6">
        <f>Sheet1!D59</f>
        <v>190.7</v>
      </c>
      <c r="E59" s="6">
        <f>Sheet1!E59</f>
        <v>188.55</v>
      </c>
      <c r="F59" s="6">
        <f>Sheet1!F59</f>
        <v>188.95</v>
      </c>
      <c r="H59" s="6">
        <f ca="1">IF(ROW($H59)-1&lt;$I$1,$F59,AVERAGE($F59:OFFSET($F59,(($I$1-1)*-1),0)))</f>
        <v>188.78333333333333</v>
      </c>
      <c r="J59" s="6">
        <f ca="1">IF(ROW($J59)-1&lt;$K$1,$F59,AVERAGE($F59:OFFSET($F59,(($K$1-1)*-1),0)))</f>
        <v>190.48571428571429</v>
      </c>
      <c r="L59" s="7">
        <f t="shared" ca="1" si="0"/>
        <v>-1</v>
      </c>
      <c r="M59" s="7" t="str">
        <f t="shared" ca="1" si="1"/>
        <v/>
      </c>
      <c r="N59" s="6" t="str">
        <f t="shared" ca="1" si="2"/>
        <v/>
      </c>
      <c r="O59" s="6">
        <f t="shared" si="3"/>
        <v>-1.9000000000000057</v>
      </c>
      <c r="Q59" s="6">
        <v>2.1500000000000057</v>
      </c>
      <c r="R59" s="9">
        <f t="shared" si="4"/>
        <v>806.25000000000216</v>
      </c>
      <c r="S59" s="7">
        <f t="shared" si="5"/>
        <v>-37.49999999999784</v>
      </c>
    </row>
    <row r="60" spans="1:19" x14ac:dyDescent="0.25">
      <c r="A60" s="4">
        <f>Sheet1!A60</f>
        <v>39169</v>
      </c>
      <c r="B60" s="5">
        <f>Sheet1!B60</f>
        <v>0.58333333333333337</v>
      </c>
      <c r="C60" s="6">
        <f>Sheet1!C60</f>
        <v>188.75</v>
      </c>
      <c r="D60" s="6">
        <f>Sheet1!D60</f>
        <v>189.5</v>
      </c>
      <c r="E60" s="6">
        <f>Sheet1!E60</f>
        <v>188.4</v>
      </c>
      <c r="F60" s="6">
        <f>Sheet1!F60</f>
        <v>189.2</v>
      </c>
      <c r="H60" s="6">
        <f ca="1">IF(ROW($H60)-1&lt;$I$1,$F60,AVERAGE($F60:OFFSET($F60,(($I$1-1)*-1),0)))</f>
        <v>189.35000000000002</v>
      </c>
      <c r="J60" s="6">
        <f ca="1">IF(ROW($J60)-1&lt;$K$1,$F60,AVERAGE($F60:OFFSET($F60,(($K$1-1)*-1),0)))</f>
        <v>190.30178571428573</v>
      </c>
      <c r="L60" s="7">
        <f t="shared" ca="1" si="0"/>
        <v>-1</v>
      </c>
      <c r="M60" s="7" t="str">
        <f t="shared" ca="1" si="1"/>
        <v/>
      </c>
      <c r="N60" s="6" t="str">
        <f t="shared" ca="1" si="2"/>
        <v/>
      </c>
      <c r="O60" s="6">
        <f t="shared" si="3"/>
        <v>0.25</v>
      </c>
      <c r="Q60" s="6">
        <v>1.9000000000000057</v>
      </c>
      <c r="R60" s="9">
        <f t="shared" si="4"/>
        <v>712.50000000000216</v>
      </c>
      <c r="S60" s="7">
        <f t="shared" si="5"/>
        <v>-37.49999999999784</v>
      </c>
    </row>
    <row r="61" spans="1:19" x14ac:dyDescent="0.25">
      <c r="A61" s="4">
        <f>Sheet1!A61</f>
        <v>39170</v>
      </c>
      <c r="B61" s="5">
        <f>Sheet1!B61</f>
        <v>0.58333333333333337</v>
      </c>
      <c r="C61" s="6">
        <f>Sheet1!C61</f>
        <v>188.9</v>
      </c>
      <c r="D61" s="6">
        <f>Sheet1!D61</f>
        <v>189.3</v>
      </c>
      <c r="E61" s="6">
        <f>Sheet1!E61</f>
        <v>186.8</v>
      </c>
      <c r="F61" s="6">
        <f>Sheet1!F61</f>
        <v>187.1</v>
      </c>
      <c r="H61" s="6">
        <f ca="1">IF(ROW($H61)-1&lt;$I$1,$F61,AVERAGE($F61:OFFSET($F61,(($I$1-1)*-1),0)))</f>
        <v>189.03333333333333</v>
      </c>
      <c r="J61" s="6">
        <f ca="1">IF(ROW($J61)-1&lt;$K$1,$F61,AVERAGE($F61:OFFSET($F61,(($K$1-1)*-1),0)))</f>
        <v>190.10892857142861</v>
      </c>
      <c r="L61" s="7">
        <f t="shared" ca="1" si="0"/>
        <v>-1</v>
      </c>
      <c r="M61" s="7" t="str">
        <f t="shared" ca="1" si="1"/>
        <v/>
      </c>
      <c r="N61" s="6" t="str">
        <f t="shared" ca="1" si="2"/>
        <v/>
      </c>
      <c r="O61" s="6">
        <f t="shared" si="3"/>
        <v>-2.0999999999999943</v>
      </c>
      <c r="Q61" s="6">
        <v>4</v>
      </c>
      <c r="R61" s="9">
        <f t="shared" si="4"/>
        <v>1500</v>
      </c>
      <c r="S61" s="7">
        <f t="shared" si="5"/>
        <v>-37.49999999999784</v>
      </c>
    </row>
    <row r="62" spans="1:19" x14ac:dyDescent="0.25">
      <c r="A62" s="4">
        <f>Sheet1!A62</f>
        <v>39171</v>
      </c>
      <c r="B62" s="5">
        <f>Sheet1!B62</f>
        <v>0.58333333333333337</v>
      </c>
      <c r="C62" s="6">
        <f>Sheet1!C62</f>
        <v>186</v>
      </c>
      <c r="D62" s="6">
        <f>Sheet1!D62</f>
        <v>186.3</v>
      </c>
      <c r="E62" s="6">
        <f>Sheet1!E62</f>
        <v>184.9</v>
      </c>
      <c r="F62" s="6">
        <f>Sheet1!F62</f>
        <v>185.75</v>
      </c>
      <c r="H62" s="6">
        <f ca="1">IF(ROW($H62)-1&lt;$I$1,$F62,AVERAGE($F62:OFFSET($F62,(($I$1-1)*-1),0)))</f>
        <v>188.61666666666665</v>
      </c>
      <c r="J62" s="6">
        <f ca="1">IF(ROW($J62)-1&lt;$K$1,$F62,AVERAGE($F62:OFFSET($F62,(($K$1-1)*-1),0)))</f>
        <v>189.89642857142863</v>
      </c>
      <c r="L62" s="7">
        <f t="shared" ca="1" si="0"/>
        <v>-1</v>
      </c>
      <c r="M62" s="7" t="str">
        <f t="shared" ca="1" si="1"/>
        <v/>
      </c>
      <c r="N62" s="6" t="str">
        <f t="shared" ca="1" si="2"/>
        <v/>
      </c>
      <c r="O62" s="6">
        <f t="shared" si="3"/>
        <v>-1.3499999999999943</v>
      </c>
      <c r="Q62" s="6">
        <v>5.3499999999999943</v>
      </c>
      <c r="R62" s="9">
        <f t="shared" si="4"/>
        <v>2006.249999999998</v>
      </c>
      <c r="S62" s="7">
        <f t="shared" si="5"/>
        <v>-37.49999999999784</v>
      </c>
    </row>
    <row r="63" spans="1:19" x14ac:dyDescent="0.25">
      <c r="A63" s="4">
        <f>Sheet1!A63</f>
        <v>39174</v>
      </c>
      <c r="B63" s="5">
        <f>Sheet1!B63</f>
        <v>0.58333333333333337</v>
      </c>
      <c r="C63" s="6">
        <f>Sheet1!C63</f>
        <v>186.3</v>
      </c>
      <c r="D63" s="6">
        <f>Sheet1!D63</f>
        <v>187.3</v>
      </c>
      <c r="E63" s="6">
        <f>Sheet1!E63</f>
        <v>184.8</v>
      </c>
      <c r="F63" s="6">
        <f>Sheet1!F63</f>
        <v>185.1</v>
      </c>
      <c r="H63" s="6">
        <f ca="1">IF(ROW($H63)-1&lt;$I$1,$F63,AVERAGE($F63:OFFSET($F63,(($I$1-1)*-1),0)))</f>
        <v>187.82500000000002</v>
      </c>
      <c r="J63" s="6">
        <f ca="1">IF(ROW($J63)-1&lt;$K$1,$F63,AVERAGE($F63:OFFSET($F63,(($K$1-1)*-1),0)))</f>
        <v>189.62857142857146</v>
      </c>
      <c r="L63" s="7">
        <f t="shared" ca="1" si="0"/>
        <v>-1</v>
      </c>
      <c r="M63" s="7" t="str">
        <f t="shared" ca="1" si="1"/>
        <v/>
      </c>
      <c r="N63" s="6" t="str">
        <f t="shared" ca="1" si="2"/>
        <v/>
      </c>
      <c r="O63" s="6">
        <f t="shared" si="3"/>
        <v>-0.65000000000000568</v>
      </c>
      <c r="Q63" s="6">
        <v>6</v>
      </c>
      <c r="R63" s="9">
        <f t="shared" si="4"/>
        <v>2250</v>
      </c>
      <c r="S63" s="7">
        <f t="shared" si="5"/>
        <v>-37.49999999999784</v>
      </c>
    </row>
    <row r="64" spans="1:19" x14ac:dyDescent="0.25">
      <c r="A64" s="4">
        <f>Sheet1!A64</f>
        <v>39175</v>
      </c>
      <c r="B64" s="5">
        <f>Sheet1!B64</f>
        <v>0.58333333333333337</v>
      </c>
      <c r="C64" s="6">
        <f>Sheet1!C64</f>
        <v>185.6</v>
      </c>
      <c r="D64" s="6">
        <f>Sheet1!D64</f>
        <v>187.9</v>
      </c>
      <c r="E64" s="6">
        <f>Sheet1!E64</f>
        <v>185.35</v>
      </c>
      <c r="F64" s="6">
        <f>Sheet1!F64</f>
        <v>187.25</v>
      </c>
      <c r="H64" s="6">
        <f ca="1">IF(ROW($H64)-1&lt;$I$1,$F64,AVERAGE($F64:OFFSET($F64,(($I$1-1)*-1),0)))</f>
        <v>187.22499999999999</v>
      </c>
      <c r="J64" s="6">
        <f ca="1">IF(ROW($J64)-1&lt;$K$1,$F64,AVERAGE($F64:OFFSET($F64,(($K$1-1)*-1),0)))</f>
        <v>189.29464285714289</v>
      </c>
      <c r="L64" s="7">
        <f t="shared" ca="1" si="0"/>
        <v>-1</v>
      </c>
      <c r="M64" s="7" t="str">
        <f t="shared" ca="1" si="1"/>
        <v/>
      </c>
      <c r="N64" s="6" t="str">
        <f t="shared" ca="1" si="2"/>
        <v/>
      </c>
      <c r="O64" s="6">
        <f t="shared" si="3"/>
        <v>2.1500000000000057</v>
      </c>
      <c r="Q64" s="6">
        <v>3.8499999999999943</v>
      </c>
      <c r="R64" s="9">
        <f t="shared" si="4"/>
        <v>1443.749999999998</v>
      </c>
      <c r="S64" s="7">
        <f t="shared" si="5"/>
        <v>-37.49999999999784</v>
      </c>
    </row>
    <row r="65" spans="1:22" x14ac:dyDescent="0.25">
      <c r="A65" s="4">
        <f>Sheet1!A65</f>
        <v>39176</v>
      </c>
      <c r="B65" s="5">
        <f>Sheet1!B65</f>
        <v>0.58333333333333337</v>
      </c>
      <c r="C65" s="6">
        <f>Sheet1!C65</f>
        <v>187.2</v>
      </c>
      <c r="D65" s="6">
        <f>Sheet1!D65</f>
        <v>188.2</v>
      </c>
      <c r="E65" s="6">
        <f>Sheet1!E65</f>
        <v>186.5</v>
      </c>
      <c r="F65" s="6">
        <f>Sheet1!F65</f>
        <v>187.05</v>
      </c>
      <c r="H65" s="6">
        <f ca="1">IF(ROW($H65)-1&lt;$I$1,$F65,AVERAGE($F65:OFFSET($F65,(($I$1-1)*-1),0)))</f>
        <v>186.90833333333333</v>
      </c>
      <c r="J65" s="6">
        <f ca="1">IF(ROW($J65)-1&lt;$K$1,$F65,AVERAGE($F65:OFFSET($F65,(($K$1-1)*-1),0)))</f>
        <v>188.93928571428575</v>
      </c>
      <c r="L65" s="7">
        <f t="shared" ca="1" si="0"/>
        <v>-1</v>
      </c>
      <c r="M65" s="7" t="str">
        <f t="shared" ca="1" si="1"/>
        <v/>
      </c>
      <c r="N65" s="6" t="str">
        <f t="shared" ca="1" si="2"/>
        <v/>
      </c>
      <c r="O65" s="6">
        <f t="shared" si="3"/>
        <v>-0.19999999999998863</v>
      </c>
      <c r="Q65" s="6">
        <v>4.0499999999999829</v>
      </c>
      <c r="R65" s="9">
        <f t="shared" si="4"/>
        <v>1518.7499999999936</v>
      </c>
      <c r="S65" s="7">
        <f t="shared" si="5"/>
        <v>-37.49999999999784</v>
      </c>
    </row>
    <row r="66" spans="1:22" x14ac:dyDescent="0.25">
      <c r="A66" s="4">
        <f>Sheet1!A66</f>
        <v>39177</v>
      </c>
      <c r="B66" s="5">
        <f>Sheet1!B66</f>
        <v>0.58333333333333337</v>
      </c>
      <c r="C66" s="6">
        <f>Sheet1!C66</f>
        <v>187.3</v>
      </c>
      <c r="D66" s="6">
        <f>Sheet1!D66</f>
        <v>188.1</v>
      </c>
      <c r="E66" s="6">
        <f>Sheet1!E66</f>
        <v>186.6</v>
      </c>
      <c r="F66" s="6">
        <f>Sheet1!F66</f>
        <v>187.35</v>
      </c>
      <c r="H66" s="6">
        <f ca="1">IF(ROW($H66)-1&lt;$I$1,$F66,AVERAGE($F66:OFFSET($F66,(($I$1-1)*-1),0)))</f>
        <v>186.6</v>
      </c>
      <c r="J66" s="6">
        <f ca="1">IF(ROW($J66)-1&lt;$K$1,$F66,AVERAGE($F66:OFFSET($F66,(($K$1-1)*-1),0)))</f>
        <v>188.64821428571435</v>
      </c>
      <c r="L66" s="7">
        <f t="shared" ca="1" si="0"/>
        <v>-1</v>
      </c>
      <c r="M66" s="7" t="str">
        <f t="shared" ca="1" si="1"/>
        <v/>
      </c>
      <c r="N66" s="6" t="str">
        <f t="shared" ca="1" si="2"/>
        <v/>
      </c>
      <c r="O66" s="6">
        <f t="shared" si="3"/>
        <v>0.29999999999998295</v>
      </c>
      <c r="Q66" s="6">
        <v>3.75</v>
      </c>
      <c r="R66" s="9">
        <f t="shared" si="4"/>
        <v>1406.25</v>
      </c>
      <c r="S66" s="7">
        <f t="shared" si="5"/>
        <v>-37.49999999999784</v>
      </c>
    </row>
    <row r="67" spans="1:22" x14ac:dyDescent="0.25">
      <c r="A67" s="4">
        <f>Sheet1!A67</f>
        <v>39181</v>
      </c>
      <c r="B67" s="5">
        <f>Sheet1!B67</f>
        <v>0.58333333333333337</v>
      </c>
      <c r="C67" s="6">
        <f>Sheet1!C67</f>
        <v>187</v>
      </c>
      <c r="D67" s="6">
        <f>Sheet1!D67</f>
        <v>188.1</v>
      </c>
      <c r="E67" s="6">
        <f>Sheet1!E67</f>
        <v>185.6</v>
      </c>
      <c r="F67" s="6">
        <f>Sheet1!F67</f>
        <v>186.15</v>
      </c>
      <c r="H67" s="6">
        <f ca="1">IF(ROW($H67)-1&lt;$I$1,$F67,AVERAGE($F67:OFFSET($F67,(($I$1-1)*-1),0)))</f>
        <v>186.44166666666669</v>
      </c>
      <c r="J67" s="6">
        <f ca="1">IF(ROW($J67)-1&lt;$K$1,$F67,AVERAGE($F67:OFFSET($F67,(($K$1-1)*-1),0)))</f>
        <v>188.33928571428575</v>
      </c>
      <c r="L67" s="7">
        <f t="shared" ref="L67:L130" ca="1" si="6">IF(ROW($L67)&gt;($K$1),IF($H67&gt;$J67,1,IF($H67&lt;$J67,-1,$L66*-1)),0)</f>
        <v>-1</v>
      </c>
      <c r="M67" s="7" t="str">
        <f t="shared" ca="1" si="1"/>
        <v/>
      </c>
      <c r="N67" s="6" t="str">
        <f t="shared" ca="1" si="2"/>
        <v/>
      </c>
      <c r="O67" s="6">
        <f t="shared" si="3"/>
        <v>-1.1999999999999886</v>
      </c>
      <c r="Q67" s="6">
        <v>4.9499999999999886</v>
      </c>
      <c r="R67" s="9">
        <f t="shared" si="4"/>
        <v>1856.2499999999957</v>
      </c>
      <c r="S67" s="7">
        <f t="shared" si="5"/>
        <v>-37.49999999999784</v>
      </c>
    </row>
    <row r="68" spans="1:22" x14ac:dyDescent="0.25">
      <c r="A68" s="4">
        <f>Sheet1!A68</f>
        <v>39182</v>
      </c>
      <c r="B68" s="5">
        <f>Sheet1!B68</f>
        <v>0.58333333333333337</v>
      </c>
      <c r="C68" s="6">
        <f>Sheet1!C68</f>
        <v>183.2</v>
      </c>
      <c r="D68" s="6">
        <f>Sheet1!D68</f>
        <v>183.65</v>
      </c>
      <c r="E68" s="6">
        <f>Sheet1!E68</f>
        <v>182.75</v>
      </c>
      <c r="F68" s="6">
        <f>Sheet1!F68</f>
        <v>182.85</v>
      </c>
      <c r="H68" s="6">
        <f ca="1">IF(ROW($H68)-1&lt;$I$1,$F68,AVERAGE($F68:OFFSET($F68,(($I$1-1)*-1),0)))</f>
        <v>185.95833333333334</v>
      </c>
      <c r="J68" s="6">
        <f ca="1">IF(ROW($J68)-1&lt;$K$1,$F68,AVERAGE($F68:OFFSET($F68,(($K$1-1)*-1),0)))</f>
        <v>187.91428571428574</v>
      </c>
      <c r="L68" s="7">
        <f t="shared" ca="1" si="6"/>
        <v>-1</v>
      </c>
      <c r="M68" s="7" t="str">
        <f t="shared" ref="M68:M131" ca="1" si="7">IF(L68&lt;&gt;L67,L68,"")</f>
        <v/>
      </c>
      <c r="N68" s="6" t="str">
        <f t="shared" ref="N68:N131" ca="1" si="8">IF(M67&lt;&gt;"",C68,"")</f>
        <v/>
      </c>
      <c r="O68" s="6">
        <f t="shared" ref="O68:O131" si="9">F68-F67</f>
        <v>-3.3000000000000114</v>
      </c>
      <c r="Q68" s="6">
        <v>8.25</v>
      </c>
      <c r="R68" s="9">
        <f t="shared" ref="R68:R131" si="10">IF(Q68="","",Q68*375)</f>
        <v>3093.75</v>
      </c>
      <c r="S68" s="7">
        <f t="shared" si="5"/>
        <v>-37.49999999999784</v>
      </c>
    </row>
    <row r="69" spans="1:22" x14ac:dyDescent="0.25">
      <c r="A69" s="4">
        <f>Sheet1!A69</f>
        <v>39183</v>
      </c>
      <c r="B69" s="5">
        <f>Sheet1!B69</f>
        <v>0.58333333333333337</v>
      </c>
      <c r="C69" s="6">
        <f>Sheet1!C69</f>
        <v>186.1</v>
      </c>
      <c r="D69" s="6">
        <f>Sheet1!D69</f>
        <v>186.2</v>
      </c>
      <c r="E69" s="6">
        <f>Sheet1!E69</f>
        <v>185.85</v>
      </c>
      <c r="F69" s="6">
        <f>Sheet1!F69</f>
        <v>185.95</v>
      </c>
      <c r="H69" s="6">
        <f ca="1">IF(ROW($H69)-1&lt;$I$1,$F69,AVERAGE($F69:OFFSET($F69,(($I$1-1)*-1),0)))</f>
        <v>186.1</v>
      </c>
      <c r="J69" s="6">
        <f ca="1">IF(ROW($J69)-1&lt;$K$1,$F69,AVERAGE($F69:OFFSET($F69,(($K$1-1)*-1),0)))</f>
        <v>187.66249999999999</v>
      </c>
      <c r="L69" s="7">
        <f t="shared" ca="1" si="6"/>
        <v>-1</v>
      </c>
      <c r="M69" s="7" t="str">
        <f t="shared" ca="1" si="7"/>
        <v/>
      </c>
      <c r="N69" s="6" t="str">
        <f t="shared" ca="1" si="8"/>
        <v/>
      </c>
      <c r="O69" s="6">
        <f t="shared" si="9"/>
        <v>3.0999999999999943</v>
      </c>
      <c r="Q69" s="6">
        <v>5.1500000000000057</v>
      </c>
      <c r="R69" s="9">
        <f t="shared" si="10"/>
        <v>1931.250000000002</v>
      </c>
      <c r="S69" s="7">
        <f t="shared" si="5"/>
        <v>-37.49999999999784</v>
      </c>
    </row>
    <row r="70" spans="1:22" x14ac:dyDescent="0.25">
      <c r="A70" s="4">
        <f>Sheet1!A70</f>
        <v>39184</v>
      </c>
      <c r="B70" s="5">
        <f>Sheet1!B70</f>
        <v>0.58333333333333337</v>
      </c>
      <c r="C70" s="6">
        <f>Sheet1!C70</f>
        <v>186.65</v>
      </c>
      <c r="D70" s="6">
        <f>Sheet1!D70</f>
        <v>190.1</v>
      </c>
      <c r="E70" s="6">
        <f>Sheet1!E70</f>
        <v>186.65</v>
      </c>
      <c r="F70" s="6">
        <f>Sheet1!F70</f>
        <v>189.3</v>
      </c>
      <c r="H70" s="6">
        <f ca="1">IF(ROW($H70)-1&lt;$I$1,$F70,AVERAGE($F70:OFFSET($F70,(($I$1-1)*-1),0)))</f>
        <v>186.44166666666663</v>
      </c>
      <c r="J70" s="6">
        <f ca="1">IF(ROW($J70)-1&lt;$K$1,$F70,AVERAGE($F70:OFFSET($F70,(($K$1-1)*-1),0)))</f>
        <v>187.57857142857142</v>
      </c>
      <c r="L70" s="7">
        <f t="shared" ca="1" si="6"/>
        <v>-1</v>
      </c>
      <c r="M70" s="7" t="str">
        <f t="shared" ca="1" si="7"/>
        <v/>
      </c>
      <c r="N70" s="6" t="str">
        <f t="shared" ca="1" si="8"/>
        <v/>
      </c>
      <c r="O70" s="6">
        <f t="shared" si="9"/>
        <v>3.3500000000000227</v>
      </c>
      <c r="Q70" s="6">
        <v>1.7999999999999829</v>
      </c>
      <c r="R70" s="9">
        <f t="shared" si="10"/>
        <v>674.99999999999363</v>
      </c>
      <c r="S70" s="7">
        <f t="shared" si="5"/>
        <v>-37.49999999999784</v>
      </c>
    </row>
    <row r="71" spans="1:22" x14ac:dyDescent="0.25">
      <c r="A71" s="4">
        <f>Sheet1!A71</f>
        <v>39185</v>
      </c>
      <c r="B71" s="5">
        <f>Sheet1!B71</f>
        <v>0.58333333333333337</v>
      </c>
      <c r="C71" s="6">
        <f>Sheet1!C71</f>
        <v>189.7</v>
      </c>
      <c r="D71" s="6">
        <f>Sheet1!D71</f>
        <v>190.2</v>
      </c>
      <c r="E71" s="6">
        <f>Sheet1!E71</f>
        <v>188.25</v>
      </c>
      <c r="F71" s="6">
        <f>Sheet1!F71</f>
        <v>188.25</v>
      </c>
      <c r="H71" s="6">
        <f ca="1">IF(ROW($H71)-1&lt;$I$1,$F71,AVERAGE($F71:OFFSET($F71,(($I$1-1)*-1),0)))</f>
        <v>186.64166666666665</v>
      </c>
      <c r="J71" s="6">
        <f ca="1">IF(ROW($J71)-1&lt;$K$1,$F71,AVERAGE($F71:OFFSET($F71,(($K$1-1)*-1),0)))</f>
        <v>187.59107142857141</v>
      </c>
      <c r="L71" s="7">
        <f t="shared" ca="1" si="6"/>
        <v>-1</v>
      </c>
      <c r="M71" s="7" t="str">
        <f t="shared" ca="1" si="7"/>
        <v/>
      </c>
      <c r="N71" s="6" t="str">
        <f t="shared" ca="1" si="8"/>
        <v/>
      </c>
      <c r="O71" s="6">
        <f t="shared" si="9"/>
        <v>-1.0500000000000114</v>
      </c>
      <c r="Q71" s="6">
        <v>2.8499999999999943</v>
      </c>
      <c r="R71" s="9">
        <f t="shared" si="10"/>
        <v>1068.749999999998</v>
      </c>
      <c r="S71" s="7">
        <f t="shared" si="5"/>
        <v>-37.49999999999784</v>
      </c>
      <c r="U71" s="7">
        <f ca="1">AVERAGE($F71:OFFSET($F71,(($I$1-1)*-1),0))</f>
        <v>186.64166666666665</v>
      </c>
      <c r="V71" s="7">
        <f ca="1">AVERAGE($F71:OFFSET($F71,(($I$1-1)*-1),0))</f>
        <v>186.64166666666665</v>
      </c>
    </row>
    <row r="72" spans="1:22" x14ac:dyDescent="0.25">
      <c r="A72" s="4">
        <f>Sheet1!A72</f>
        <v>39188</v>
      </c>
      <c r="B72" s="5">
        <f>Sheet1!B72</f>
        <v>0.58333333333333337</v>
      </c>
      <c r="C72" s="6">
        <f>Sheet1!C72</f>
        <v>187.95</v>
      </c>
      <c r="D72" s="6">
        <f>Sheet1!D72</f>
        <v>188.1</v>
      </c>
      <c r="E72" s="6">
        <f>Sheet1!E72</f>
        <v>184.65</v>
      </c>
      <c r="F72" s="6">
        <f>Sheet1!F72</f>
        <v>184.8</v>
      </c>
      <c r="H72" s="6">
        <f ca="1">IF(ROW($H72)-1&lt;$I$1,$F72,AVERAGE($F72:OFFSET($F72,(($I$1-1)*-1),0)))</f>
        <v>186.21666666666667</v>
      </c>
      <c r="J72" s="6">
        <f ca="1">IF(ROW($J72)-1&lt;$K$1,$F72,AVERAGE($F72:OFFSET($F72,(($K$1-1)*-1),0)))</f>
        <v>187.42857142857142</v>
      </c>
      <c r="L72" s="7">
        <f t="shared" ca="1" si="6"/>
        <v>-1</v>
      </c>
      <c r="M72" s="7" t="str">
        <f t="shared" ca="1" si="7"/>
        <v/>
      </c>
      <c r="N72" s="6" t="str">
        <f t="shared" ca="1" si="8"/>
        <v/>
      </c>
      <c r="O72" s="6">
        <f t="shared" si="9"/>
        <v>-3.4499999999999886</v>
      </c>
      <c r="Q72" s="6">
        <v>6.2999999999999829</v>
      </c>
      <c r="R72" s="9">
        <f t="shared" si="10"/>
        <v>2362.4999999999936</v>
      </c>
      <c r="S72" s="7">
        <f t="shared" si="5"/>
        <v>-37.49999999999784</v>
      </c>
    </row>
    <row r="73" spans="1:22" x14ac:dyDescent="0.25">
      <c r="A73" s="4">
        <f>Sheet1!A73</f>
        <v>39189</v>
      </c>
      <c r="B73" s="5">
        <f>Sheet1!B73</f>
        <v>0.58333333333333337</v>
      </c>
      <c r="C73" s="6">
        <f>Sheet1!C73</f>
        <v>184.7</v>
      </c>
      <c r="D73" s="6">
        <f>Sheet1!D73</f>
        <v>186.2</v>
      </c>
      <c r="E73" s="6">
        <f>Sheet1!E73</f>
        <v>184.5</v>
      </c>
      <c r="F73" s="6">
        <f>Sheet1!F73</f>
        <v>185.85</v>
      </c>
      <c r="H73" s="6">
        <f ca="1">IF(ROW($H73)-1&lt;$I$1,$F73,AVERAGE($F73:OFFSET($F73,(($I$1-1)*-1),0)))</f>
        <v>186.16666666666663</v>
      </c>
      <c r="J73" s="6">
        <f ca="1">IF(ROW($J73)-1&lt;$K$1,$F73,AVERAGE($F73:OFFSET($F73,(($K$1-1)*-1),0)))</f>
        <v>187.32500000000002</v>
      </c>
      <c r="L73" s="7">
        <f t="shared" ca="1" si="6"/>
        <v>-1</v>
      </c>
      <c r="M73" s="7" t="str">
        <f t="shared" ca="1" si="7"/>
        <v/>
      </c>
      <c r="N73" s="6" t="str">
        <f t="shared" ca="1" si="8"/>
        <v/>
      </c>
      <c r="O73" s="6">
        <f t="shared" si="9"/>
        <v>1.0499999999999829</v>
      </c>
      <c r="Q73" s="6">
        <v>5.25</v>
      </c>
      <c r="R73" s="9">
        <f t="shared" si="10"/>
        <v>1968.75</v>
      </c>
      <c r="S73" s="7">
        <f t="shared" si="5"/>
        <v>-37.49999999999784</v>
      </c>
    </row>
    <row r="74" spans="1:22" x14ac:dyDescent="0.25">
      <c r="A74" s="4">
        <f>Sheet1!A74</f>
        <v>39190</v>
      </c>
      <c r="B74" s="5">
        <f>Sheet1!B74</f>
        <v>0.58333333333333337</v>
      </c>
      <c r="C74" s="6">
        <f>Sheet1!C74</f>
        <v>186</v>
      </c>
      <c r="D74" s="6">
        <f>Sheet1!D74</f>
        <v>187.6</v>
      </c>
      <c r="E74" s="6">
        <f>Sheet1!E74</f>
        <v>185.2</v>
      </c>
      <c r="F74" s="6">
        <f>Sheet1!F74</f>
        <v>185.7</v>
      </c>
      <c r="H74" s="6">
        <f ca="1">IF(ROW($H74)-1&lt;$I$1,$F74,AVERAGE($F74:OFFSET($F74,(($I$1-1)*-1),0)))</f>
        <v>186.64166666666665</v>
      </c>
      <c r="J74" s="6">
        <f ca="1">IF(ROW($J74)-1&lt;$K$1,$F74,AVERAGE($F74:OFFSET($F74,(($K$1-1)*-1),0)))</f>
        <v>187.21785714285716</v>
      </c>
      <c r="L74" s="7">
        <f t="shared" ca="1" si="6"/>
        <v>-1</v>
      </c>
      <c r="M74" s="7" t="str">
        <f t="shared" ca="1" si="7"/>
        <v/>
      </c>
      <c r="N74" s="6" t="str">
        <f t="shared" ca="1" si="8"/>
        <v/>
      </c>
      <c r="O74" s="6">
        <f t="shared" si="9"/>
        <v>-0.15000000000000568</v>
      </c>
      <c r="Q74" s="6">
        <v>5.4000000000000057</v>
      </c>
      <c r="R74" s="9">
        <f t="shared" si="10"/>
        <v>2025.000000000002</v>
      </c>
      <c r="S74" s="7">
        <f t="shared" si="5"/>
        <v>-37.49999999999784</v>
      </c>
    </row>
    <row r="75" spans="1:22" x14ac:dyDescent="0.25">
      <c r="A75" s="4">
        <f>Sheet1!A75</f>
        <v>39191</v>
      </c>
      <c r="B75" s="5">
        <f>Sheet1!B75</f>
        <v>0.58333333333333337</v>
      </c>
      <c r="C75" s="6">
        <f>Sheet1!C75</f>
        <v>185.2</v>
      </c>
      <c r="D75" s="6">
        <f>Sheet1!D75</f>
        <v>186.3</v>
      </c>
      <c r="E75" s="6">
        <f>Sheet1!E75</f>
        <v>184.85</v>
      </c>
      <c r="F75" s="6">
        <f>Sheet1!F75</f>
        <v>185.1</v>
      </c>
      <c r="H75" s="6">
        <f ca="1">IF(ROW($H75)-1&lt;$I$1,$F75,AVERAGE($F75:OFFSET($F75,(($I$1-1)*-1),0)))</f>
        <v>186.5</v>
      </c>
      <c r="J75" s="6">
        <f ca="1">IF(ROW($J75)-1&lt;$K$1,$F75,AVERAGE($F75:OFFSET($F75,(($K$1-1)*-1),0)))</f>
        <v>187.08214285714286</v>
      </c>
      <c r="L75" s="7">
        <f t="shared" ca="1" si="6"/>
        <v>-1</v>
      </c>
      <c r="M75" s="7" t="str">
        <f t="shared" ca="1" si="7"/>
        <v/>
      </c>
      <c r="N75" s="6" t="str">
        <f t="shared" ca="1" si="8"/>
        <v/>
      </c>
      <c r="O75" s="6">
        <f t="shared" si="9"/>
        <v>-0.59999999999999432</v>
      </c>
      <c r="Q75" s="6">
        <v>6</v>
      </c>
      <c r="R75" s="9">
        <f t="shared" si="10"/>
        <v>2250</v>
      </c>
      <c r="S75" s="7">
        <f t="shared" si="5"/>
        <v>-37.49999999999784</v>
      </c>
    </row>
    <row r="76" spans="1:22" x14ac:dyDescent="0.25">
      <c r="A76" s="4">
        <f>Sheet1!A76</f>
        <v>39192</v>
      </c>
      <c r="B76" s="5">
        <f>Sheet1!B76</f>
        <v>0.58333333333333337</v>
      </c>
      <c r="C76" s="6">
        <f>Sheet1!C76</f>
        <v>185.6</v>
      </c>
      <c r="D76" s="6">
        <f>Sheet1!D76</f>
        <v>186</v>
      </c>
      <c r="E76" s="6">
        <f>Sheet1!E76</f>
        <v>184.1</v>
      </c>
      <c r="F76" s="6">
        <f>Sheet1!F76</f>
        <v>184.25</v>
      </c>
      <c r="H76" s="6">
        <f ca="1">IF(ROW($H76)-1&lt;$I$1,$F76,AVERAGE($F76:OFFSET($F76,(($I$1-1)*-1),0)))</f>
        <v>185.6583333333333</v>
      </c>
      <c r="J76" s="6">
        <f ca="1">IF(ROW($J76)-1&lt;$K$1,$F76,AVERAGE($F76:OFFSET($F76,(($K$1-1)*-1),0)))</f>
        <v>186.9375</v>
      </c>
      <c r="L76" s="7">
        <f t="shared" ca="1" si="6"/>
        <v>-1</v>
      </c>
      <c r="M76" s="7" t="str">
        <f t="shared" ca="1" si="7"/>
        <v/>
      </c>
      <c r="N76" s="6" t="str">
        <f t="shared" ca="1" si="8"/>
        <v/>
      </c>
      <c r="O76" s="6">
        <f t="shared" si="9"/>
        <v>-0.84999999999999432</v>
      </c>
      <c r="Q76" s="6">
        <v>6.8499999999999943</v>
      </c>
      <c r="R76" s="9">
        <f t="shared" si="10"/>
        <v>2568.7499999999977</v>
      </c>
      <c r="S76" s="7">
        <f t="shared" si="5"/>
        <v>-37.49999999999784</v>
      </c>
    </row>
    <row r="77" spans="1:22" x14ac:dyDescent="0.25">
      <c r="A77" s="4">
        <f>Sheet1!A77</f>
        <v>39195</v>
      </c>
      <c r="B77" s="5">
        <f>Sheet1!B77</f>
        <v>0.58333333333333337</v>
      </c>
      <c r="C77" s="6">
        <f>Sheet1!C77</f>
        <v>184.1</v>
      </c>
      <c r="D77" s="6">
        <f>Sheet1!D77</f>
        <v>185.1</v>
      </c>
      <c r="E77" s="6">
        <f>Sheet1!E77</f>
        <v>182.7</v>
      </c>
      <c r="F77" s="6">
        <f>Sheet1!F77</f>
        <v>183</v>
      </c>
      <c r="H77" s="6">
        <f ca="1">IF(ROW($H77)-1&lt;$I$1,$F77,AVERAGE($F77:OFFSET($F77,(($I$1-1)*-1),0)))</f>
        <v>184.7833333333333</v>
      </c>
      <c r="J77" s="6">
        <f ca="1">IF(ROW($J77)-1&lt;$K$1,$F77,AVERAGE($F77:OFFSET($F77,(($K$1-1)*-1),0)))</f>
        <v>186.77500000000003</v>
      </c>
      <c r="L77" s="7">
        <f t="shared" ca="1" si="6"/>
        <v>-1</v>
      </c>
      <c r="M77" s="7" t="str">
        <f t="shared" ca="1" si="7"/>
        <v/>
      </c>
      <c r="N77" s="6" t="str">
        <f t="shared" ca="1" si="8"/>
        <v/>
      </c>
      <c r="O77" s="6">
        <f t="shared" si="9"/>
        <v>-1.25</v>
      </c>
      <c r="Q77" s="6">
        <v>8.0999999999999943</v>
      </c>
      <c r="R77" s="9">
        <f t="shared" si="10"/>
        <v>3037.4999999999977</v>
      </c>
      <c r="S77" s="7">
        <f t="shared" si="5"/>
        <v>-37.49999999999784</v>
      </c>
    </row>
    <row r="78" spans="1:22" x14ac:dyDescent="0.25">
      <c r="A78" s="4">
        <f>Sheet1!A78</f>
        <v>39196</v>
      </c>
      <c r="B78" s="5">
        <f>Sheet1!B78</f>
        <v>0.58333333333333337</v>
      </c>
      <c r="C78" s="6">
        <f>Sheet1!C78</f>
        <v>182.85</v>
      </c>
      <c r="D78" s="6">
        <f>Sheet1!D78</f>
        <v>183.6</v>
      </c>
      <c r="E78" s="6">
        <f>Sheet1!E78</f>
        <v>180.6</v>
      </c>
      <c r="F78" s="6">
        <f>Sheet1!F78</f>
        <v>181.25</v>
      </c>
      <c r="H78" s="6">
        <f ca="1">IF(ROW($H78)-1&lt;$I$1,$F78,AVERAGE($F78:OFFSET($F78,(($I$1-1)*-1),0)))</f>
        <v>184.19166666666669</v>
      </c>
      <c r="J78" s="6">
        <f ca="1">IF(ROW($J78)-1&lt;$K$1,$F78,AVERAGE($F78:OFFSET($F78,(($K$1-1)*-1),0)))</f>
        <v>186.59285714285716</v>
      </c>
      <c r="L78" s="7">
        <f t="shared" ca="1" si="6"/>
        <v>-1</v>
      </c>
      <c r="M78" s="7" t="str">
        <f t="shared" ca="1" si="7"/>
        <v/>
      </c>
      <c r="N78" s="6" t="str">
        <f t="shared" ca="1" si="8"/>
        <v/>
      </c>
      <c r="O78" s="6">
        <f t="shared" si="9"/>
        <v>-1.75</v>
      </c>
      <c r="Q78" s="6">
        <v>9.8499999999999943</v>
      </c>
      <c r="R78" s="9">
        <f t="shared" si="10"/>
        <v>3693.7499999999977</v>
      </c>
      <c r="S78" s="7">
        <f t="shared" si="5"/>
        <v>-37.49999999999784</v>
      </c>
    </row>
    <row r="79" spans="1:22" x14ac:dyDescent="0.25">
      <c r="A79" s="4">
        <f>Sheet1!A79</f>
        <v>39197</v>
      </c>
      <c r="B79" s="5">
        <f>Sheet1!B79</f>
        <v>0.58333333333333337</v>
      </c>
      <c r="C79" s="6">
        <f>Sheet1!C79</f>
        <v>180.85</v>
      </c>
      <c r="D79" s="6">
        <f>Sheet1!D79</f>
        <v>181.5</v>
      </c>
      <c r="E79" s="6">
        <f>Sheet1!E79</f>
        <v>180.7</v>
      </c>
      <c r="F79" s="6">
        <f>Sheet1!F79</f>
        <v>180.85</v>
      </c>
      <c r="H79" s="6">
        <f ca="1">IF(ROW($H79)-1&lt;$I$1,$F79,AVERAGE($F79:OFFSET($F79,(($I$1-1)*-1),0)))</f>
        <v>183.35833333333332</v>
      </c>
      <c r="J79" s="6">
        <f ca="1">IF(ROW($J79)-1&lt;$K$1,$F79,AVERAGE($F79:OFFSET($F79,(($K$1-1)*-1),0)))</f>
        <v>186.37142857142859</v>
      </c>
      <c r="L79" s="7">
        <f t="shared" ca="1" si="6"/>
        <v>-1</v>
      </c>
      <c r="M79" s="7" t="str">
        <f t="shared" ca="1" si="7"/>
        <v/>
      </c>
      <c r="N79" s="6" t="str">
        <f t="shared" ca="1" si="8"/>
        <v/>
      </c>
      <c r="O79" s="6">
        <f t="shared" si="9"/>
        <v>-0.40000000000000568</v>
      </c>
      <c r="Q79" s="6">
        <v>10.25</v>
      </c>
      <c r="R79" s="9">
        <f t="shared" si="10"/>
        <v>3843.75</v>
      </c>
      <c r="S79" s="7">
        <f t="shared" si="5"/>
        <v>-37.49999999999784</v>
      </c>
    </row>
    <row r="80" spans="1:22" x14ac:dyDescent="0.25">
      <c r="A80" s="4">
        <f>Sheet1!A80</f>
        <v>39198</v>
      </c>
      <c r="B80" s="5">
        <f>Sheet1!B80</f>
        <v>0.58333333333333337</v>
      </c>
      <c r="C80" s="6">
        <f>Sheet1!C80</f>
        <v>180.4</v>
      </c>
      <c r="D80" s="6">
        <f>Sheet1!D80</f>
        <v>180.7</v>
      </c>
      <c r="E80" s="6">
        <f>Sheet1!E80</f>
        <v>179.9</v>
      </c>
      <c r="F80" s="6">
        <f>Sheet1!F80</f>
        <v>180.35</v>
      </c>
      <c r="H80" s="6">
        <f ca="1">IF(ROW($H80)-1&lt;$I$1,$F80,AVERAGE($F80:OFFSET($F80,(($I$1-1)*-1),0)))</f>
        <v>182.46666666666667</v>
      </c>
      <c r="J80" s="6">
        <f ca="1">IF(ROW($J80)-1&lt;$K$1,$F80,AVERAGE($F80:OFFSET($F80,(($K$1-1)*-1),0)))</f>
        <v>186.13928571428576</v>
      </c>
      <c r="L80" s="7">
        <f t="shared" ca="1" si="6"/>
        <v>-1</v>
      </c>
      <c r="M80" s="7" t="str">
        <f t="shared" ca="1" si="7"/>
        <v/>
      </c>
      <c r="N80" s="6" t="str">
        <f t="shared" ca="1" si="8"/>
        <v/>
      </c>
      <c r="O80" s="6">
        <f t="shared" si="9"/>
        <v>-0.5</v>
      </c>
      <c r="Q80" s="6">
        <v>10.75</v>
      </c>
      <c r="R80" s="9">
        <f t="shared" si="10"/>
        <v>4031.25</v>
      </c>
      <c r="S80" s="7">
        <f t="shared" ref="S80:S143" si="11">S79+(P80*375)</f>
        <v>-37.49999999999784</v>
      </c>
    </row>
    <row r="81" spans="1:19" x14ac:dyDescent="0.25">
      <c r="A81" s="4">
        <f>Sheet1!A81</f>
        <v>39199</v>
      </c>
      <c r="B81" s="5">
        <f>Sheet1!B81</f>
        <v>0.58333333333333337</v>
      </c>
      <c r="C81" s="6">
        <f>Sheet1!C81</f>
        <v>179.9</v>
      </c>
      <c r="D81" s="6">
        <f>Sheet1!D81</f>
        <v>181.5</v>
      </c>
      <c r="E81" s="6">
        <f>Sheet1!E81</f>
        <v>179.5</v>
      </c>
      <c r="F81" s="6">
        <f>Sheet1!F81</f>
        <v>180.6</v>
      </c>
      <c r="H81" s="6">
        <f ca="1">IF(ROW($H81)-1&lt;$I$1,$F81,AVERAGE($F81:OFFSET($F81,(($I$1-1)*-1),0)))</f>
        <v>181.71666666666667</v>
      </c>
      <c r="J81" s="6">
        <f ca="1">IF(ROW($J81)-1&lt;$K$1,$F81,AVERAGE($F81:OFFSET($F81,(($K$1-1)*-1),0)))</f>
        <v>185.91964285714289</v>
      </c>
      <c r="L81" s="7">
        <f t="shared" ca="1" si="6"/>
        <v>-1</v>
      </c>
      <c r="M81" s="7" t="str">
        <f t="shared" ca="1" si="7"/>
        <v/>
      </c>
      <c r="N81" s="6" t="str">
        <f t="shared" ca="1" si="8"/>
        <v/>
      </c>
      <c r="O81" s="6">
        <f t="shared" si="9"/>
        <v>0.25</v>
      </c>
      <c r="Q81" s="6">
        <v>10.5</v>
      </c>
      <c r="R81" s="9">
        <f t="shared" si="10"/>
        <v>3937.5</v>
      </c>
      <c r="S81" s="7">
        <f t="shared" si="11"/>
        <v>-37.49999999999784</v>
      </c>
    </row>
    <row r="82" spans="1:19" x14ac:dyDescent="0.25">
      <c r="A82" s="4">
        <f>Sheet1!A82</f>
        <v>39202</v>
      </c>
      <c r="B82" s="5">
        <f>Sheet1!B82</f>
        <v>0.58333333333333337</v>
      </c>
      <c r="C82" s="6">
        <f>Sheet1!C82</f>
        <v>180.6</v>
      </c>
      <c r="D82" s="6">
        <f>Sheet1!D82</f>
        <v>181</v>
      </c>
      <c r="E82" s="6">
        <f>Sheet1!E82</f>
        <v>179.35</v>
      </c>
      <c r="F82" s="6">
        <f>Sheet1!F82</f>
        <v>179.75</v>
      </c>
      <c r="H82" s="6">
        <f ca="1">IF(ROW($H82)-1&lt;$I$1,$F82,AVERAGE($F82:OFFSET($F82,(($I$1-1)*-1),0)))</f>
        <v>180.9666666666667</v>
      </c>
      <c r="J82" s="6">
        <f ca="1">IF(ROW($J82)-1&lt;$K$1,$F82,AVERAGE($F82:OFFSET($F82,(($K$1-1)*-1),0)))</f>
        <v>185.70357142857145</v>
      </c>
      <c r="L82" s="7">
        <f t="shared" ca="1" si="6"/>
        <v>-1</v>
      </c>
      <c r="M82" s="7" t="str">
        <f t="shared" ca="1" si="7"/>
        <v/>
      </c>
      <c r="N82" s="6" t="str">
        <f t="shared" ca="1" si="8"/>
        <v/>
      </c>
      <c r="O82" s="6">
        <f t="shared" si="9"/>
        <v>-0.84999999999999432</v>
      </c>
      <c r="Q82" s="6">
        <v>11.349999999999994</v>
      </c>
      <c r="R82" s="9">
        <f t="shared" si="10"/>
        <v>4256.2499999999982</v>
      </c>
      <c r="S82" s="7">
        <f t="shared" si="11"/>
        <v>-37.49999999999784</v>
      </c>
    </row>
    <row r="83" spans="1:19" x14ac:dyDescent="0.25">
      <c r="A83" s="4">
        <f>Sheet1!A83</f>
        <v>39203</v>
      </c>
      <c r="B83" s="5">
        <f>Sheet1!B83</f>
        <v>0.58333333333333337</v>
      </c>
      <c r="C83" s="6">
        <f>Sheet1!C83</f>
        <v>178.2</v>
      </c>
      <c r="D83" s="6">
        <f>Sheet1!D83</f>
        <v>179</v>
      </c>
      <c r="E83" s="6">
        <f>Sheet1!E83</f>
        <v>176.85</v>
      </c>
      <c r="F83" s="6">
        <f>Sheet1!F83</f>
        <v>178.45</v>
      </c>
      <c r="H83" s="6">
        <f ca="1">IF(ROW($H83)-1&lt;$I$1,$F83,AVERAGE($F83:OFFSET($F83,(($I$1-1)*-1),0)))</f>
        <v>180.20833333333334</v>
      </c>
      <c r="J83" s="6">
        <f ca="1">IF(ROW($J83)-1&lt;$K$1,$F83,AVERAGE($F83:OFFSET($F83,(($K$1-1)*-1),0)))</f>
        <v>185.32678571428573</v>
      </c>
      <c r="L83" s="7">
        <f t="shared" ca="1" si="6"/>
        <v>-1</v>
      </c>
      <c r="M83" s="7" t="str">
        <f t="shared" ca="1" si="7"/>
        <v/>
      </c>
      <c r="N83" s="6" t="str">
        <f t="shared" ca="1" si="8"/>
        <v/>
      </c>
      <c r="O83" s="6">
        <f t="shared" si="9"/>
        <v>-1.3000000000000114</v>
      </c>
      <c r="Q83" s="6">
        <v>12.650000000000006</v>
      </c>
      <c r="R83" s="9">
        <f t="shared" si="10"/>
        <v>4743.7500000000018</v>
      </c>
      <c r="S83" s="7">
        <f t="shared" si="11"/>
        <v>-37.49999999999784</v>
      </c>
    </row>
    <row r="84" spans="1:19" x14ac:dyDescent="0.25">
      <c r="A84" s="4">
        <f>Sheet1!A84</f>
        <v>39204</v>
      </c>
      <c r="B84" s="5">
        <f>Sheet1!B84</f>
        <v>0.58333333333333337</v>
      </c>
      <c r="C84" s="6">
        <f>Sheet1!C84</f>
        <v>178.8</v>
      </c>
      <c r="D84" s="6">
        <f>Sheet1!D84</f>
        <v>179.4</v>
      </c>
      <c r="E84" s="6">
        <f>Sheet1!E84</f>
        <v>178.2</v>
      </c>
      <c r="F84" s="6">
        <f>Sheet1!F84</f>
        <v>178.3</v>
      </c>
      <c r="H84" s="6">
        <f ca="1">IF(ROW($H84)-1&lt;$I$1,$F84,AVERAGE($F84:OFFSET($F84,(($I$1-1)*-1),0)))</f>
        <v>179.71666666666667</v>
      </c>
      <c r="J84" s="6">
        <f ca="1">IF(ROW($J84)-1&lt;$K$1,$F84,AVERAGE($F84:OFFSET($F84,(($K$1-1)*-1),0)))</f>
        <v>184.97142857142859</v>
      </c>
      <c r="L84" s="7">
        <f t="shared" ca="1" si="6"/>
        <v>-1</v>
      </c>
      <c r="M84" s="7" t="str">
        <f t="shared" ca="1" si="7"/>
        <v/>
      </c>
      <c r="N84" s="6" t="str">
        <f t="shared" ca="1" si="8"/>
        <v/>
      </c>
      <c r="O84" s="6">
        <f t="shared" si="9"/>
        <v>-0.14999999999997726</v>
      </c>
      <c r="Q84" s="6">
        <v>12.799999999999983</v>
      </c>
      <c r="R84" s="9">
        <f t="shared" si="10"/>
        <v>4799.9999999999936</v>
      </c>
      <c r="S84" s="7">
        <f t="shared" si="11"/>
        <v>-37.49999999999784</v>
      </c>
    </row>
    <row r="85" spans="1:19" x14ac:dyDescent="0.25">
      <c r="A85" s="4">
        <f>Sheet1!A85</f>
        <v>39205</v>
      </c>
      <c r="B85" s="5">
        <f>Sheet1!B85</f>
        <v>0.58333333333333337</v>
      </c>
      <c r="C85" s="6">
        <f>Sheet1!C85</f>
        <v>178.45</v>
      </c>
      <c r="D85" s="6">
        <f>Sheet1!D85</f>
        <v>179</v>
      </c>
      <c r="E85" s="6">
        <f>Sheet1!E85</f>
        <v>177.7</v>
      </c>
      <c r="F85" s="6">
        <f>Sheet1!F85</f>
        <v>177.95</v>
      </c>
      <c r="H85" s="6">
        <f ca="1">IF(ROW($H85)-1&lt;$I$1,$F85,AVERAGE($F85:OFFSET($F85,(($I$1-1)*-1),0)))</f>
        <v>179.23333333333335</v>
      </c>
      <c r="J85" s="6">
        <f ca="1">IF(ROW($J85)-1&lt;$K$1,$F85,AVERAGE($F85:OFFSET($F85,(($K$1-1)*-1),0)))</f>
        <v>184.54642857142858</v>
      </c>
      <c r="L85" s="7">
        <f t="shared" ca="1" si="6"/>
        <v>-1</v>
      </c>
      <c r="M85" s="7" t="str">
        <f t="shared" ca="1" si="7"/>
        <v/>
      </c>
      <c r="N85" s="6" t="str">
        <f t="shared" ca="1" si="8"/>
        <v/>
      </c>
      <c r="O85" s="6">
        <f t="shared" si="9"/>
        <v>-0.35000000000002274</v>
      </c>
      <c r="Q85" s="6">
        <v>13.150000000000006</v>
      </c>
      <c r="R85" s="9">
        <f t="shared" si="10"/>
        <v>4931.2500000000018</v>
      </c>
      <c r="S85" s="7">
        <f t="shared" si="11"/>
        <v>-37.49999999999784</v>
      </c>
    </row>
    <row r="86" spans="1:19" x14ac:dyDescent="0.25">
      <c r="A86" s="4">
        <f>Sheet1!A86</f>
        <v>39206</v>
      </c>
      <c r="B86" s="5">
        <f>Sheet1!B86</f>
        <v>0.58333333333333337</v>
      </c>
      <c r="C86" s="6">
        <f>Sheet1!C86</f>
        <v>179</v>
      </c>
      <c r="D86" s="6">
        <f>Sheet1!D86</f>
        <v>180.4</v>
      </c>
      <c r="E86" s="6">
        <f>Sheet1!E86</f>
        <v>179</v>
      </c>
      <c r="F86" s="6">
        <f>Sheet1!F86</f>
        <v>179.6</v>
      </c>
      <c r="H86" s="6">
        <f ca="1">IF(ROW($H86)-1&lt;$I$1,$F86,AVERAGE($F86:OFFSET($F86,(($I$1-1)*-1),0)))</f>
        <v>179.10833333333332</v>
      </c>
      <c r="J86" s="6">
        <f ca="1">IF(ROW($J86)-1&lt;$K$1,$F86,AVERAGE($F86:OFFSET($F86,(($K$1-1)*-1),0)))</f>
        <v>184.14464285714286</v>
      </c>
      <c r="L86" s="7">
        <f t="shared" ca="1" si="6"/>
        <v>-1</v>
      </c>
      <c r="M86" s="7" t="str">
        <f t="shared" ca="1" si="7"/>
        <v/>
      </c>
      <c r="N86" s="6" t="str">
        <f t="shared" ca="1" si="8"/>
        <v/>
      </c>
      <c r="O86" s="6">
        <f t="shared" si="9"/>
        <v>1.6500000000000057</v>
      </c>
      <c r="Q86" s="6">
        <v>11.5</v>
      </c>
      <c r="R86" s="9">
        <f t="shared" si="10"/>
        <v>4312.5</v>
      </c>
      <c r="S86" s="7">
        <f t="shared" si="11"/>
        <v>-37.49999999999784</v>
      </c>
    </row>
    <row r="87" spans="1:19" x14ac:dyDescent="0.25">
      <c r="A87" s="4">
        <f>Sheet1!A87</f>
        <v>39209</v>
      </c>
      <c r="B87" s="5">
        <f>Sheet1!B87</f>
        <v>0.58333333333333337</v>
      </c>
      <c r="C87" s="6">
        <f>Sheet1!C87</f>
        <v>179.9</v>
      </c>
      <c r="D87" s="6">
        <f>Sheet1!D87</f>
        <v>180.5</v>
      </c>
      <c r="E87" s="6">
        <f>Sheet1!E87</f>
        <v>178</v>
      </c>
      <c r="F87" s="6">
        <f>Sheet1!F87</f>
        <v>178.4</v>
      </c>
      <c r="H87" s="6">
        <f ca="1">IF(ROW($H87)-1&lt;$I$1,$F87,AVERAGE($F87:OFFSET($F87,(($I$1-1)*-1),0)))</f>
        <v>178.74166666666667</v>
      </c>
      <c r="J87" s="6">
        <f ca="1">IF(ROW($J87)-1&lt;$K$1,$F87,AVERAGE($F87:OFFSET($F87,(($K$1-1)*-1),0)))</f>
        <v>183.76785714285711</v>
      </c>
      <c r="L87" s="7">
        <f t="shared" ca="1" si="6"/>
        <v>-1</v>
      </c>
      <c r="M87" s="7" t="str">
        <f t="shared" ca="1" si="7"/>
        <v/>
      </c>
      <c r="N87" s="6" t="str">
        <f t="shared" ca="1" si="8"/>
        <v/>
      </c>
      <c r="O87" s="6">
        <f t="shared" si="9"/>
        <v>-1.1999999999999886</v>
      </c>
      <c r="Q87" s="6">
        <v>12.699999999999989</v>
      </c>
      <c r="R87" s="9">
        <f t="shared" si="10"/>
        <v>4762.4999999999955</v>
      </c>
      <c r="S87" s="7">
        <f t="shared" si="11"/>
        <v>-37.49999999999784</v>
      </c>
    </row>
    <row r="88" spans="1:19" x14ac:dyDescent="0.25">
      <c r="A88" s="4">
        <f>Sheet1!A88</f>
        <v>39210</v>
      </c>
      <c r="B88" s="5">
        <f>Sheet1!B88</f>
        <v>0.58333333333333337</v>
      </c>
      <c r="C88" s="6">
        <f>Sheet1!C88</f>
        <v>179.1</v>
      </c>
      <c r="D88" s="6">
        <f>Sheet1!D88</f>
        <v>180.8</v>
      </c>
      <c r="E88" s="6">
        <f>Sheet1!E88</f>
        <v>178.4</v>
      </c>
      <c r="F88" s="6">
        <f>Sheet1!F88</f>
        <v>178.85</v>
      </c>
      <c r="H88" s="6">
        <f ca="1">IF(ROW($H88)-1&lt;$I$1,$F88,AVERAGE($F88:OFFSET($F88,(($I$1-1)*-1),0)))</f>
        <v>178.59166666666667</v>
      </c>
      <c r="J88" s="6">
        <f ca="1">IF(ROW($J88)-1&lt;$K$1,$F88,AVERAGE($F88:OFFSET($F88,(($K$1-1)*-1),0)))</f>
        <v>183.39821428571426</v>
      </c>
      <c r="L88" s="7">
        <f t="shared" ca="1" si="6"/>
        <v>-1</v>
      </c>
      <c r="M88" s="7" t="str">
        <f t="shared" ca="1" si="7"/>
        <v/>
      </c>
      <c r="N88" s="6" t="str">
        <f t="shared" ca="1" si="8"/>
        <v/>
      </c>
      <c r="O88" s="6">
        <f t="shared" si="9"/>
        <v>0.44999999999998863</v>
      </c>
      <c r="Q88" s="6">
        <v>12.25</v>
      </c>
      <c r="R88" s="9">
        <f t="shared" si="10"/>
        <v>4593.75</v>
      </c>
      <c r="S88" s="7">
        <f t="shared" si="11"/>
        <v>-37.49999999999784</v>
      </c>
    </row>
    <row r="89" spans="1:19" x14ac:dyDescent="0.25">
      <c r="A89" s="4">
        <f>Sheet1!A89</f>
        <v>39211</v>
      </c>
      <c r="B89" s="5">
        <f>Sheet1!B89</f>
        <v>0.58333333333333337</v>
      </c>
      <c r="C89" s="6">
        <f>Sheet1!C89</f>
        <v>178.9</v>
      </c>
      <c r="D89" s="6">
        <f>Sheet1!D89</f>
        <v>180.5</v>
      </c>
      <c r="E89" s="6">
        <f>Sheet1!E89</f>
        <v>178.65</v>
      </c>
      <c r="F89" s="6">
        <f>Sheet1!F89</f>
        <v>179.85</v>
      </c>
      <c r="H89" s="6">
        <f ca="1">IF(ROW($H89)-1&lt;$I$1,$F89,AVERAGE($F89:OFFSET($F89,(($I$1-1)*-1),0)))</f>
        <v>178.82500000000002</v>
      </c>
      <c r="J89" s="6">
        <f ca="1">IF(ROW($J89)-1&lt;$K$1,$F89,AVERAGE($F89:OFFSET($F89,(($K$1-1)*-1),0)))</f>
        <v>183.13928571428571</v>
      </c>
      <c r="L89" s="7">
        <f t="shared" ca="1" si="6"/>
        <v>-1</v>
      </c>
      <c r="M89" s="7" t="str">
        <f t="shared" ca="1" si="7"/>
        <v/>
      </c>
      <c r="N89" s="6" t="str">
        <f t="shared" ca="1" si="8"/>
        <v/>
      </c>
      <c r="O89" s="6">
        <f t="shared" si="9"/>
        <v>1</v>
      </c>
      <c r="Q89" s="6">
        <v>11.25</v>
      </c>
      <c r="R89" s="9">
        <f t="shared" si="10"/>
        <v>4218.75</v>
      </c>
      <c r="S89" s="7">
        <f t="shared" si="11"/>
        <v>-37.49999999999784</v>
      </c>
    </row>
    <row r="90" spans="1:19" x14ac:dyDescent="0.25">
      <c r="A90" s="4">
        <f>Sheet1!A90</f>
        <v>39212</v>
      </c>
      <c r="B90" s="5">
        <f>Sheet1!B90</f>
        <v>0.58333333333333337</v>
      </c>
      <c r="C90" s="6">
        <f>Sheet1!C90</f>
        <v>179.85</v>
      </c>
      <c r="D90" s="6">
        <f>Sheet1!D90</f>
        <v>180.4</v>
      </c>
      <c r="E90" s="6">
        <f>Sheet1!E90</f>
        <v>179.2</v>
      </c>
      <c r="F90" s="6">
        <f>Sheet1!F90</f>
        <v>180.15</v>
      </c>
      <c r="H90" s="6">
        <f ca="1">IF(ROW($H90)-1&lt;$I$1,$F90,AVERAGE($F90:OFFSET($F90,(($I$1-1)*-1),0)))</f>
        <v>179.13333333333333</v>
      </c>
      <c r="J90" s="6">
        <f ca="1">IF(ROW($J90)-1&lt;$K$1,$F90,AVERAGE($F90:OFFSET($F90,(($K$1-1)*-1),0)))</f>
        <v>182.93928571428572</v>
      </c>
      <c r="L90" s="7">
        <f t="shared" ca="1" si="6"/>
        <v>-1</v>
      </c>
      <c r="M90" s="7" t="str">
        <f t="shared" ca="1" si="7"/>
        <v/>
      </c>
      <c r="N90" s="6" t="str">
        <f t="shared" ca="1" si="8"/>
        <v/>
      </c>
      <c r="O90" s="6">
        <f t="shared" si="9"/>
        <v>0.30000000000001137</v>
      </c>
      <c r="Q90" s="6">
        <v>10.949999999999989</v>
      </c>
      <c r="R90" s="9">
        <f t="shared" si="10"/>
        <v>4106.2499999999955</v>
      </c>
      <c r="S90" s="7">
        <f t="shared" si="11"/>
        <v>-37.49999999999784</v>
      </c>
    </row>
    <row r="91" spans="1:19" x14ac:dyDescent="0.25">
      <c r="A91" s="4">
        <f>Sheet1!A91</f>
        <v>39213</v>
      </c>
      <c r="B91" s="5">
        <f>Sheet1!B91</f>
        <v>0.58333333333333337</v>
      </c>
      <c r="C91" s="6">
        <f>Sheet1!C91</f>
        <v>180.1</v>
      </c>
      <c r="D91" s="6">
        <f>Sheet1!D91</f>
        <v>180.2</v>
      </c>
      <c r="E91" s="6">
        <f>Sheet1!E91</f>
        <v>178.6</v>
      </c>
      <c r="F91" s="6">
        <f>Sheet1!F91</f>
        <v>179.3</v>
      </c>
      <c r="H91" s="6">
        <f ca="1">IF(ROW($H91)-1&lt;$I$1,$F91,AVERAGE($F91:OFFSET($F91,(($I$1-1)*-1),0)))</f>
        <v>179.35833333333335</v>
      </c>
      <c r="J91" s="6">
        <f ca="1">IF(ROW($J91)-1&lt;$K$1,$F91,AVERAGE($F91:OFFSET($F91,(($K$1-1)*-1),0)))</f>
        <v>182.73214285714283</v>
      </c>
      <c r="L91" s="7">
        <f t="shared" ca="1" si="6"/>
        <v>-1</v>
      </c>
      <c r="M91" s="7" t="str">
        <f t="shared" ca="1" si="7"/>
        <v/>
      </c>
      <c r="N91" s="6" t="str">
        <f t="shared" ca="1" si="8"/>
        <v/>
      </c>
      <c r="O91" s="6">
        <f t="shared" si="9"/>
        <v>-0.84999999999999432</v>
      </c>
      <c r="Q91" s="6">
        <v>11.799999999999983</v>
      </c>
      <c r="R91" s="9">
        <f t="shared" si="10"/>
        <v>4424.9999999999936</v>
      </c>
      <c r="S91" s="7">
        <f t="shared" si="11"/>
        <v>-37.49999999999784</v>
      </c>
    </row>
    <row r="92" spans="1:19" x14ac:dyDescent="0.25">
      <c r="A92" s="4">
        <f>Sheet1!A92</f>
        <v>39216</v>
      </c>
      <c r="B92" s="5">
        <f>Sheet1!B92</f>
        <v>0.58333333333333337</v>
      </c>
      <c r="C92" s="6">
        <f>Sheet1!C92</f>
        <v>181.4</v>
      </c>
      <c r="D92" s="6">
        <f>Sheet1!D92</f>
        <v>182.5</v>
      </c>
      <c r="E92" s="6">
        <f>Sheet1!E92</f>
        <v>180.1</v>
      </c>
      <c r="F92" s="6">
        <f>Sheet1!F92</f>
        <v>180.45</v>
      </c>
      <c r="H92" s="6">
        <f ca="1">IF(ROW($H92)-1&lt;$I$1,$F92,AVERAGE($F92:OFFSET($F92,(($I$1-1)*-1),0)))</f>
        <v>179.5</v>
      </c>
      <c r="J92" s="6">
        <f ca="1">IF(ROW($J92)-1&lt;$K$1,$F92,AVERAGE($F92:OFFSET($F92,(($K$1-1)*-1),0)))</f>
        <v>182.4892857142857</v>
      </c>
      <c r="L92" s="7">
        <f t="shared" ca="1" si="6"/>
        <v>-1</v>
      </c>
      <c r="M92" s="7" t="str">
        <f t="shared" ca="1" si="7"/>
        <v/>
      </c>
      <c r="N92" s="6" t="str">
        <f t="shared" ca="1" si="8"/>
        <v/>
      </c>
      <c r="O92" s="6">
        <f t="shared" si="9"/>
        <v>1.1499999999999773</v>
      </c>
      <c r="Q92" s="6">
        <v>10.650000000000006</v>
      </c>
      <c r="R92" s="9">
        <f t="shared" si="10"/>
        <v>3993.7500000000023</v>
      </c>
      <c r="S92" s="7">
        <f t="shared" si="11"/>
        <v>-37.49999999999784</v>
      </c>
    </row>
    <row r="93" spans="1:19" x14ac:dyDescent="0.25">
      <c r="A93" s="4">
        <f>Sheet1!A93</f>
        <v>39217</v>
      </c>
      <c r="B93" s="5">
        <f>Sheet1!B93</f>
        <v>0.58333333333333337</v>
      </c>
      <c r="C93" s="6">
        <f>Sheet1!C93</f>
        <v>180.6</v>
      </c>
      <c r="D93" s="6">
        <f>Sheet1!D93</f>
        <v>181.8</v>
      </c>
      <c r="E93" s="6">
        <f>Sheet1!E93</f>
        <v>180.35</v>
      </c>
      <c r="F93" s="6">
        <f>Sheet1!F93</f>
        <v>180.9</v>
      </c>
      <c r="H93" s="6">
        <f ca="1">IF(ROW($H93)-1&lt;$I$1,$F93,AVERAGE($F93:OFFSET($F93,(($I$1-1)*-1),0)))</f>
        <v>179.91666666666671</v>
      </c>
      <c r="J93" s="6">
        <f ca="1">IF(ROW($J93)-1&lt;$K$1,$F93,AVERAGE($F93:OFFSET($F93,(($K$1-1)*-1),0)))</f>
        <v>182.26964285714283</v>
      </c>
      <c r="L93" s="7">
        <f t="shared" ca="1" si="6"/>
        <v>-1</v>
      </c>
      <c r="M93" s="7" t="str">
        <f t="shared" ca="1" si="7"/>
        <v/>
      </c>
      <c r="N93" s="6" t="str">
        <f t="shared" ca="1" si="8"/>
        <v/>
      </c>
      <c r="O93" s="6">
        <f t="shared" si="9"/>
        <v>0.45000000000001705</v>
      </c>
      <c r="Q93" s="6">
        <v>10.199999999999989</v>
      </c>
      <c r="R93" s="9">
        <f t="shared" si="10"/>
        <v>3824.9999999999959</v>
      </c>
      <c r="S93" s="7">
        <f t="shared" si="11"/>
        <v>-37.49999999999784</v>
      </c>
    </row>
    <row r="94" spans="1:19" x14ac:dyDescent="0.25">
      <c r="A94" s="4">
        <f>Sheet1!A94</f>
        <v>39218</v>
      </c>
      <c r="B94" s="5">
        <f>Sheet1!B94</f>
        <v>0.58333333333333337</v>
      </c>
      <c r="C94" s="6">
        <f>Sheet1!C94</f>
        <v>182.2</v>
      </c>
      <c r="D94" s="6">
        <f>Sheet1!D94</f>
        <v>183.8</v>
      </c>
      <c r="E94" s="6">
        <f>Sheet1!E94</f>
        <v>181.5</v>
      </c>
      <c r="F94" s="6">
        <f>Sheet1!F94</f>
        <v>183.3</v>
      </c>
      <c r="H94" s="6">
        <f ca="1">IF(ROW($H94)-1&lt;$I$1,$F94,AVERAGE($F94:OFFSET($F94,(($I$1-1)*-1),0)))</f>
        <v>180.65833333333333</v>
      </c>
      <c r="J94" s="6">
        <f ca="1">IF(ROW($J94)-1&lt;$K$1,$F94,AVERAGE($F94:OFFSET($F94,(($K$1-1)*-1),0)))</f>
        <v>182.12499999999997</v>
      </c>
      <c r="L94" s="7">
        <f t="shared" ca="1" si="6"/>
        <v>-1</v>
      </c>
      <c r="M94" s="7" t="str">
        <f t="shared" ca="1" si="7"/>
        <v/>
      </c>
      <c r="N94" s="6" t="str">
        <f t="shared" ca="1" si="8"/>
        <v/>
      </c>
      <c r="O94" s="6">
        <f t="shared" si="9"/>
        <v>2.4000000000000057</v>
      </c>
      <c r="Q94" s="6">
        <v>7.7999999999999829</v>
      </c>
      <c r="R94" s="9">
        <f t="shared" si="10"/>
        <v>2924.9999999999936</v>
      </c>
      <c r="S94" s="7">
        <f t="shared" si="11"/>
        <v>-37.49999999999784</v>
      </c>
    </row>
    <row r="95" spans="1:19" x14ac:dyDescent="0.25">
      <c r="A95" s="4">
        <f>Sheet1!A95</f>
        <v>39219</v>
      </c>
      <c r="B95" s="5">
        <f>Sheet1!B95</f>
        <v>0.58333333333333337</v>
      </c>
      <c r="C95" s="6">
        <f>Sheet1!C95</f>
        <v>183.7</v>
      </c>
      <c r="D95" s="6">
        <f>Sheet1!D95</f>
        <v>186.9</v>
      </c>
      <c r="E95" s="6">
        <f>Sheet1!E95</f>
        <v>183.5</v>
      </c>
      <c r="F95" s="6">
        <f>Sheet1!F95</f>
        <v>186.7</v>
      </c>
      <c r="H95" s="6">
        <f ca="1">IF(ROW($H95)-1&lt;$I$1,$F95,AVERAGE($F95:OFFSET($F95,(($I$1-1)*-1),0)))</f>
        <v>181.80000000000004</v>
      </c>
      <c r="J95" s="6">
        <f ca="1">IF(ROW($J95)-1&lt;$K$1,$F95,AVERAGE($F95:OFFSET($F95,(($K$1-1)*-1),0)))</f>
        <v>182.1446428571428</v>
      </c>
      <c r="L95" s="7">
        <f t="shared" ca="1" si="6"/>
        <v>-1</v>
      </c>
      <c r="M95" s="7" t="str">
        <f t="shared" ca="1" si="7"/>
        <v/>
      </c>
      <c r="N95" s="6" t="str">
        <f t="shared" ca="1" si="8"/>
        <v/>
      </c>
      <c r="O95" s="6">
        <f t="shared" si="9"/>
        <v>3.3999999999999773</v>
      </c>
      <c r="Q95" s="6">
        <v>4.4000000000000057</v>
      </c>
      <c r="R95" s="9">
        <f t="shared" si="10"/>
        <v>1650.000000000002</v>
      </c>
      <c r="S95" s="7">
        <f t="shared" si="11"/>
        <v>-37.49999999999784</v>
      </c>
    </row>
    <row r="96" spans="1:19" x14ac:dyDescent="0.25">
      <c r="A96" s="4">
        <f>Sheet1!A96</f>
        <v>39220</v>
      </c>
      <c r="B96" s="5">
        <f>Sheet1!B96</f>
        <v>0.58333333333333337</v>
      </c>
      <c r="C96" s="6">
        <f>Sheet1!C96</f>
        <v>186.5</v>
      </c>
      <c r="D96" s="6">
        <f>Sheet1!D96</f>
        <v>187.1</v>
      </c>
      <c r="E96" s="6">
        <f>Sheet1!E96</f>
        <v>184.7</v>
      </c>
      <c r="F96" s="6">
        <f>Sheet1!F96</f>
        <v>185.4</v>
      </c>
      <c r="H96" s="6">
        <f ca="1">IF(ROW($H96)-1&lt;$I$1,$F96,AVERAGE($F96:OFFSET($F96,(($I$1-1)*-1),0)))</f>
        <v>182.67500000000004</v>
      </c>
      <c r="J96" s="6">
        <f ca="1">IF(ROW($J96)-1&lt;$K$1,$F96,AVERAGE($F96:OFFSET($F96,(($K$1-1)*-1),0)))</f>
        <v>182.23571428571424</v>
      </c>
      <c r="L96" s="7">
        <f t="shared" ca="1" si="6"/>
        <v>1</v>
      </c>
      <c r="M96" s="7">
        <f t="shared" ca="1" si="7"/>
        <v>1</v>
      </c>
      <c r="N96" s="6" t="str">
        <f t="shared" ca="1" si="8"/>
        <v/>
      </c>
      <c r="O96" s="6">
        <f t="shared" si="9"/>
        <v>-1.2999999999999829</v>
      </c>
      <c r="Q96" s="6">
        <v>5.6999999999999886</v>
      </c>
      <c r="R96" s="9">
        <f t="shared" si="10"/>
        <v>2137.4999999999959</v>
      </c>
      <c r="S96" s="7">
        <f t="shared" si="11"/>
        <v>-37.49999999999784</v>
      </c>
    </row>
    <row r="97" spans="1:19" x14ac:dyDescent="0.25">
      <c r="A97" s="4">
        <f>Sheet1!A97</f>
        <v>39223</v>
      </c>
      <c r="B97" s="5">
        <f>Sheet1!B97</f>
        <v>0.58333333333333337</v>
      </c>
      <c r="C97" s="6">
        <f>Sheet1!C97</f>
        <v>185.8</v>
      </c>
      <c r="D97" s="6">
        <f>Sheet1!D97</f>
        <v>186.75</v>
      </c>
      <c r="E97" s="6">
        <f>Sheet1!E97</f>
        <v>185.2</v>
      </c>
      <c r="F97" s="6">
        <f>Sheet1!F97</f>
        <v>185.6</v>
      </c>
      <c r="H97" s="6">
        <f ca="1">IF(ROW($H97)-1&lt;$I$1,$F97,AVERAGE($F97:OFFSET($F97,(($I$1-1)*-1),0)))</f>
        <v>183.72500000000002</v>
      </c>
      <c r="J97" s="6">
        <f ca="1">IF(ROW($J97)-1&lt;$K$1,$F97,AVERAGE($F97:OFFSET($F97,(($K$1-1)*-1),0)))</f>
        <v>182.22321428571425</v>
      </c>
      <c r="L97" s="7">
        <f t="shared" ca="1" si="6"/>
        <v>1</v>
      </c>
      <c r="M97" s="7" t="str">
        <f t="shared" ca="1" si="7"/>
        <v/>
      </c>
      <c r="N97" s="6">
        <f t="shared" ca="1" si="8"/>
        <v>185.8</v>
      </c>
      <c r="O97" s="6">
        <f t="shared" si="9"/>
        <v>0.19999999999998863</v>
      </c>
      <c r="P97" s="6">
        <v>5.2999999999999829</v>
      </c>
      <c r="Q97" s="6">
        <v>-0.20000000000001705</v>
      </c>
      <c r="R97" s="9">
        <f t="shared" si="10"/>
        <v>-75.000000000006395</v>
      </c>
      <c r="S97" s="7">
        <f t="shared" si="11"/>
        <v>1949.9999999999959</v>
      </c>
    </row>
    <row r="98" spans="1:19" x14ac:dyDescent="0.25">
      <c r="A98" s="4">
        <f>Sheet1!A98</f>
        <v>39224</v>
      </c>
      <c r="B98" s="5">
        <f>Sheet1!B98</f>
        <v>0.58333333333333337</v>
      </c>
      <c r="C98" s="6">
        <f>Sheet1!C98</f>
        <v>185.5</v>
      </c>
      <c r="D98" s="6">
        <f>Sheet1!D98</f>
        <v>186.2</v>
      </c>
      <c r="E98" s="6">
        <f>Sheet1!E98</f>
        <v>185</v>
      </c>
      <c r="F98" s="6">
        <f>Sheet1!F98</f>
        <v>185.15</v>
      </c>
      <c r="H98" s="6">
        <f ca="1">IF(ROW($H98)-1&lt;$I$1,$F98,AVERAGE($F98:OFFSET($F98,(($I$1-1)*-1),0)))</f>
        <v>184.50833333333335</v>
      </c>
      <c r="J98" s="6">
        <f ca="1">IF(ROW($J98)-1&lt;$K$1,$F98,AVERAGE($F98:OFFSET($F98,(($K$1-1)*-1),0)))</f>
        <v>182.07499999999996</v>
      </c>
      <c r="L98" s="7">
        <f t="shared" ca="1" si="6"/>
        <v>1</v>
      </c>
      <c r="M98" s="7" t="str">
        <f t="shared" ca="1" si="7"/>
        <v/>
      </c>
      <c r="N98" s="6" t="str">
        <f t="shared" ca="1" si="8"/>
        <v/>
      </c>
      <c r="O98" s="6">
        <f t="shared" si="9"/>
        <v>-0.44999999999998863</v>
      </c>
      <c r="Q98" s="6">
        <v>-0.65000000000000568</v>
      </c>
      <c r="R98" s="9">
        <f t="shared" si="10"/>
        <v>-243.75000000000213</v>
      </c>
      <c r="S98" s="7">
        <f t="shared" si="11"/>
        <v>1949.9999999999959</v>
      </c>
    </row>
    <row r="99" spans="1:19" x14ac:dyDescent="0.25">
      <c r="A99" s="4">
        <f>Sheet1!A99</f>
        <v>39225</v>
      </c>
      <c r="B99" s="5">
        <f>Sheet1!B99</f>
        <v>0.58333333333333337</v>
      </c>
      <c r="C99" s="6">
        <f>Sheet1!C99</f>
        <v>184.3</v>
      </c>
      <c r="D99" s="6">
        <f>Sheet1!D99</f>
        <v>185.8</v>
      </c>
      <c r="E99" s="6">
        <f>Sheet1!E99</f>
        <v>184.3</v>
      </c>
      <c r="F99" s="6">
        <f>Sheet1!F99</f>
        <v>185.65</v>
      </c>
      <c r="H99" s="6">
        <f ca="1">IF(ROW($H99)-1&lt;$I$1,$F99,AVERAGE($F99:OFFSET($F99,(($I$1-1)*-1),0)))</f>
        <v>185.29999999999998</v>
      </c>
      <c r="J99" s="6">
        <f ca="1">IF(ROW($J99)-1&lt;$K$1,$F99,AVERAGE($F99:OFFSET($F99,(($K$1-1)*-1),0)))</f>
        <v>181.9821428571428</v>
      </c>
      <c r="L99" s="7">
        <f t="shared" ca="1" si="6"/>
        <v>1</v>
      </c>
      <c r="M99" s="7" t="str">
        <f t="shared" ca="1" si="7"/>
        <v/>
      </c>
      <c r="N99" s="6" t="str">
        <f t="shared" ca="1" si="8"/>
        <v/>
      </c>
      <c r="O99" s="6">
        <f t="shared" si="9"/>
        <v>0.5</v>
      </c>
      <c r="Q99" s="6">
        <v>-0.15000000000000568</v>
      </c>
      <c r="R99" s="9">
        <f t="shared" si="10"/>
        <v>-56.250000000002132</v>
      </c>
      <c r="S99" s="7">
        <f t="shared" si="11"/>
        <v>1949.9999999999959</v>
      </c>
    </row>
    <row r="100" spans="1:19" x14ac:dyDescent="0.25">
      <c r="A100" s="4">
        <f>Sheet1!A100</f>
        <v>39226</v>
      </c>
      <c r="B100" s="5">
        <f>Sheet1!B100</f>
        <v>0.58333333333333337</v>
      </c>
      <c r="C100" s="6">
        <f>Sheet1!C100</f>
        <v>186.4</v>
      </c>
      <c r="D100" s="6">
        <f>Sheet1!D100</f>
        <v>187.6</v>
      </c>
      <c r="E100" s="6">
        <f>Sheet1!E100</f>
        <v>186.4</v>
      </c>
      <c r="F100" s="6">
        <f>Sheet1!F100</f>
        <v>186.95</v>
      </c>
      <c r="H100" s="6">
        <f ca="1">IF(ROW($H100)-1&lt;$I$1,$F100,AVERAGE($F100:OFFSET($F100,(($I$1-1)*-1),0)))</f>
        <v>185.90833333333333</v>
      </c>
      <c r="J100" s="6">
        <f ca="1">IF(ROW($J100)-1&lt;$K$1,$F100,AVERAGE($F100:OFFSET($F100,(($K$1-1)*-1),0)))</f>
        <v>182.05892857142854</v>
      </c>
      <c r="L100" s="7">
        <f t="shared" ca="1" si="6"/>
        <v>1</v>
      </c>
      <c r="M100" s="7" t="str">
        <f t="shared" ca="1" si="7"/>
        <v/>
      </c>
      <c r="N100" s="6" t="str">
        <f t="shared" ca="1" si="8"/>
        <v/>
      </c>
      <c r="O100" s="6">
        <f t="shared" si="9"/>
        <v>1.2999999999999829</v>
      </c>
      <c r="Q100" s="6">
        <v>1.1499999999999773</v>
      </c>
      <c r="R100" s="9">
        <f t="shared" si="10"/>
        <v>431.24999999999147</v>
      </c>
      <c r="S100" s="7">
        <f t="shared" si="11"/>
        <v>1949.9999999999959</v>
      </c>
    </row>
    <row r="101" spans="1:19" x14ac:dyDescent="0.25">
      <c r="A101" s="4">
        <f>Sheet1!A101</f>
        <v>39227</v>
      </c>
      <c r="B101" s="5">
        <f>Sheet1!B101</f>
        <v>0.58333333333333337</v>
      </c>
      <c r="C101" s="6">
        <f>Sheet1!C101</f>
        <v>187.1</v>
      </c>
      <c r="D101" s="6">
        <f>Sheet1!D101</f>
        <v>187.5</v>
      </c>
      <c r="E101" s="6">
        <f>Sheet1!E101</f>
        <v>185.8</v>
      </c>
      <c r="F101" s="6">
        <f>Sheet1!F101</f>
        <v>186.5</v>
      </c>
      <c r="H101" s="6">
        <f ca="1">IF(ROW($H101)-1&lt;$I$1,$F101,AVERAGE($F101:OFFSET($F101,(($I$1-1)*-1),0)))</f>
        <v>185.875</v>
      </c>
      <c r="J101" s="6">
        <f ca="1">IF(ROW($J101)-1&lt;$K$1,$F101,AVERAGE($F101:OFFSET($F101,(($K$1-1)*-1),0)))</f>
        <v>182.08214285714283</v>
      </c>
      <c r="L101" s="7">
        <f t="shared" ca="1" si="6"/>
        <v>1</v>
      </c>
      <c r="M101" s="7" t="str">
        <f t="shared" ca="1" si="7"/>
        <v/>
      </c>
      <c r="N101" s="6" t="str">
        <f t="shared" ca="1" si="8"/>
        <v/>
      </c>
      <c r="O101" s="6">
        <f t="shared" si="9"/>
        <v>-0.44999999999998863</v>
      </c>
      <c r="Q101" s="6">
        <v>0.69999999999998863</v>
      </c>
      <c r="R101" s="9">
        <f t="shared" si="10"/>
        <v>262.49999999999574</v>
      </c>
      <c r="S101" s="7">
        <f t="shared" si="11"/>
        <v>1949.9999999999959</v>
      </c>
    </row>
    <row r="102" spans="1:19" x14ac:dyDescent="0.25">
      <c r="A102" s="4">
        <f>Sheet1!A102</f>
        <v>39231</v>
      </c>
      <c r="B102" s="5">
        <f>Sheet1!B102</f>
        <v>0.58333333333333337</v>
      </c>
      <c r="C102" s="6">
        <f>Sheet1!C102</f>
        <v>185.35</v>
      </c>
      <c r="D102" s="6">
        <f>Sheet1!D102</f>
        <v>186</v>
      </c>
      <c r="E102" s="6">
        <f>Sheet1!E102</f>
        <v>183.8</v>
      </c>
      <c r="F102" s="6">
        <f>Sheet1!F102</f>
        <v>184.3</v>
      </c>
      <c r="H102" s="6">
        <f ca="1">IF(ROW($H102)-1&lt;$I$1,$F102,AVERAGE($F102:OFFSET($F102,(($I$1-1)*-1),0)))</f>
        <v>185.69166666666663</v>
      </c>
      <c r="J102" s="6">
        <f ca="1">IF(ROW($J102)-1&lt;$K$1,$F102,AVERAGE($F102:OFFSET($F102,(($K$1-1)*-1),0)))</f>
        <v>182.03214285714284</v>
      </c>
      <c r="L102" s="7">
        <f t="shared" ca="1" si="6"/>
        <v>1</v>
      </c>
      <c r="M102" s="7" t="str">
        <f t="shared" ca="1" si="7"/>
        <v/>
      </c>
      <c r="N102" s="6" t="str">
        <f t="shared" ca="1" si="8"/>
        <v/>
      </c>
      <c r="O102" s="6">
        <f t="shared" si="9"/>
        <v>-2.1999999999999886</v>
      </c>
      <c r="Q102" s="6">
        <v>-1.5</v>
      </c>
      <c r="R102" s="9">
        <f t="shared" si="10"/>
        <v>-562.5</v>
      </c>
      <c r="S102" s="7">
        <f t="shared" si="11"/>
        <v>1949.9999999999959</v>
      </c>
    </row>
    <row r="103" spans="1:19" x14ac:dyDescent="0.25">
      <c r="A103" s="4">
        <f>Sheet1!A103</f>
        <v>39232</v>
      </c>
      <c r="B103" s="5">
        <f>Sheet1!B103</f>
        <v>0.58333333333333337</v>
      </c>
      <c r="C103" s="6">
        <f>Sheet1!C103</f>
        <v>184.2</v>
      </c>
      <c r="D103" s="6">
        <f>Sheet1!D103</f>
        <v>185.1</v>
      </c>
      <c r="E103" s="6">
        <f>Sheet1!E103</f>
        <v>183.95</v>
      </c>
      <c r="F103" s="6">
        <f>Sheet1!F103</f>
        <v>184.95</v>
      </c>
      <c r="H103" s="6">
        <f ca="1">IF(ROW($H103)-1&lt;$I$1,$F103,AVERAGE($F103:OFFSET($F103,(($I$1-1)*-1),0)))</f>
        <v>185.58333333333334</v>
      </c>
      <c r="J103" s="6">
        <f ca="1">IF(ROW($J103)-1&lt;$K$1,$F103,AVERAGE($F103:OFFSET($F103,(($K$1-1)*-1),0)))</f>
        <v>182.02678571428569</v>
      </c>
      <c r="L103" s="7">
        <f t="shared" ca="1" si="6"/>
        <v>1</v>
      </c>
      <c r="M103" s="7" t="str">
        <f t="shared" ca="1" si="7"/>
        <v/>
      </c>
      <c r="N103" s="6" t="str">
        <f t="shared" ca="1" si="8"/>
        <v/>
      </c>
      <c r="O103" s="6">
        <f t="shared" si="9"/>
        <v>0.64999999999997726</v>
      </c>
      <c r="Q103" s="6">
        <v>-0.85000000000002274</v>
      </c>
      <c r="R103" s="9">
        <f t="shared" si="10"/>
        <v>-318.75000000000853</v>
      </c>
      <c r="S103" s="7">
        <f t="shared" si="11"/>
        <v>1949.9999999999959</v>
      </c>
    </row>
    <row r="104" spans="1:19" x14ac:dyDescent="0.25">
      <c r="A104" s="4">
        <f>Sheet1!A104</f>
        <v>39233</v>
      </c>
      <c r="B104" s="5">
        <f>Sheet1!B104</f>
        <v>0.58333333333333337</v>
      </c>
      <c r="C104" s="6">
        <f>Sheet1!C104</f>
        <v>184.9</v>
      </c>
      <c r="D104" s="6">
        <f>Sheet1!D104</f>
        <v>185.85</v>
      </c>
      <c r="E104" s="6">
        <f>Sheet1!E104</f>
        <v>183.7</v>
      </c>
      <c r="F104" s="6">
        <f>Sheet1!F104</f>
        <v>185.5</v>
      </c>
      <c r="H104" s="6">
        <f ca="1">IF(ROW($H104)-1&lt;$I$1,$F104,AVERAGE($F104:OFFSET($F104,(($I$1-1)*-1),0)))</f>
        <v>185.64166666666668</v>
      </c>
      <c r="J104" s="6">
        <f ca="1">IF(ROW($J104)-1&lt;$K$1,$F104,AVERAGE($F104:OFFSET($F104,(($K$1-1)*-1),0)))</f>
        <v>182.07142857142858</v>
      </c>
      <c r="L104" s="7">
        <f t="shared" ca="1" si="6"/>
        <v>1</v>
      </c>
      <c r="M104" s="7" t="str">
        <f t="shared" ca="1" si="7"/>
        <v/>
      </c>
      <c r="N104" s="6" t="str">
        <f t="shared" ca="1" si="8"/>
        <v/>
      </c>
      <c r="O104" s="6">
        <f t="shared" si="9"/>
        <v>0.55000000000001137</v>
      </c>
      <c r="Q104" s="6">
        <v>-0.30000000000001137</v>
      </c>
      <c r="R104" s="9">
        <f t="shared" si="10"/>
        <v>-112.50000000000426</v>
      </c>
      <c r="S104" s="7">
        <f t="shared" si="11"/>
        <v>1949.9999999999959</v>
      </c>
    </row>
    <row r="105" spans="1:19" x14ac:dyDescent="0.25">
      <c r="A105" s="4">
        <f>Sheet1!A105</f>
        <v>39234</v>
      </c>
      <c r="B105" s="5">
        <f>Sheet1!B105</f>
        <v>0.58333333333333337</v>
      </c>
      <c r="C105" s="6">
        <f>Sheet1!C105</f>
        <v>187.1</v>
      </c>
      <c r="D105" s="6">
        <f>Sheet1!D105</f>
        <v>191.5</v>
      </c>
      <c r="E105" s="6">
        <f>Sheet1!E105</f>
        <v>187.1</v>
      </c>
      <c r="F105" s="6">
        <f>Sheet1!F105</f>
        <v>191</v>
      </c>
      <c r="H105" s="6">
        <f ca="1">IF(ROW($H105)-1&lt;$I$1,$F105,AVERAGE($F105:OFFSET($F105,(($I$1-1)*-1),0)))</f>
        <v>186.53333333333333</v>
      </c>
      <c r="J105" s="6">
        <f ca="1">IF(ROW($J105)-1&lt;$K$1,$F105,AVERAGE($F105:OFFSET($F105,(($K$1-1)*-1),0)))</f>
        <v>182.35714285714286</v>
      </c>
      <c r="L105" s="7">
        <f t="shared" ca="1" si="6"/>
        <v>1</v>
      </c>
      <c r="M105" s="7" t="str">
        <f t="shared" ca="1" si="7"/>
        <v/>
      </c>
      <c r="N105" s="6" t="str">
        <f t="shared" ca="1" si="8"/>
        <v/>
      </c>
      <c r="O105" s="6">
        <f t="shared" si="9"/>
        <v>5.5</v>
      </c>
      <c r="Q105" s="6">
        <v>5.1999999999999886</v>
      </c>
      <c r="R105" s="9">
        <f t="shared" si="10"/>
        <v>1949.9999999999957</v>
      </c>
      <c r="S105" s="7">
        <f t="shared" si="11"/>
        <v>1949.9999999999959</v>
      </c>
    </row>
    <row r="106" spans="1:19" x14ac:dyDescent="0.25">
      <c r="A106" s="4">
        <f>Sheet1!A106</f>
        <v>39237</v>
      </c>
      <c r="B106" s="5">
        <f>Sheet1!B106</f>
        <v>0.58333333333333337</v>
      </c>
      <c r="C106" s="6">
        <f>Sheet1!C106</f>
        <v>189.6</v>
      </c>
      <c r="D106" s="6">
        <f>Sheet1!D106</f>
        <v>192</v>
      </c>
      <c r="E106" s="6">
        <f>Sheet1!E106</f>
        <v>188.4</v>
      </c>
      <c r="F106" s="6">
        <f>Sheet1!F106</f>
        <v>188.9</v>
      </c>
      <c r="H106" s="6">
        <f ca="1">IF(ROW($H106)-1&lt;$I$1,$F106,AVERAGE($F106:OFFSET($F106,(($I$1-1)*-1),0)))</f>
        <v>186.85833333333335</v>
      </c>
      <c r="J106" s="6">
        <f ca="1">IF(ROW($J106)-1&lt;$K$1,$F106,AVERAGE($F106:OFFSET($F106,(($K$1-1)*-1),0)))</f>
        <v>182.63035714285712</v>
      </c>
      <c r="L106" s="7">
        <f t="shared" ca="1" si="6"/>
        <v>1</v>
      </c>
      <c r="M106" s="7" t="str">
        <f t="shared" ca="1" si="7"/>
        <v/>
      </c>
      <c r="N106" s="6" t="str">
        <f t="shared" ca="1" si="8"/>
        <v/>
      </c>
      <c r="O106" s="6">
        <f t="shared" si="9"/>
        <v>-2.0999999999999943</v>
      </c>
      <c r="Q106" s="6">
        <v>3.0999999999999943</v>
      </c>
      <c r="R106" s="9">
        <f t="shared" si="10"/>
        <v>1162.499999999998</v>
      </c>
      <c r="S106" s="7">
        <f t="shared" si="11"/>
        <v>1949.9999999999959</v>
      </c>
    </row>
    <row r="107" spans="1:19" x14ac:dyDescent="0.25">
      <c r="A107" s="4">
        <f>Sheet1!A107</f>
        <v>39238</v>
      </c>
      <c r="B107" s="5">
        <f>Sheet1!B107</f>
        <v>0.58333333333333337</v>
      </c>
      <c r="C107" s="6">
        <f>Sheet1!C107</f>
        <v>189.1</v>
      </c>
      <c r="D107" s="6">
        <f>Sheet1!D107</f>
        <v>190.7</v>
      </c>
      <c r="E107" s="6">
        <f>Sheet1!E107</f>
        <v>189.1</v>
      </c>
      <c r="F107" s="6">
        <f>Sheet1!F107</f>
        <v>190.15</v>
      </c>
      <c r="H107" s="6">
        <f ca="1">IF(ROW($H107)-1&lt;$I$1,$F107,AVERAGE($F107:OFFSET($F107,(($I$1-1)*-1),0)))</f>
        <v>187.46666666666667</v>
      </c>
      <c r="J107" s="6">
        <f ca="1">IF(ROW($J107)-1&lt;$K$1,$F107,AVERAGE($F107:OFFSET($F107,(($K$1-1)*-1),0)))</f>
        <v>182.96249999999995</v>
      </c>
      <c r="L107" s="7">
        <f t="shared" ca="1" si="6"/>
        <v>1</v>
      </c>
      <c r="M107" s="7" t="str">
        <f t="shared" ca="1" si="7"/>
        <v/>
      </c>
      <c r="N107" s="6" t="str">
        <f t="shared" ca="1" si="8"/>
        <v/>
      </c>
      <c r="O107" s="6">
        <f t="shared" si="9"/>
        <v>1.25</v>
      </c>
      <c r="Q107" s="6">
        <v>4.3499999999999943</v>
      </c>
      <c r="R107" s="9">
        <f t="shared" si="10"/>
        <v>1631.249999999998</v>
      </c>
      <c r="S107" s="7">
        <f t="shared" si="11"/>
        <v>1949.9999999999959</v>
      </c>
    </row>
    <row r="108" spans="1:19" x14ac:dyDescent="0.25">
      <c r="A108" s="4">
        <f>Sheet1!A108</f>
        <v>39239</v>
      </c>
      <c r="B108" s="5">
        <f>Sheet1!B108</f>
        <v>0.58333333333333337</v>
      </c>
      <c r="C108" s="6">
        <f>Sheet1!C108</f>
        <v>190.9</v>
      </c>
      <c r="D108" s="6">
        <f>Sheet1!D108</f>
        <v>191.3</v>
      </c>
      <c r="E108" s="6">
        <f>Sheet1!E108</f>
        <v>188.8</v>
      </c>
      <c r="F108" s="6">
        <f>Sheet1!F108</f>
        <v>190.05</v>
      </c>
      <c r="H108" s="6">
        <f ca="1">IF(ROW($H108)-1&lt;$I$1,$F108,AVERAGE($F108:OFFSET($F108,(($I$1-1)*-1),0)))</f>
        <v>188.42499999999998</v>
      </c>
      <c r="J108" s="6">
        <f ca="1">IF(ROW($J108)-1&lt;$K$1,$F108,AVERAGE($F108:OFFSET($F108,(($K$1-1)*-1),0)))</f>
        <v>183.30892857142857</v>
      </c>
      <c r="L108" s="7">
        <f t="shared" ca="1" si="6"/>
        <v>1</v>
      </c>
      <c r="M108" s="7" t="str">
        <f t="shared" ca="1" si="7"/>
        <v/>
      </c>
      <c r="N108" s="6" t="str">
        <f t="shared" ca="1" si="8"/>
        <v/>
      </c>
      <c r="O108" s="6">
        <f t="shared" si="9"/>
        <v>-9.9999999999994316E-2</v>
      </c>
      <c r="Q108" s="6">
        <v>4.25</v>
      </c>
      <c r="R108" s="9">
        <f t="shared" si="10"/>
        <v>1593.75</v>
      </c>
      <c r="S108" s="7">
        <f t="shared" si="11"/>
        <v>1949.9999999999959</v>
      </c>
    </row>
    <row r="109" spans="1:19" x14ac:dyDescent="0.25">
      <c r="A109" s="4">
        <f>Sheet1!A109</f>
        <v>39240</v>
      </c>
      <c r="B109" s="5">
        <f>Sheet1!B109</f>
        <v>0.58333333333333337</v>
      </c>
      <c r="C109" s="6">
        <f>Sheet1!C109</f>
        <v>189.1</v>
      </c>
      <c r="D109" s="6">
        <f>Sheet1!D109</f>
        <v>191.1</v>
      </c>
      <c r="E109" s="6">
        <f>Sheet1!E109</f>
        <v>189.1</v>
      </c>
      <c r="F109" s="6">
        <f>Sheet1!F109</f>
        <v>190.55</v>
      </c>
      <c r="H109" s="6">
        <f ca="1">IF(ROW($H109)-1&lt;$I$1,$F109,AVERAGE($F109:OFFSET($F109,(($I$1-1)*-1),0)))</f>
        <v>189.35833333333332</v>
      </c>
      <c r="J109" s="6">
        <f ca="1">IF(ROW($J109)-1&lt;$K$1,$F109,AVERAGE($F109:OFFSET($F109,(($K$1-1)*-1),0)))</f>
        <v>183.66428571428568</v>
      </c>
      <c r="L109" s="7">
        <f t="shared" ca="1" si="6"/>
        <v>1</v>
      </c>
      <c r="M109" s="7" t="str">
        <f t="shared" ca="1" si="7"/>
        <v/>
      </c>
      <c r="N109" s="6" t="str">
        <f t="shared" ca="1" si="8"/>
        <v/>
      </c>
      <c r="O109" s="6">
        <f t="shared" si="9"/>
        <v>0.5</v>
      </c>
      <c r="Q109" s="6">
        <v>4.75</v>
      </c>
      <c r="R109" s="9">
        <f t="shared" si="10"/>
        <v>1781.25</v>
      </c>
      <c r="S109" s="7">
        <f t="shared" si="11"/>
        <v>1949.9999999999959</v>
      </c>
    </row>
    <row r="110" spans="1:19" x14ac:dyDescent="0.25">
      <c r="A110" s="4">
        <f>Sheet1!A110</f>
        <v>39241</v>
      </c>
      <c r="B110" s="5">
        <f>Sheet1!B110</f>
        <v>0.58333333333333337</v>
      </c>
      <c r="C110" s="6">
        <f>Sheet1!C110</f>
        <v>190.2</v>
      </c>
      <c r="D110" s="6">
        <f>Sheet1!D110</f>
        <v>190.85</v>
      </c>
      <c r="E110" s="6">
        <f>Sheet1!E110</f>
        <v>188.1</v>
      </c>
      <c r="F110" s="6">
        <f>Sheet1!F110</f>
        <v>188.45</v>
      </c>
      <c r="H110" s="6">
        <f ca="1">IF(ROW($H110)-1&lt;$I$1,$F110,AVERAGE($F110:OFFSET($F110,(($I$1-1)*-1),0)))</f>
        <v>189.85</v>
      </c>
      <c r="J110" s="6">
        <f ca="1">IF(ROW($J110)-1&lt;$K$1,$F110,AVERAGE($F110:OFFSET($F110,(($K$1-1)*-1),0)))</f>
        <v>183.97499999999997</v>
      </c>
      <c r="L110" s="7">
        <f t="shared" ca="1" si="6"/>
        <v>1</v>
      </c>
      <c r="M110" s="7" t="str">
        <f t="shared" ca="1" si="7"/>
        <v/>
      </c>
      <c r="N110" s="6" t="str">
        <f t="shared" ca="1" si="8"/>
        <v/>
      </c>
      <c r="O110" s="6">
        <f t="shared" si="9"/>
        <v>-2.1000000000000227</v>
      </c>
      <c r="Q110" s="6">
        <v>2.6499999999999773</v>
      </c>
      <c r="R110" s="9">
        <f t="shared" si="10"/>
        <v>993.74999999999147</v>
      </c>
      <c r="S110" s="7">
        <f t="shared" si="11"/>
        <v>1949.9999999999959</v>
      </c>
    </row>
    <row r="111" spans="1:19" x14ac:dyDescent="0.25">
      <c r="A111" s="4">
        <f>Sheet1!A111</f>
        <v>39244</v>
      </c>
      <c r="B111" s="5">
        <f>Sheet1!B111</f>
        <v>0.58333333333333337</v>
      </c>
      <c r="C111" s="6">
        <f>Sheet1!C111</f>
        <v>188.1</v>
      </c>
      <c r="D111" s="6">
        <f>Sheet1!D111</f>
        <v>189.7</v>
      </c>
      <c r="E111" s="6">
        <f>Sheet1!E111</f>
        <v>188.1</v>
      </c>
      <c r="F111" s="6">
        <f>Sheet1!F111</f>
        <v>188.95</v>
      </c>
      <c r="H111" s="6">
        <f ca="1">IF(ROW($H111)-1&lt;$I$1,$F111,AVERAGE($F111:OFFSET($F111,(($I$1-1)*-1),0)))</f>
        <v>189.50833333333335</v>
      </c>
      <c r="J111" s="6">
        <f ca="1">IF(ROW($J111)-1&lt;$K$1,$F111,AVERAGE($F111:OFFSET($F111,(($K$1-1)*-1),0)))</f>
        <v>184.34999999999997</v>
      </c>
      <c r="L111" s="7">
        <f t="shared" ca="1" si="6"/>
        <v>1</v>
      </c>
      <c r="M111" s="7" t="str">
        <f t="shared" ca="1" si="7"/>
        <v/>
      </c>
      <c r="N111" s="6" t="str">
        <f t="shared" ca="1" si="8"/>
        <v/>
      </c>
      <c r="O111" s="6">
        <f t="shared" si="9"/>
        <v>0.5</v>
      </c>
      <c r="Q111" s="6">
        <v>3.1499999999999773</v>
      </c>
      <c r="R111" s="9">
        <f t="shared" si="10"/>
        <v>1181.2499999999914</v>
      </c>
      <c r="S111" s="7">
        <f t="shared" si="11"/>
        <v>1949.9999999999959</v>
      </c>
    </row>
    <row r="112" spans="1:19" x14ac:dyDescent="0.25">
      <c r="A112" s="4">
        <f>Sheet1!A112</f>
        <v>39245</v>
      </c>
      <c r="B112" s="5">
        <f>Sheet1!B112</f>
        <v>0.58333333333333337</v>
      </c>
      <c r="C112" s="6">
        <f>Sheet1!C112</f>
        <v>188.9</v>
      </c>
      <c r="D112" s="6">
        <f>Sheet1!D112</f>
        <v>188.9</v>
      </c>
      <c r="E112" s="6">
        <f>Sheet1!E112</f>
        <v>186.1</v>
      </c>
      <c r="F112" s="6">
        <f>Sheet1!F112</f>
        <v>187.05</v>
      </c>
      <c r="H112" s="6">
        <f ca="1">IF(ROW($H112)-1&lt;$I$1,$F112,AVERAGE($F112:OFFSET($F112,(($I$1-1)*-1),0)))</f>
        <v>189.20000000000002</v>
      </c>
      <c r="J112" s="6">
        <f ca="1">IF(ROW($J112)-1&lt;$K$1,$F112,AVERAGE($F112:OFFSET($F112,(($K$1-1)*-1),0)))</f>
        <v>184.66249999999999</v>
      </c>
      <c r="L112" s="7">
        <f t="shared" ca="1" si="6"/>
        <v>1</v>
      </c>
      <c r="M112" s="7" t="str">
        <f t="shared" ca="1" si="7"/>
        <v/>
      </c>
      <c r="N112" s="6" t="str">
        <f t="shared" ca="1" si="8"/>
        <v/>
      </c>
      <c r="O112" s="6">
        <f t="shared" si="9"/>
        <v>-1.8999999999999773</v>
      </c>
      <c r="Q112" s="6">
        <v>1.25</v>
      </c>
      <c r="R112" s="9">
        <f t="shared" si="10"/>
        <v>468.75</v>
      </c>
      <c r="S112" s="7">
        <f t="shared" si="11"/>
        <v>1949.9999999999959</v>
      </c>
    </row>
    <row r="113" spans="1:19" x14ac:dyDescent="0.25">
      <c r="A113" s="4">
        <f>Sheet1!A113</f>
        <v>39246</v>
      </c>
      <c r="B113" s="5">
        <f>Sheet1!B113</f>
        <v>0.58333333333333337</v>
      </c>
      <c r="C113" s="6">
        <f>Sheet1!C113</f>
        <v>186.8</v>
      </c>
      <c r="D113" s="6">
        <f>Sheet1!D113</f>
        <v>188.3</v>
      </c>
      <c r="E113" s="6">
        <f>Sheet1!E113</f>
        <v>186.4</v>
      </c>
      <c r="F113" s="6">
        <f>Sheet1!F113</f>
        <v>188.1</v>
      </c>
      <c r="H113" s="6">
        <f ca="1">IF(ROW($H113)-1&lt;$I$1,$F113,AVERAGE($F113:OFFSET($F113,(($I$1-1)*-1),0)))</f>
        <v>188.85833333333332</v>
      </c>
      <c r="J113" s="6">
        <f ca="1">IF(ROW($J113)-1&lt;$K$1,$F113,AVERAGE($F113:OFFSET($F113,(($K$1-1)*-1),0)))</f>
        <v>185.02500000000003</v>
      </c>
      <c r="L113" s="7">
        <f t="shared" ca="1" si="6"/>
        <v>1</v>
      </c>
      <c r="M113" s="7" t="str">
        <f t="shared" ca="1" si="7"/>
        <v/>
      </c>
      <c r="N113" s="6" t="str">
        <f t="shared" ca="1" si="8"/>
        <v/>
      </c>
      <c r="O113" s="6">
        <f t="shared" si="9"/>
        <v>1.0499999999999829</v>
      </c>
      <c r="Q113" s="6">
        <v>2.2999999999999829</v>
      </c>
      <c r="R113" s="9">
        <f t="shared" si="10"/>
        <v>862.49999999999363</v>
      </c>
      <c r="S113" s="7">
        <f t="shared" si="11"/>
        <v>1949.9999999999959</v>
      </c>
    </row>
    <row r="114" spans="1:19" x14ac:dyDescent="0.25">
      <c r="A114" s="4">
        <f>Sheet1!A114</f>
        <v>39247</v>
      </c>
      <c r="B114" s="5">
        <f>Sheet1!B114</f>
        <v>0.58333333333333337</v>
      </c>
      <c r="C114" s="6">
        <f>Sheet1!C114</f>
        <v>187.8</v>
      </c>
      <c r="D114" s="6">
        <f>Sheet1!D114</f>
        <v>189.4</v>
      </c>
      <c r="E114" s="6">
        <f>Sheet1!E114</f>
        <v>187.2</v>
      </c>
      <c r="F114" s="6">
        <f>Sheet1!F114</f>
        <v>187.9</v>
      </c>
      <c r="H114" s="6">
        <f ca="1">IF(ROW($H114)-1&lt;$I$1,$F114,AVERAGE($F114:OFFSET($F114,(($I$1-1)*-1),0)))</f>
        <v>188.5</v>
      </c>
      <c r="J114" s="6">
        <f ca="1">IF(ROW($J114)-1&lt;$K$1,$F114,AVERAGE($F114:OFFSET($F114,(($K$1-1)*-1),0)))</f>
        <v>185.32142857142858</v>
      </c>
      <c r="L114" s="7">
        <f t="shared" ca="1" si="6"/>
        <v>1</v>
      </c>
      <c r="M114" s="7" t="str">
        <f t="shared" ca="1" si="7"/>
        <v/>
      </c>
      <c r="N114" s="6" t="str">
        <f t="shared" ca="1" si="8"/>
        <v/>
      </c>
      <c r="O114" s="6">
        <f t="shared" si="9"/>
        <v>-0.19999999999998863</v>
      </c>
      <c r="Q114" s="6">
        <v>2.0999999999999943</v>
      </c>
      <c r="R114" s="9">
        <f t="shared" si="10"/>
        <v>787.49999999999784</v>
      </c>
      <c r="S114" s="7">
        <f t="shared" si="11"/>
        <v>1949.9999999999959</v>
      </c>
    </row>
    <row r="115" spans="1:19" x14ac:dyDescent="0.25">
      <c r="A115" s="4">
        <f>Sheet1!A115</f>
        <v>39248</v>
      </c>
      <c r="B115" s="5">
        <f>Sheet1!B115</f>
        <v>0.58333333333333337</v>
      </c>
      <c r="C115" s="6">
        <f>Sheet1!C115</f>
        <v>188.2</v>
      </c>
      <c r="D115" s="6">
        <f>Sheet1!D115</f>
        <v>188.8</v>
      </c>
      <c r="E115" s="6">
        <f>Sheet1!E115</f>
        <v>187.6</v>
      </c>
      <c r="F115" s="6">
        <f>Sheet1!F115</f>
        <v>187.9</v>
      </c>
      <c r="H115" s="6">
        <f ca="1">IF(ROW($H115)-1&lt;$I$1,$F115,AVERAGE($F115:OFFSET($F115,(($I$1-1)*-1),0)))</f>
        <v>188.05833333333337</v>
      </c>
      <c r="J115" s="6">
        <f ca="1">IF(ROW($J115)-1&lt;$K$1,$F115,AVERAGE($F115:OFFSET($F115,(($K$1-1)*-1),0)))</f>
        <v>185.66071428571428</v>
      </c>
      <c r="L115" s="7">
        <f t="shared" ca="1" si="6"/>
        <v>1</v>
      </c>
      <c r="M115" s="7" t="str">
        <f t="shared" ca="1" si="7"/>
        <v/>
      </c>
      <c r="N115" s="6" t="str">
        <f t="shared" ca="1" si="8"/>
        <v/>
      </c>
      <c r="O115" s="6">
        <f t="shared" si="9"/>
        <v>0</v>
      </c>
      <c r="Q115" s="6">
        <v>2.0999999999999943</v>
      </c>
      <c r="R115" s="9">
        <f t="shared" si="10"/>
        <v>787.49999999999784</v>
      </c>
      <c r="S115" s="7">
        <f t="shared" si="11"/>
        <v>1949.9999999999959</v>
      </c>
    </row>
    <row r="116" spans="1:19" x14ac:dyDescent="0.25">
      <c r="A116" s="4">
        <f>Sheet1!A116</f>
        <v>39251</v>
      </c>
      <c r="B116" s="5">
        <f>Sheet1!B116</f>
        <v>0.58333333333333337</v>
      </c>
      <c r="C116" s="6">
        <f>Sheet1!C116</f>
        <v>187.7</v>
      </c>
      <c r="D116" s="6">
        <f>Sheet1!D116</f>
        <v>189.5</v>
      </c>
      <c r="E116" s="6">
        <f>Sheet1!E116</f>
        <v>187.5</v>
      </c>
      <c r="F116" s="6">
        <f>Sheet1!F116</f>
        <v>187.75</v>
      </c>
      <c r="H116" s="6">
        <f ca="1">IF(ROW($H116)-1&lt;$I$1,$F116,AVERAGE($F116:OFFSET($F116,(($I$1-1)*-1),0)))</f>
        <v>187.94166666666669</v>
      </c>
      <c r="J116" s="6">
        <f ca="1">IF(ROW($J116)-1&lt;$K$1,$F116,AVERAGE($F116:OFFSET($F116,(($K$1-1)*-1),0)))</f>
        <v>185.97857142857146</v>
      </c>
      <c r="L116" s="7">
        <f t="shared" ca="1" si="6"/>
        <v>1</v>
      </c>
      <c r="M116" s="7" t="str">
        <f t="shared" ca="1" si="7"/>
        <v/>
      </c>
      <c r="N116" s="6" t="str">
        <f t="shared" ca="1" si="8"/>
        <v/>
      </c>
      <c r="O116" s="6">
        <f t="shared" si="9"/>
        <v>-0.15000000000000568</v>
      </c>
      <c r="Q116" s="6">
        <v>1.9499999999999886</v>
      </c>
      <c r="R116" s="9">
        <f t="shared" si="10"/>
        <v>731.24999999999568</v>
      </c>
      <c r="S116" s="7">
        <f t="shared" si="11"/>
        <v>1949.9999999999959</v>
      </c>
    </row>
    <row r="117" spans="1:19" x14ac:dyDescent="0.25">
      <c r="A117" s="4">
        <f>Sheet1!A117</f>
        <v>39252</v>
      </c>
      <c r="B117" s="5">
        <f>Sheet1!B117</f>
        <v>0.58333333333333337</v>
      </c>
      <c r="C117" s="6">
        <f>Sheet1!C117</f>
        <v>187.2</v>
      </c>
      <c r="D117" s="6">
        <f>Sheet1!D117</f>
        <v>187.8</v>
      </c>
      <c r="E117" s="6">
        <f>Sheet1!E117</f>
        <v>185.3</v>
      </c>
      <c r="F117" s="6">
        <f>Sheet1!F117</f>
        <v>186.5</v>
      </c>
      <c r="H117" s="6">
        <f ca="1">IF(ROW($H117)-1&lt;$I$1,$F117,AVERAGE($F117:OFFSET($F117,(($I$1-1)*-1),0)))</f>
        <v>187.5333333333333</v>
      </c>
      <c r="J117" s="6">
        <f ca="1">IF(ROW($J117)-1&lt;$K$1,$F117,AVERAGE($F117:OFFSET($F117,(($K$1-1)*-1),0)))</f>
        <v>186.21607142857144</v>
      </c>
      <c r="L117" s="7">
        <f t="shared" ca="1" si="6"/>
        <v>1</v>
      </c>
      <c r="M117" s="7" t="str">
        <f t="shared" ca="1" si="7"/>
        <v/>
      </c>
      <c r="N117" s="6" t="str">
        <f t="shared" ca="1" si="8"/>
        <v/>
      </c>
      <c r="O117" s="6">
        <f t="shared" si="9"/>
        <v>-1.25</v>
      </c>
      <c r="Q117" s="6">
        <v>0.69999999999998863</v>
      </c>
      <c r="R117" s="9">
        <f t="shared" si="10"/>
        <v>262.49999999999574</v>
      </c>
      <c r="S117" s="7">
        <f t="shared" si="11"/>
        <v>1949.9999999999959</v>
      </c>
    </row>
    <row r="118" spans="1:19" x14ac:dyDescent="0.25">
      <c r="A118" s="4">
        <f>Sheet1!A118</f>
        <v>39253</v>
      </c>
      <c r="B118" s="5">
        <f>Sheet1!B118</f>
        <v>0.58333333333333337</v>
      </c>
      <c r="C118" s="6">
        <f>Sheet1!C118</f>
        <v>186.8</v>
      </c>
      <c r="D118" s="6">
        <f>Sheet1!D118</f>
        <v>188.15</v>
      </c>
      <c r="E118" s="6">
        <f>Sheet1!E118</f>
        <v>186.7</v>
      </c>
      <c r="F118" s="6">
        <f>Sheet1!F118</f>
        <v>188.1</v>
      </c>
      <c r="H118" s="6">
        <f ca="1">IF(ROW($H118)-1&lt;$I$1,$F118,AVERAGE($F118:OFFSET($F118,(($I$1-1)*-1),0)))</f>
        <v>187.70833333333334</v>
      </c>
      <c r="J118" s="6">
        <f ca="1">IF(ROW($J118)-1&lt;$K$1,$F118,AVERAGE($F118:OFFSET($F118,(($K$1-1)*-1),0)))</f>
        <v>186.5</v>
      </c>
      <c r="L118" s="7">
        <f t="shared" ca="1" si="6"/>
        <v>1</v>
      </c>
      <c r="M118" s="7" t="str">
        <f t="shared" ca="1" si="7"/>
        <v/>
      </c>
      <c r="N118" s="6" t="str">
        <f t="shared" ca="1" si="8"/>
        <v/>
      </c>
      <c r="O118" s="6">
        <f t="shared" si="9"/>
        <v>1.5999999999999943</v>
      </c>
      <c r="Q118" s="6">
        <v>2.2999999999999829</v>
      </c>
      <c r="R118" s="9">
        <f t="shared" si="10"/>
        <v>862.49999999999363</v>
      </c>
      <c r="S118" s="7">
        <f t="shared" si="11"/>
        <v>1949.9999999999959</v>
      </c>
    </row>
    <row r="119" spans="1:19" x14ac:dyDescent="0.25">
      <c r="A119" s="4">
        <f>Sheet1!A119</f>
        <v>39254</v>
      </c>
      <c r="B119" s="5">
        <f>Sheet1!B119</f>
        <v>0.58333333333333337</v>
      </c>
      <c r="C119" s="6">
        <f>Sheet1!C119</f>
        <v>187.8</v>
      </c>
      <c r="D119" s="6">
        <f>Sheet1!D119</f>
        <v>188.35</v>
      </c>
      <c r="E119" s="6">
        <f>Sheet1!E119</f>
        <v>186.9</v>
      </c>
      <c r="F119" s="6">
        <f>Sheet1!F119</f>
        <v>187.4</v>
      </c>
      <c r="H119" s="6">
        <f ca="1">IF(ROW($H119)-1&lt;$I$1,$F119,AVERAGE($F119:OFFSET($F119,(($I$1-1)*-1),0)))</f>
        <v>187.59166666666667</v>
      </c>
      <c r="J119" s="6">
        <f ca="1">IF(ROW($J119)-1&lt;$K$1,$F119,AVERAGE($F119:OFFSET($F119,(($K$1-1)*-1),0)))</f>
        <v>186.78928571428574</v>
      </c>
      <c r="L119" s="7">
        <f t="shared" ca="1" si="6"/>
        <v>1</v>
      </c>
      <c r="M119" s="7" t="str">
        <f t="shared" ca="1" si="7"/>
        <v/>
      </c>
      <c r="N119" s="6" t="str">
        <f t="shared" ca="1" si="8"/>
        <v/>
      </c>
      <c r="O119" s="6">
        <f t="shared" si="9"/>
        <v>-0.69999999999998863</v>
      </c>
      <c r="Q119" s="6">
        <v>1.5999999999999943</v>
      </c>
      <c r="R119" s="9">
        <f t="shared" si="10"/>
        <v>599.99999999999784</v>
      </c>
      <c r="S119" s="7">
        <f t="shared" si="11"/>
        <v>1949.9999999999959</v>
      </c>
    </row>
    <row r="120" spans="1:19" x14ac:dyDescent="0.25">
      <c r="A120" s="4">
        <f>Sheet1!A120</f>
        <v>39255</v>
      </c>
      <c r="B120" s="5">
        <f>Sheet1!B120</f>
        <v>0.58333333333333337</v>
      </c>
      <c r="C120" s="6">
        <f>Sheet1!C120</f>
        <v>187.6</v>
      </c>
      <c r="D120" s="6">
        <f>Sheet1!D120</f>
        <v>187.95</v>
      </c>
      <c r="E120" s="6">
        <f>Sheet1!E120</f>
        <v>185.2</v>
      </c>
      <c r="F120" s="6">
        <f>Sheet1!F120</f>
        <v>186.1</v>
      </c>
      <c r="H120" s="6">
        <f ca="1">IF(ROW($H120)-1&lt;$I$1,$F120,AVERAGE($F120:OFFSET($F120,(($I$1-1)*-1),0)))</f>
        <v>187.29166666666666</v>
      </c>
      <c r="J120" s="6">
        <f ca="1">IF(ROW($J120)-1&lt;$K$1,$F120,AVERAGE($F120:OFFSET($F120,(($K$1-1)*-1),0)))</f>
        <v>186.99107142857147</v>
      </c>
      <c r="L120" s="7">
        <f t="shared" ca="1" si="6"/>
        <v>1</v>
      </c>
      <c r="M120" s="7" t="str">
        <f t="shared" ca="1" si="7"/>
        <v/>
      </c>
      <c r="N120" s="6" t="str">
        <f t="shared" ca="1" si="8"/>
        <v/>
      </c>
      <c r="O120" s="6">
        <f t="shared" si="9"/>
        <v>-1.3000000000000114</v>
      </c>
      <c r="Q120" s="6">
        <v>0.29999999999998295</v>
      </c>
      <c r="R120" s="9">
        <f t="shared" si="10"/>
        <v>112.49999999999361</v>
      </c>
      <c r="S120" s="7">
        <f t="shared" si="11"/>
        <v>1949.9999999999959</v>
      </c>
    </row>
    <row r="121" spans="1:19" x14ac:dyDescent="0.25">
      <c r="A121" s="4">
        <f>Sheet1!A121</f>
        <v>39258</v>
      </c>
      <c r="B121" s="5">
        <f>Sheet1!B121</f>
        <v>0.58333333333333337</v>
      </c>
      <c r="C121" s="6">
        <f>Sheet1!C121</f>
        <v>184.7</v>
      </c>
      <c r="D121" s="6">
        <f>Sheet1!D121</f>
        <v>185</v>
      </c>
      <c r="E121" s="6">
        <f>Sheet1!E121</f>
        <v>181.7</v>
      </c>
      <c r="F121" s="6">
        <f>Sheet1!F121</f>
        <v>181.85</v>
      </c>
      <c r="H121" s="6">
        <f ca="1">IF(ROW($H121)-1&lt;$I$1,$F121,AVERAGE($F121:OFFSET($F121,(($I$1-1)*-1),0)))</f>
        <v>186.28333333333333</v>
      </c>
      <c r="J121" s="6">
        <f ca="1">IF(ROW($J121)-1&lt;$K$1,$F121,AVERAGE($F121:OFFSET($F121,(($K$1-1)*-1),0)))</f>
        <v>187.02500000000003</v>
      </c>
      <c r="L121" s="7">
        <f t="shared" ca="1" si="6"/>
        <v>-1</v>
      </c>
      <c r="M121" s="7">
        <f t="shared" ca="1" si="7"/>
        <v>-1</v>
      </c>
      <c r="N121" s="6" t="str">
        <f t="shared" ca="1" si="8"/>
        <v/>
      </c>
      <c r="O121" s="6">
        <f t="shared" si="9"/>
        <v>-4.25</v>
      </c>
      <c r="Q121" s="6">
        <v>-3.9500000000000171</v>
      </c>
      <c r="R121" s="9">
        <f t="shared" si="10"/>
        <v>-1481.2500000000064</v>
      </c>
      <c r="S121" s="7">
        <f t="shared" si="11"/>
        <v>1949.9999999999959</v>
      </c>
    </row>
    <row r="122" spans="1:19" x14ac:dyDescent="0.25">
      <c r="A122" s="4">
        <f>Sheet1!A122</f>
        <v>39259</v>
      </c>
      <c r="B122" s="5">
        <f>Sheet1!B122</f>
        <v>0.58333333333333337</v>
      </c>
      <c r="C122" s="6">
        <f>Sheet1!C122</f>
        <v>181.7</v>
      </c>
      <c r="D122" s="6">
        <f>Sheet1!D122</f>
        <v>183</v>
      </c>
      <c r="E122" s="6">
        <f>Sheet1!E122</f>
        <v>181.7</v>
      </c>
      <c r="F122" s="6">
        <f>Sheet1!F122</f>
        <v>182.6</v>
      </c>
      <c r="H122" s="6">
        <f ca="1">IF(ROW($H122)-1&lt;$I$1,$F122,AVERAGE($F122:OFFSET($F122,(($I$1-1)*-1),0)))</f>
        <v>185.42499999999998</v>
      </c>
      <c r="J122" s="6">
        <f ca="1">IF(ROW($J122)-1&lt;$K$1,$F122,AVERAGE($F122:OFFSET($F122,(($K$1-1)*-1),0)))</f>
        <v>187.00000000000006</v>
      </c>
      <c r="L122" s="7">
        <f t="shared" ca="1" si="6"/>
        <v>-1</v>
      </c>
      <c r="M122" s="7" t="str">
        <f t="shared" ca="1" si="7"/>
        <v/>
      </c>
      <c r="N122" s="6">
        <f t="shared" ca="1" si="8"/>
        <v>181.7</v>
      </c>
      <c r="O122" s="6">
        <f t="shared" si="9"/>
        <v>0.75</v>
      </c>
      <c r="P122" s="6">
        <v>-4.1000000000000227</v>
      </c>
      <c r="Q122" s="6">
        <v>-0.90000000000000568</v>
      </c>
      <c r="R122" s="9">
        <f t="shared" si="10"/>
        <v>-337.50000000000216</v>
      </c>
      <c r="S122" s="7">
        <f t="shared" si="11"/>
        <v>412.49999999998727</v>
      </c>
    </row>
    <row r="123" spans="1:19" x14ac:dyDescent="0.25">
      <c r="A123" s="4">
        <f>Sheet1!A123</f>
        <v>39260</v>
      </c>
      <c r="B123" s="5">
        <f>Sheet1!B123</f>
        <v>0.58333333333333337</v>
      </c>
      <c r="C123" s="6">
        <f>Sheet1!C123</f>
        <v>182.2</v>
      </c>
      <c r="D123" s="6">
        <f>Sheet1!D123</f>
        <v>183.1</v>
      </c>
      <c r="E123" s="6">
        <f>Sheet1!E123</f>
        <v>181.7</v>
      </c>
      <c r="F123" s="6">
        <f>Sheet1!F123</f>
        <v>182.9</v>
      </c>
      <c r="H123" s="6">
        <f ca="1">IF(ROW($H123)-1&lt;$I$1,$F123,AVERAGE($F123:OFFSET($F123,(($I$1-1)*-1),0)))</f>
        <v>184.82500000000002</v>
      </c>
      <c r="J123" s="6">
        <f ca="1">IF(ROW($J123)-1&lt;$K$1,$F123,AVERAGE($F123:OFFSET($F123,(($K$1-1)*-1),0)))</f>
        <v>186.86428571428573</v>
      </c>
      <c r="L123" s="7">
        <f t="shared" ca="1" si="6"/>
        <v>-1</v>
      </c>
      <c r="M123" s="7" t="str">
        <f t="shared" ca="1" si="7"/>
        <v/>
      </c>
      <c r="N123" s="6" t="str">
        <f t="shared" ca="1" si="8"/>
        <v/>
      </c>
      <c r="O123" s="6">
        <f t="shared" si="9"/>
        <v>0.30000000000001137</v>
      </c>
      <c r="Q123" s="6">
        <v>-1.2000000000000171</v>
      </c>
      <c r="R123" s="9">
        <f t="shared" si="10"/>
        <v>-450.00000000000637</v>
      </c>
      <c r="S123" s="7">
        <f t="shared" si="11"/>
        <v>412.49999999998727</v>
      </c>
    </row>
    <row r="124" spans="1:19" x14ac:dyDescent="0.25">
      <c r="A124" s="4">
        <f>Sheet1!A124</f>
        <v>39261</v>
      </c>
      <c r="B124" s="5">
        <f>Sheet1!B124</f>
        <v>0.58333333333333337</v>
      </c>
      <c r="C124" s="6">
        <f>Sheet1!C124</f>
        <v>182.7</v>
      </c>
      <c r="D124" s="6">
        <f>Sheet1!D124</f>
        <v>184.4</v>
      </c>
      <c r="E124" s="6">
        <f>Sheet1!E124</f>
        <v>181.6</v>
      </c>
      <c r="F124" s="6">
        <f>Sheet1!F124</f>
        <v>183.3</v>
      </c>
      <c r="H124" s="6">
        <f ca="1">IF(ROW($H124)-1&lt;$I$1,$F124,AVERAGE($F124:OFFSET($F124,(($I$1-1)*-1),0)))</f>
        <v>184.02500000000001</v>
      </c>
      <c r="J124" s="6">
        <f ca="1">IF(ROW($J124)-1&lt;$K$1,$F124,AVERAGE($F124:OFFSET($F124,(($K$1-1)*-1),0)))</f>
        <v>186.78928571428577</v>
      </c>
      <c r="L124" s="7">
        <f t="shared" ca="1" si="6"/>
        <v>-1</v>
      </c>
      <c r="M124" s="7" t="str">
        <f t="shared" ca="1" si="7"/>
        <v/>
      </c>
      <c r="N124" s="6" t="str">
        <f t="shared" ca="1" si="8"/>
        <v/>
      </c>
      <c r="O124" s="6">
        <f t="shared" si="9"/>
        <v>0.40000000000000568</v>
      </c>
      <c r="Q124" s="6">
        <v>-1.6000000000000227</v>
      </c>
      <c r="R124" s="9">
        <f t="shared" si="10"/>
        <v>-600.00000000000853</v>
      </c>
      <c r="S124" s="7">
        <f t="shared" si="11"/>
        <v>412.49999999998727</v>
      </c>
    </row>
    <row r="125" spans="1:19" x14ac:dyDescent="0.25">
      <c r="A125" s="4">
        <f>Sheet1!A125</f>
        <v>39262</v>
      </c>
      <c r="B125" s="5">
        <f>Sheet1!B125</f>
        <v>0.58333333333333337</v>
      </c>
      <c r="C125" s="6">
        <f>Sheet1!C125</f>
        <v>183.3</v>
      </c>
      <c r="D125" s="6">
        <f>Sheet1!D125</f>
        <v>183.9</v>
      </c>
      <c r="E125" s="6">
        <f>Sheet1!E125</f>
        <v>182.65</v>
      </c>
      <c r="F125" s="6">
        <f>Sheet1!F125</f>
        <v>183.5</v>
      </c>
      <c r="H125" s="6">
        <f ca="1">IF(ROW($H125)-1&lt;$I$1,$F125,AVERAGE($F125:OFFSET($F125,(($I$1-1)*-1),0)))</f>
        <v>183.375</v>
      </c>
      <c r="J125" s="6">
        <f ca="1">IF(ROW($J125)-1&lt;$K$1,$F125,AVERAGE($F125:OFFSET($F125,(($K$1-1)*-1),0)))</f>
        <v>186.71428571428575</v>
      </c>
      <c r="L125" s="7">
        <f t="shared" ca="1" si="6"/>
        <v>-1</v>
      </c>
      <c r="M125" s="7" t="str">
        <f t="shared" ca="1" si="7"/>
        <v/>
      </c>
      <c r="N125" s="6" t="str">
        <f t="shared" ca="1" si="8"/>
        <v/>
      </c>
      <c r="O125" s="6">
        <f t="shared" si="9"/>
        <v>0.19999999999998863</v>
      </c>
      <c r="Q125" s="6">
        <v>-1.8000000000000114</v>
      </c>
      <c r="R125" s="9">
        <f t="shared" si="10"/>
        <v>-675.00000000000432</v>
      </c>
      <c r="S125" s="7">
        <f t="shared" si="11"/>
        <v>412.49999999998727</v>
      </c>
    </row>
    <row r="126" spans="1:19" x14ac:dyDescent="0.25">
      <c r="A126" s="4">
        <f>Sheet1!A126</f>
        <v>39265</v>
      </c>
      <c r="B126" s="5">
        <f>Sheet1!B126</f>
        <v>0.58333333333333337</v>
      </c>
      <c r="C126" s="6">
        <f>Sheet1!C126</f>
        <v>181.6</v>
      </c>
      <c r="D126" s="6">
        <f>Sheet1!D126</f>
        <v>183.1</v>
      </c>
      <c r="E126" s="6">
        <f>Sheet1!E126</f>
        <v>181.5</v>
      </c>
      <c r="F126" s="6">
        <f>Sheet1!F126</f>
        <v>182.7</v>
      </c>
      <c r="H126" s="6">
        <f ca="1">IF(ROW($H126)-1&lt;$I$1,$F126,AVERAGE($F126:OFFSET($F126,(($I$1-1)*-1),0)))</f>
        <v>182.80833333333337</v>
      </c>
      <c r="J126" s="6">
        <f ca="1">IF(ROW($J126)-1&lt;$K$1,$F126,AVERAGE($F126:OFFSET($F126,(($K$1-1)*-1),0)))</f>
        <v>186.62678571428575</v>
      </c>
      <c r="L126" s="7">
        <f t="shared" ca="1" si="6"/>
        <v>-1</v>
      </c>
      <c r="M126" s="7" t="str">
        <f t="shared" ca="1" si="7"/>
        <v/>
      </c>
      <c r="N126" s="6" t="str">
        <f t="shared" ca="1" si="8"/>
        <v/>
      </c>
      <c r="O126" s="6">
        <f t="shared" si="9"/>
        <v>-0.80000000000001137</v>
      </c>
      <c r="Q126" s="6">
        <v>-1</v>
      </c>
      <c r="R126" s="9">
        <f t="shared" si="10"/>
        <v>-375</v>
      </c>
      <c r="S126" s="7">
        <f t="shared" si="11"/>
        <v>412.49999999998727</v>
      </c>
    </row>
    <row r="127" spans="1:19" x14ac:dyDescent="0.25">
      <c r="A127" s="4">
        <f>Sheet1!A127</f>
        <v>39266</v>
      </c>
      <c r="B127" s="5">
        <f>Sheet1!B127</f>
        <v>0.58333333333333337</v>
      </c>
      <c r="C127" s="6">
        <f>Sheet1!C127</f>
        <v>181.8</v>
      </c>
      <c r="D127" s="6">
        <f>Sheet1!D127</f>
        <v>182.55</v>
      </c>
      <c r="E127" s="6">
        <f>Sheet1!E127</f>
        <v>181</v>
      </c>
      <c r="F127" s="6">
        <f>Sheet1!F127</f>
        <v>181.8</v>
      </c>
      <c r="H127" s="6">
        <f ca="1">IF(ROW($H127)-1&lt;$I$1,$F127,AVERAGE($F127:OFFSET($F127,(($I$1-1)*-1),0)))</f>
        <v>182.79999999999998</v>
      </c>
      <c r="J127" s="6">
        <f ca="1">IF(ROW($J127)-1&lt;$K$1,$F127,AVERAGE($F127:OFFSET($F127,(($K$1-1)*-1),0)))</f>
        <v>186.48928571428573</v>
      </c>
      <c r="L127" s="7">
        <f t="shared" ca="1" si="6"/>
        <v>-1</v>
      </c>
      <c r="M127" s="7" t="str">
        <f t="shared" ca="1" si="7"/>
        <v/>
      </c>
      <c r="N127" s="6" t="str">
        <f t="shared" ca="1" si="8"/>
        <v/>
      </c>
      <c r="O127" s="6">
        <f t="shared" si="9"/>
        <v>-0.89999999999997726</v>
      </c>
      <c r="Q127" s="6">
        <v>-0.10000000000002274</v>
      </c>
      <c r="R127" s="9">
        <f t="shared" si="10"/>
        <v>-37.500000000008527</v>
      </c>
      <c r="S127" s="7">
        <f t="shared" si="11"/>
        <v>412.49999999998727</v>
      </c>
    </row>
    <row r="128" spans="1:19" x14ac:dyDescent="0.25">
      <c r="A128" s="4">
        <f>Sheet1!A128</f>
        <v>39268</v>
      </c>
      <c r="B128" s="5">
        <f>Sheet1!B128</f>
        <v>0.58333333333333337</v>
      </c>
      <c r="C128" s="6">
        <f>Sheet1!C128</f>
        <v>181.3</v>
      </c>
      <c r="D128" s="6">
        <f>Sheet1!D128</f>
        <v>181.9</v>
      </c>
      <c r="E128" s="6">
        <f>Sheet1!E128</f>
        <v>180.5</v>
      </c>
      <c r="F128" s="6">
        <f>Sheet1!F128</f>
        <v>181.1</v>
      </c>
      <c r="H128" s="6">
        <f ca="1">IF(ROW($H128)-1&lt;$I$1,$F128,AVERAGE($F128:OFFSET($F128,(($I$1-1)*-1),0)))</f>
        <v>182.54999999999998</v>
      </c>
      <c r="J128" s="6">
        <f ca="1">IF(ROW($J128)-1&lt;$K$1,$F128,AVERAGE($F128:OFFSET($F128,(($K$1-1)*-1),0)))</f>
        <v>186.28035714285716</v>
      </c>
      <c r="L128" s="7">
        <f t="shared" ca="1" si="6"/>
        <v>-1</v>
      </c>
      <c r="M128" s="7" t="str">
        <f t="shared" ca="1" si="7"/>
        <v/>
      </c>
      <c r="N128" s="6" t="str">
        <f t="shared" ca="1" si="8"/>
        <v/>
      </c>
      <c r="O128" s="6">
        <f t="shared" si="9"/>
        <v>-0.70000000000001705</v>
      </c>
      <c r="Q128" s="6">
        <v>0.59999999999999432</v>
      </c>
      <c r="R128" s="9">
        <f t="shared" si="10"/>
        <v>224.99999999999787</v>
      </c>
      <c r="S128" s="7">
        <f t="shared" si="11"/>
        <v>412.49999999998727</v>
      </c>
    </row>
    <row r="129" spans="1:19" x14ac:dyDescent="0.25">
      <c r="A129" s="4">
        <f>Sheet1!A129</f>
        <v>39269</v>
      </c>
      <c r="B129" s="5">
        <f>Sheet1!B129</f>
        <v>0.58333333333333337</v>
      </c>
      <c r="C129" s="6">
        <f>Sheet1!C129</f>
        <v>180.65</v>
      </c>
      <c r="D129" s="6">
        <f>Sheet1!D129</f>
        <v>180.85</v>
      </c>
      <c r="E129" s="6">
        <f>Sheet1!E129</f>
        <v>179.4</v>
      </c>
      <c r="F129" s="6">
        <f>Sheet1!F129</f>
        <v>180.45</v>
      </c>
      <c r="H129" s="6">
        <f ca="1">IF(ROW($H129)-1&lt;$I$1,$F129,AVERAGE($F129:OFFSET($F129,(($I$1-1)*-1),0)))</f>
        <v>182.14166666666665</v>
      </c>
      <c r="J129" s="6">
        <f ca="1">IF(ROW($J129)-1&lt;$K$1,$F129,AVERAGE($F129:OFFSET($F129,(($K$1-1)*-1),0)))</f>
        <v>186.06428571428572</v>
      </c>
      <c r="L129" s="7">
        <f t="shared" ca="1" si="6"/>
        <v>-1</v>
      </c>
      <c r="M129" s="7" t="str">
        <f t="shared" ca="1" si="7"/>
        <v/>
      </c>
      <c r="N129" s="6" t="str">
        <f t="shared" ca="1" si="8"/>
        <v/>
      </c>
      <c r="O129" s="6">
        <f t="shared" si="9"/>
        <v>-0.65000000000000568</v>
      </c>
      <c r="Q129" s="6">
        <v>1.25</v>
      </c>
      <c r="R129" s="9">
        <f t="shared" si="10"/>
        <v>468.75</v>
      </c>
      <c r="S129" s="7">
        <f t="shared" si="11"/>
        <v>412.49999999998727</v>
      </c>
    </row>
    <row r="130" spans="1:19" x14ac:dyDescent="0.25">
      <c r="A130" s="4">
        <f>Sheet1!A130</f>
        <v>39272</v>
      </c>
      <c r="B130" s="5">
        <f>Sheet1!B130</f>
        <v>0.58333333333333337</v>
      </c>
      <c r="C130" s="6">
        <f>Sheet1!C130</f>
        <v>180.7</v>
      </c>
      <c r="D130" s="6">
        <f>Sheet1!D130</f>
        <v>181.2</v>
      </c>
      <c r="E130" s="6">
        <f>Sheet1!E130</f>
        <v>179.95</v>
      </c>
      <c r="F130" s="6">
        <f>Sheet1!F130</f>
        <v>180.1</v>
      </c>
      <c r="H130" s="6">
        <f ca="1">IF(ROW($H130)-1&lt;$I$1,$F130,AVERAGE($F130:OFFSET($F130,(($I$1-1)*-1),0)))</f>
        <v>181.60833333333332</v>
      </c>
      <c r="J130" s="6">
        <f ca="1">IF(ROW($J130)-1&lt;$K$1,$F130,AVERAGE($F130:OFFSET($F130,(($K$1-1)*-1),0)))</f>
        <v>185.91428571428574</v>
      </c>
      <c r="L130" s="7">
        <f t="shared" ca="1" si="6"/>
        <v>-1</v>
      </c>
      <c r="M130" s="7" t="str">
        <f t="shared" ca="1" si="7"/>
        <v/>
      </c>
      <c r="N130" s="6" t="str">
        <f t="shared" ca="1" si="8"/>
        <v/>
      </c>
      <c r="O130" s="6">
        <f t="shared" si="9"/>
        <v>-0.34999999999999432</v>
      </c>
      <c r="Q130" s="6">
        <v>1.5999999999999943</v>
      </c>
      <c r="R130" s="9">
        <f t="shared" si="10"/>
        <v>599.99999999999784</v>
      </c>
      <c r="S130" s="7">
        <f t="shared" si="11"/>
        <v>412.49999999998727</v>
      </c>
    </row>
    <row r="131" spans="1:19" x14ac:dyDescent="0.25">
      <c r="A131" s="4">
        <f>Sheet1!A131</f>
        <v>39273</v>
      </c>
      <c r="B131" s="5">
        <f>Sheet1!B131</f>
        <v>0.58333333333333337</v>
      </c>
      <c r="C131" s="6">
        <f>Sheet1!C131</f>
        <v>180.5</v>
      </c>
      <c r="D131" s="6">
        <f>Sheet1!D131</f>
        <v>182.6</v>
      </c>
      <c r="E131" s="6">
        <f>Sheet1!E131</f>
        <v>180.5</v>
      </c>
      <c r="F131" s="6">
        <f>Sheet1!F131</f>
        <v>181.85</v>
      </c>
      <c r="H131" s="6">
        <f ca="1">IF(ROW($H131)-1&lt;$I$1,$F131,AVERAGE($F131:OFFSET($F131,(($I$1-1)*-1),0)))</f>
        <v>181.33333333333334</v>
      </c>
      <c r="J131" s="6">
        <f ca="1">IF(ROW($J131)-1&lt;$K$1,$F131,AVERAGE($F131:OFFSET($F131,(($K$1-1)*-1),0)))</f>
        <v>185.80357142857147</v>
      </c>
      <c r="L131" s="7">
        <f t="shared" ref="L131:L194" ca="1" si="12">IF(ROW($L131)&gt;($K$1),IF($H131&gt;$J131,1,IF($H131&lt;$J131,-1,$L130*-1)),0)</f>
        <v>-1</v>
      </c>
      <c r="M131" s="7" t="str">
        <f t="shared" ca="1" si="7"/>
        <v/>
      </c>
      <c r="N131" s="6" t="str">
        <f t="shared" ca="1" si="8"/>
        <v/>
      </c>
      <c r="O131" s="6">
        <f t="shared" si="9"/>
        <v>1.75</v>
      </c>
      <c r="Q131" s="6">
        <v>-0.15000000000000568</v>
      </c>
      <c r="R131" s="9">
        <f t="shared" si="10"/>
        <v>-56.250000000002132</v>
      </c>
      <c r="S131" s="7">
        <f t="shared" si="11"/>
        <v>412.49999999998727</v>
      </c>
    </row>
    <row r="132" spans="1:19" x14ac:dyDescent="0.25">
      <c r="A132" s="4">
        <f>Sheet1!A132</f>
        <v>39274</v>
      </c>
      <c r="B132" s="5">
        <f>Sheet1!B132</f>
        <v>0.58333333333333337</v>
      </c>
      <c r="C132" s="6">
        <f>Sheet1!C132</f>
        <v>182.6</v>
      </c>
      <c r="D132" s="6">
        <f>Sheet1!D132</f>
        <v>182.8</v>
      </c>
      <c r="E132" s="6">
        <f>Sheet1!E132</f>
        <v>181.8</v>
      </c>
      <c r="F132" s="6">
        <f>Sheet1!F132</f>
        <v>182.55</v>
      </c>
      <c r="H132" s="6">
        <f ca="1">IF(ROW($H132)-1&lt;$I$1,$F132,AVERAGE($F132:OFFSET($F132,(($I$1-1)*-1),0)))</f>
        <v>181.30833333333331</v>
      </c>
      <c r="J132" s="6">
        <f ca="1">IF(ROW($J132)-1&lt;$K$1,$F132,AVERAGE($F132:OFFSET($F132,(($K$1-1)*-1),0)))</f>
        <v>185.69821428571433</v>
      </c>
      <c r="L132" s="7">
        <f t="shared" ca="1" si="12"/>
        <v>-1</v>
      </c>
      <c r="M132" s="7" t="str">
        <f t="shared" ref="M132:M195" ca="1" si="13">IF(L132&lt;&gt;L131,L132,"")</f>
        <v/>
      </c>
      <c r="N132" s="6" t="str">
        <f t="shared" ref="N132:N195" ca="1" si="14">IF(M131&lt;&gt;"",C132,"")</f>
        <v/>
      </c>
      <c r="O132" s="6">
        <f t="shared" ref="O132:O195" si="15">F132-F131</f>
        <v>0.70000000000001705</v>
      </c>
      <c r="Q132" s="6">
        <v>-0.85000000000002274</v>
      </c>
      <c r="R132" s="9">
        <f t="shared" ref="R132:R195" si="16">IF(Q132="","",Q132*375)</f>
        <v>-318.75000000000853</v>
      </c>
      <c r="S132" s="7">
        <f t="shared" si="11"/>
        <v>412.49999999998727</v>
      </c>
    </row>
    <row r="133" spans="1:19" x14ac:dyDescent="0.25">
      <c r="A133" s="4">
        <f>Sheet1!A133</f>
        <v>39275</v>
      </c>
      <c r="B133" s="5">
        <f>Sheet1!B133</f>
        <v>0.58333333333333337</v>
      </c>
      <c r="C133" s="6">
        <f>Sheet1!C133</f>
        <v>182.1</v>
      </c>
      <c r="D133" s="6">
        <f>Sheet1!D133</f>
        <v>183.3</v>
      </c>
      <c r="E133" s="6">
        <f>Sheet1!E133</f>
        <v>180.8</v>
      </c>
      <c r="F133" s="6">
        <f>Sheet1!F133</f>
        <v>182.1</v>
      </c>
      <c r="H133" s="6">
        <f ca="1">IF(ROW($H133)-1&lt;$I$1,$F133,AVERAGE($F133:OFFSET($F133,(($I$1-1)*-1),0)))</f>
        <v>181.35833333333332</v>
      </c>
      <c r="J133" s="6">
        <f ca="1">IF(ROW($J133)-1&lt;$K$1,$F133,AVERAGE($F133:OFFSET($F133,(($K$1-1)*-1),0)))</f>
        <v>185.38035714285721</v>
      </c>
      <c r="L133" s="7">
        <f t="shared" ca="1" si="12"/>
        <v>-1</v>
      </c>
      <c r="M133" s="7" t="str">
        <f t="shared" ca="1" si="13"/>
        <v/>
      </c>
      <c r="N133" s="6" t="str">
        <f t="shared" ca="1" si="14"/>
        <v/>
      </c>
      <c r="O133" s="6">
        <f t="shared" si="15"/>
        <v>-0.45000000000001705</v>
      </c>
      <c r="Q133" s="6">
        <v>-0.40000000000000568</v>
      </c>
      <c r="R133" s="9">
        <f t="shared" si="16"/>
        <v>-150.00000000000213</v>
      </c>
      <c r="S133" s="7">
        <f t="shared" si="11"/>
        <v>412.49999999998727</v>
      </c>
    </row>
    <row r="134" spans="1:19" x14ac:dyDescent="0.25">
      <c r="A134" s="4">
        <f>Sheet1!A134</f>
        <v>39276</v>
      </c>
      <c r="B134" s="5">
        <f>Sheet1!B134</f>
        <v>0.58333333333333337</v>
      </c>
      <c r="C134" s="6">
        <f>Sheet1!C134</f>
        <v>181.1</v>
      </c>
      <c r="D134" s="6">
        <f>Sheet1!D134</f>
        <v>181.55</v>
      </c>
      <c r="E134" s="6">
        <f>Sheet1!E134</f>
        <v>180.2</v>
      </c>
      <c r="F134" s="6">
        <f>Sheet1!F134</f>
        <v>180.45</v>
      </c>
      <c r="H134" s="6">
        <f ca="1">IF(ROW($H134)-1&lt;$I$1,$F134,AVERAGE($F134:OFFSET($F134,(($I$1-1)*-1),0)))</f>
        <v>181.25</v>
      </c>
      <c r="J134" s="6">
        <f ca="1">IF(ROW($J134)-1&lt;$K$1,$F134,AVERAGE($F134:OFFSET($F134,(($K$1-1)*-1),0)))</f>
        <v>185.07857142857148</v>
      </c>
      <c r="L134" s="7">
        <f t="shared" ca="1" si="12"/>
        <v>-1</v>
      </c>
      <c r="M134" s="7" t="str">
        <f t="shared" ca="1" si="13"/>
        <v/>
      </c>
      <c r="N134" s="6" t="str">
        <f t="shared" ca="1" si="14"/>
        <v/>
      </c>
      <c r="O134" s="6">
        <f t="shared" si="15"/>
        <v>-1.6500000000000057</v>
      </c>
      <c r="Q134" s="6">
        <v>1.25</v>
      </c>
      <c r="R134" s="9">
        <f t="shared" si="16"/>
        <v>468.75</v>
      </c>
      <c r="S134" s="7">
        <f t="shared" si="11"/>
        <v>412.49999999998727</v>
      </c>
    </row>
    <row r="135" spans="1:19" x14ac:dyDescent="0.25">
      <c r="A135" s="4">
        <f>Sheet1!A135</f>
        <v>39279</v>
      </c>
      <c r="B135" s="5">
        <f>Sheet1!B135</f>
        <v>0.58333333333333337</v>
      </c>
      <c r="C135" s="6">
        <f>Sheet1!C135</f>
        <v>180.3</v>
      </c>
      <c r="D135" s="6">
        <f>Sheet1!D135</f>
        <v>182.6</v>
      </c>
      <c r="E135" s="6">
        <f>Sheet1!E135</f>
        <v>180.1</v>
      </c>
      <c r="F135" s="6">
        <f>Sheet1!F135</f>
        <v>182.45</v>
      </c>
      <c r="H135" s="6">
        <f ca="1">IF(ROW($H135)-1&lt;$I$1,$F135,AVERAGE($F135:OFFSET($F135,(($I$1-1)*-1),0)))</f>
        <v>181.58333333333334</v>
      </c>
      <c r="J135" s="6">
        <f ca="1">IF(ROW($J135)-1&lt;$K$1,$F135,AVERAGE($F135:OFFSET($F135,(($K$1-1)*-1),0)))</f>
        <v>184.80357142857147</v>
      </c>
      <c r="L135" s="7">
        <f t="shared" ca="1" si="12"/>
        <v>-1</v>
      </c>
      <c r="M135" s="7" t="str">
        <f t="shared" ca="1" si="13"/>
        <v/>
      </c>
      <c r="N135" s="6" t="str">
        <f t="shared" ca="1" si="14"/>
        <v/>
      </c>
      <c r="O135" s="6">
        <f t="shared" si="15"/>
        <v>2</v>
      </c>
      <c r="Q135" s="6">
        <v>-0.75</v>
      </c>
      <c r="R135" s="9">
        <f t="shared" si="16"/>
        <v>-281.25</v>
      </c>
      <c r="S135" s="7">
        <f t="shared" si="11"/>
        <v>412.49999999998727</v>
      </c>
    </row>
    <row r="136" spans="1:19" x14ac:dyDescent="0.25">
      <c r="A136" s="4">
        <f>Sheet1!A136</f>
        <v>39280</v>
      </c>
      <c r="B136" s="5">
        <f>Sheet1!B136</f>
        <v>0.58333333333333337</v>
      </c>
      <c r="C136" s="6">
        <f>Sheet1!C136</f>
        <v>183.2</v>
      </c>
      <c r="D136" s="6">
        <f>Sheet1!D136</f>
        <v>183.7</v>
      </c>
      <c r="E136" s="6">
        <f>Sheet1!E136</f>
        <v>182.6</v>
      </c>
      <c r="F136" s="6">
        <f>Sheet1!F136</f>
        <v>183.15</v>
      </c>
      <c r="H136" s="6">
        <f ca="1">IF(ROW($H136)-1&lt;$I$1,$F136,AVERAGE($F136:OFFSET($F136,(($I$1-1)*-1),0)))</f>
        <v>182.0916666666667</v>
      </c>
      <c r="J136" s="6">
        <f ca="1">IF(ROW($J136)-1&lt;$K$1,$F136,AVERAGE($F136:OFFSET($F136,(($K$1-1)*-1),0)))</f>
        <v>184.55714285714285</v>
      </c>
      <c r="L136" s="7">
        <f t="shared" ca="1" si="12"/>
        <v>-1</v>
      </c>
      <c r="M136" s="7" t="str">
        <f t="shared" ca="1" si="13"/>
        <v/>
      </c>
      <c r="N136" s="6" t="str">
        <f t="shared" ca="1" si="14"/>
        <v/>
      </c>
      <c r="O136" s="6">
        <f t="shared" si="15"/>
        <v>0.70000000000001705</v>
      </c>
      <c r="Q136" s="6">
        <v>-1.4500000000000171</v>
      </c>
      <c r="R136" s="9">
        <f t="shared" si="16"/>
        <v>-543.75000000000637</v>
      </c>
      <c r="S136" s="7">
        <f t="shared" si="11"/>
        <v>412.49999999998727</v>
      </c>
    </row>
    <row r="137" spans="1:19" x14ac:dyDescent="0.25">
      <c r="A137" s="4">
        <f>Sheet1!A137</f>
        <v>39281</v>
      </c>
      <c r="B137" s="5">
        <f>Sheet1!B137</f>
        <v>0.58333333333333337</v>
      </c>
      <c r="C137" s="6">
        <f>Sheet1!C137</f>
        <v>183.65</v>
      </c>
      <c r="D137" s="6">
        <f>Sheet1!D137</f>
        <v>185.2</v>
      </c>
      <c r="E137" s="6">
        <f>Sheet1!E137</f>
        <v>183.4</v>
      </c>
      <c r="F137" s="6">
        <f>Sheet1!F137</f>
        <v>184.7</v>
      </c>
      <c r="H137" s="6">
        <f ca="1">IF(ROW($H137)-1&lt;$I$1,$F137,AVERAGE($F137:OFFSET($F137,(($I$1-1)*-1),0)))</f>
        <v>182.56666666666663</v>
      </c>
      <c r="J137" s="6">
        <f ca="1">IF(ROW($J137)-1&lt;$K$1,$F137,AVERAGE($F137:OFFSET($F137,(($K$1-1)*-1),0)))</f>
        <v>184.34821428571425</v>
      </c>
      <c r="L137" s="7">
        <f t="shared" ca="1" si="12"/>
        <v>-1</v>
      </c>
      <c r="M137" s="7" t="str">
        <f t="shared" ca="1" si="13"/>
        <v/>
      </c>
      <c r="N137" s="6" t="str">
        <f t="shared" ca="1" si="14"/>
        <v/>
      </c>
      <c r="O137" s="6">
        <f t="shared" si="15"/>
        <v>1.5499999999999829</v>
      </c>
      <c r="Q137" s="6">
        <v>-3</v>
      </c>
      <c r="R137" s="9">
        <f t="shared" si="16"/>
        <v>-1125</v>
      </c>
      <c r="S137" s="7">
        <f t="shared" si="11"/>
        <v>412.49999999998727</v>
      </c>
    </row>
    <row r="138" spans="1:19" x14ac:dyDescent="0.25">
      <c r="A138" s="4">
        <f>Sheet1!A138</f>
        <v>39282</v>
      </c>
      <c r="B138" s="5">
        <f>Sheet1!B138</f>
        <v>0.58333333333333337</v>
      </c>
      <c r="C138" s="6">
        <f>Sheet1!C138</f>
        <v>185.95</v>
      </c>
      <c r="D138" s="6">
        <f>Sheet1!D138</f>
        <v>186.15</v>
      </c>
      <c r="E138" s="6">
        <f>Sheet1!E138</f>
        <v>184.4</v>
      </c>
      <c r="F138" s="6">
        <f>Sheet1!F138</f>
        <v>184.95</v>
      </c>
      <c r="H138" s="6">
        <f ca="1">IF(ROW($H138)-1&lt;$I$1,$F138,AVERAGE($F138:OFFSET($F138,(($I$1-1)*-1),0)))</f>
        <v>182.96666666666667</v>
      </c>
      <c r="J138" s="6">
        <f ca="1">IF(ROW($J138)-1&lt;$K$1,$F138,AVERAGE($F138:OFFSET($F138,(($K$1-1)*-1),0)))</f>
        <v>184.22321428571425</v>
      </c>
      <c r="L138" s="7">
        <f t="shared" ca="1" si="12"/>
        <v>-1</v>
      </c>
      <c r="M138" s="7" t="str">
        <f t="shared" ca="1" si="13"/>
        <v/>
      </c>
      <c r="N138" s="6" t="str">
        <f t="shared" ca="1" si="14"/>
        <v/>
      </c>
      <c r="O138" s="6">
        <f t="shared" si="15"/>
        <v>0.25</v>
      </c>
      <c r="Q138" s="6">
        <v>-3.25</v>
      </c>
      <c r="R138" s="9">
        <f t="shared" si="16"/>
        <v>-1218.75</v>
      </c>
      <c r="S138" s="7">
        <f t="shared" si="11"/>
        <v>412.49999999998727</v>
      </c>
    </row>
    <row r="139" spans="1:19" x14ac:dyDescent="0.25">
      <c r="A139" s="4">
        <f>Sheet1!A139</f>
        <v>39283</v>
      </c>
      <c r="B139" s="5">
        <f>Sheet1!B139</f>
        <v>0.58333333333333337</v>
      </c>
      <c r="C139" s="6">
        <f>Sheet1!C139</f>
        <v>185.15</v>
      </c>
      <c r="D139" s="6">
        <f>Sheet1!D139</f>
        <v>185.4</v>
      </c>
      <c r="E139" s="6">
        <f>Sheet1!E139</f>
        <v>184.6</v>
      </c>
      <c r="F139" s="6">
        <f>Sheet1!F139</f>
        <v>184.7</v>
      </c>
      <c r="H139" s="6">
        <f ca="1">IF(ROW($H139)-1&lt;$I$1,$F139,AVERAGE($F139:OFFSET($F139,(($I$1-1)*-1),0)))</f>
        <v>183.4</v>
      </c>
      <c r="J139" s="6">
        <f ca="1">IF(ROW($J139)-1&lt;$K$1,$F139,AVERAGE($F139:OFFSET($F139,(($K$1-1)*-1),0)))</f>
        <v>184.0714285714285</v>
      </c>
      <c r="L139" s="7">
        <f t="shared" ca="1" si="12"/>
        <v>-1</v>
      </c>
      <c r="M139" s="7" t="str">
        <f t="shared" ca="1" si="13"/>
        <v/>
      </c>
      <c r="N139" s="6" t="str">
        <f t="shared" ca="1" si="14"/>
        <v/>
      </c>
      <c r="O139" s="6">
        <f t="shared" si="15"/>
        <v>-0.25</v>
      </c>
      <c r="Q139" s="6">
        <v>-3</v>
      </c>
      <c r="R139" s="9">
        <f t="shared" si="16"/>
        <v>-1125</v>
      </c>
      <c r="S139" s="7">
        <f t="shared" si="11"/>
        <v>412.49999999998727</v>
      </c>
    </row>
    <row r="140" spans="1:19" x14ac:dyDescent="0.25">
      <c r="A140" s="4">
        <f>Sheet1!A140</f>
        <v>39286</v>
      </c>
      <c r="B140" s="5">
        <f>Sheet1!B140</f>
        <v>0.58333333333333337</v>
      </c>
      <c r="C140" s="6">
        <f>Sheet1!C140</f>
        <v>184.65</v>
      </c>
      <c r="D140" s="6">
        <f>Sheet1!D140</f>
        <v>185.6</v>
      </c>
      <c r="E140" s="6">
        <f>Sheet1!E140</f>
        <v>182.5</v>
      </c>
      <c r="F140" s="6">
        <f>Sheet1!F140</f>
        <v>183.05</v>
      </c>
      <c r="H140" s="6">
        <f ca="1">IF(ROW($H140)-1&lt;$I$1,$F140,AVERAGE($F140:OFFSET($F140,(($I$1-1)*-1),0)))</f>
        <v>183.83333333333334</v>
      </c>
      <c r="J140" s="6">
        <f ca="1">IF(ROW($J140)-1&lt;$K$1,$F140,AVERAGE($F140:OFFSET($F140,(($K$1-1)*-1),0)))</f>
        <v>183.92857142857139</v>
      </c>
      <c r="L140" s="7">
        <f t="shared" ca="1" si="12"/>
        <v>-1</v>
      </c>
      <c r="M140" s="7" t="str">
        <f t="shared" ca="1" si="13"/>
        <v/>
      </c>
      <c r="N140" s="6" t="str">
        <f t="shared" ca="1" si="14"/>
        <v/>
      </c>
      <c r="O140" s="6">
        <f t="shared" si="15"/>
        <v>-1.6499999999999773</v>
      </c>
      <c r="Q140" s="6">
        <v>-1.3500000000000227</v>
      </c>
      <c r="R140" s="9">
        <f t="shared" si="16"/>
        <v>-506.25000000000853</v>
      </c>
      <c r="S140" s="7">
        <f t="shared" si="11"/>
        <v>412.49999999998727</v>
      </c>
    </row>
    <row r="141" spans="1:19" x14ac:dyDescent="0.25">
      <c r="A141" s="4">
        <f>Sheet1!A141</f>
        <v>39287</v>
      </c>
      <c r="B141" s="5">
        <f>Sheet1!B141</f>
        <v>0.58333333333333337</v>
      </c>
      <c r="C141" s="6">
        <f>Sheet1!C141</f>
        <v>182.6</v>
      </c>
      <c r="D141" s="6">
        <f>Sheet1!D141</f>
        <v>186.9</v>
      </c>
      <c r="E141" s="6">
        <f>Sheet1!E141</f>
        <v>182</v>
      </c>
      <c r="F141" s="6">
        <f>Sheet1!F141</f>
        <v>186.45</v>
      </c>
      <c r="H141" s="6">
        <f ca="1">IF(ROW($H141)-1&lt;$I$1,$F141,AVERAGE($F141:OFFSET($F141,(($I$1-1)*-1),0)))</f>
        <v>184.5</v>
      </c>
      <c r="J141" s="6">
        <f ca="1">IF(ROW($J141)-1&lt;$K$1,$F141,AVERAGE($F141:OFFSET($F141,(($K$1-1)*-1),0)))</f>
        <v>183.86964285714279</v>
      </c>
      <c r="L141" s="7">
        <f t="shared" ca="1" si="12"/>
        <v>1</v>
      </c>
      <c r="M141" s="7">
        <f t="shared" ca="1" si="13"/>
        <v>1</v>
      </c>
      <c r="N141" s="6" t="str">
        <f t="shared" ca="1" si="14"/>
        <v/>
      </c>
      <c r="O141" s="6">
        <f t="shared" si="15"/>
        <v>3.3999999999999773</v>
      </c>
      <c r="Q141" s="6">
        <v>-4.75</v>
      </c>
      <c r="R141" s="9">
        <f t="shared" si="16"/>
        <v>-1781.25</v>
      </c>
      <c r="S141" s="7">
        <f t="shared" si="11"/>
        <v>412.49999999998727</v>
      </c>
    </row>
    <row r="142" spans="1:19" x14ac:dyDescent="0.25">
      <c r="A142" s="4">
        <f>Sheet1!A142</f>
        <v>39288</v>
      </c>
      <c r="B142" s="5">
        <f>Sheet1!B142</f>
        <v>0.58333333333333337</v>
      </c>
      <c r="C142" s="6">
        <f>Sheet1!C142</f>
        <v>185.3</v>
      </c>
      <c r="D142" s="6">
        <f>Sheet1!D142</f>
        <v>186.3</v>
      </c>
      <c r="E142" s="6">
        <f>Sheet1!E142</f>
        <v>184.7</v>
      </c>
      <c r="F142" s="6">
        <f>Sheet1!F142</f>
        <v>184.9</v>
      </c>
      <c r="H142" s="6">
        <f ca="1">IF(ROW($H142)-1&lt;$I$1,$F142,AVERAGE($F142:OFFSET($F142,(($I$1-1)*-1),0)))</f>
        <v>184.79166666666666</v>
      </c>
      <c r="J142" s="6">
        <f ca="1">IF(ROW($J142)-1&lt;$K$1,$F142,AVERAGE($F142:OFFSET($F142,(($K$1-1)*-1),0)))</f>
        <v>183.76249999999996</v>
      </c>
      <c r="L142" s="7">
        <f t="shared" ca="1" si="12"/>
        <v>1</v>
      </c>
      <c r="M142" s="7" t="str">
        <f t="shared" ca="1" si="13"/>
        <v/>
      </c>
      <c r="N142" s="6">
        <f t="shared" ca="1" si="14"/>
        <v>185.3</v>
      </c>
      <c r="O142" s="6">
        <f t="shared" si="15"/>
        <v>-1.5499999999999829</v>
      </c>
      <c r="P142" s="6">
        <v>-3.6000000000000227</v>
      </c>
      <c r="Q142" s="6">
        <v>-0.40000000000000568</v>
      </c>
      <c r="R142" s="9">
        <f t="shared" si="16"/>
        <v>-150.00000000000213</v>
      </c>
      <c r="S142" s="7">
        <f t="shared" si="11"/>
        <v>-937.50000000002137</v>
      </c>
    </row>
    <row r="143" spans="1:19" x14ac:dyDescent="0.25">
      <c r="A143" s="4">
        <f>Sheet1!A143</f>
        <v>39289</v>
      </c>
      <c r="B143" s="5">
        <f>Sheet1!B143</f>
        <v>0.58333333333333337</v>
      </c>
      <c r="C143" s="6">
        <f>Sheet1!C143</f>
        <v>185.4</v>
      </c>
      <c r="D143" s="6">
        <f>Sheet1!D143</f>
        <v>185.7</v>
      </c>
      <c r="E143" s="6">
        <f>Sheet1!E143</f>
        <v>181.7</v>
      </c>
      <c r="F143" s="6">
        <f>Sheet1!F143</f>
        <v>182.1</v>
      </c>
      <c r="H143" s="6">
        <f ca="1">IF(ROW($H143)-1&lt;$I$1,$F143,AVERAGE($F143:OFFSET($F143,(($I$1-1)*-1),0)))</f>
        <v>184.35833333333335</v>
      </c>
      <c r="J143" s="6">
        <f ca="1">IF(ROW($J143)-1&lt;$K$1,$F143,AVERAGE($F143:OFFSET($F143,(($K$1-1)*-1),0)))</f>
        <v>183.5553571428571</v>
      </c>
      <c r="L143" s="7">
        <f t="shared" ca="1" si="12"/>
        <v>1</v>
      </c>
      <c r="M143" s="7" t="str">
        <f t="shared" ca="1" si="13"/>
        <v/>
      </c>
      <c r="N143" s="6" t="str">
        <f t="shared" ca="1" si="14"/>
        <v/>
      </c>
      <c r="O143" s="6">
        <f t="shared" si="15"/>
        <v>-2.8000000000000114</v>
      </c>
      <c r="Q143" s="6">
        <v>-3.2000000000000171</v>
      </c>
      <c r="R143" s="9">
        <f t="shared" si="16"/>
        <v>-1200.0000000000064</v>
      </c>
      <c r="S143" s="7">
        <f t="shared" si="11"/>
        <v>-937.50000000002137</v>
      </c>
    </row>
    <row r="144" spans="1:19" x14ac:dyDescent="0.25">
      <c r="A144" s="4">
        <f>Sheet1!A144</f>
        <v>39290</v>
      </c>
      <c r="B144" s="5">
        <f>Sheet1!B144</f>
        <v>0.58333333333333337</v>
      </c>
      <c r="C144" s="6">
        <f>Sheet1!C144</f>
        <v>181.8</v>
      </c>
      <c r="D144" s="6">
        <f>Sheet1!D144</f>
        <v>184</v>
      </c>
      <c r="E144" s="6">
        <f>Sheet1!E144</f>
        <v>181.8</v>
      </c>
      <c r="F144" s="6">
        <f>Sheet1!F144</f>
        <v>183.4</v>
      </c>
      <c r="H144" s="6">
        <f ca="1">IF(ROW($H144)-1&lt;$I$1,$F144,AVERAGE($F144:OFFSET($F144,(($I$1-1)*-1),0)))</f>
        <v>184.10000000000002</v>
      </c>
      <c r="J144" s="6">
        <f ca="1">IF(ROW($J144)-1&lt;$K$1,$F144,AVERAGE($F144:OFFSET($F144,(($K$1-1)*-1),0)))</f>
        <v>183.39999999999995</v>
      </c>
      <c r="L144" s="7">
        <f t="shared" ca="1" si="12"/>
        <v>1</v>
      </c>
      <c r="M144" s="7" t="str">
        <f t="shared" ca="1" si="13"/>
        <v/>
      </c>
      <c r="N144" s="6" t="str">
        <f t="shared" ca="1" si="14"/>
        <v/>
      </c>
      <c r="O144" s="6">
        <f t="shared" si="15"/>
        <v>1.3000000000000114</v>
      </c>
      <c r="Q144" s="6">
        <v>-1.9000000000000057</v>
      </c>
      <c r="R144" s="9">
        <f t="shared" si="16"/>
        <v>-712.50000000000216</v>
      </c>
      <c r="S144" s="7">
        <f t="shared" ref="S144:S207" si="17">S143+(P144*375)</f>
        <v>-937.50000000002137</v>
      </c>
    </row>
    <row r="145" spans="1:19" x14ac:dyDescent="0.25">
      <c r="A145" s="4">
        <f>Sheet1!A145</f>
        <v>39293</v>
      </c>
      <c r="B145" s="5">
        <f>Sheet1!B145</f>
        <v>0.58333333333333337</v>
      </c>
      <c r="C145" s="6">
        <f>Sheet1!C145</f>
        <v>182.5</v>
      </c>
      <c r="D145" s="6">
        <f>Sheet1!D145</f>
        <v>183.95</v>
      </c>
      <c r="E145" s="6">
        <f>Sheet1!E145</f>
        <v>182.3</v>
      </c>
      <c r="F145" s="6">
        <f>Sheet1!F145</f>
        <v>183.65</v>
      </c>
      <c r="H145" s="6">
        <f ca="1">IF(ROW($H145)-1&lt;$I$1,$F145,AVERAGE($F145:OFFSET($F145,(($I$1-1)*-1),0)))</f>
        <v>183.92499999999998</v>
      </c>
      <c r="J145" s="6">
        <f ca="1">IF(ROW($J145)-1&lt;$K$1,$F145,AVERAGE($F145:OFFSET($F145,(($K$1-1)*-1),0)))</f>
        <v>183.29821428571421</v>
      </c>
      <c r="L145" s="7">
        <f t="shared" ca="1" si="12"/>
        <v>1</v>
      </c>
      <c r="M145" s="7" t="str">
        <f t="shared" ca="1" si="13"/>
        <v/>
      </c>
      <c r="N145" s="6" t="str">
        <f t="shared" ca="1" si="14"/>
        <v/>
      </c>
      <c r="O145" s="6">
        <f t="shared" si="15"/>
        <v>0.25</v>
      </c>
      <c r="Q145" s="6">
        <v>-1.6500000000000057</v>
      </c>
      <c r="R145" s="9">
        <f t="shared" si="16"/>
        <v>-618.75000000000216</v>
      </c>
      <c r="S145" s="7">
        <f t="shared" si="17"/>
        <v>-937.50000000002137</v>
      </c>
    </row>
    <row r="146" spans="1:19" x14ac:dyDescent="0.25">
      <c r="A146" s="4">
        <f>Sheet1!A146</f>
        <v>39294</v>
      </c>
      <c r="B146" s="5">
        <f>Sheet1!B146</f>
        <v>0.58333333333333337</v>
      </c>
      <c r="C146" s="6">
        <f>Sheet1!C146</f>
        <v>183.7</v>
      </c>
      <c r="D146" s="6">
        <f>Sheet1!D146</f>
        <v>185.1</v>
      </c>
      <c r="E146" s="6">
        <f>Sheet1!E146</f>
        <v>183.7</v>
      </c>
      <c r="F146" s="6">
        <f>Sheet1!F146</f>
        <v>185</v>
      </c>
      <c r="H146" s="6">
        <f ca="1">IF(ROW($H146)-1&lt;$I$1,$F146,AVERAGE($F146:OFFSET($F146,(($I$1-1)*-1),0)))</f>
        <v>184.25</v>
      </c>
      <c r="J146" s="6">
        <f ca="1">IF(ROW($J146)-1&lt;$K$1,$F146,AVERAGE($F146:OFFSET($F146,(($K$1-1)*-1),0)))</f>
        <v>183.18749999999997</v>
      </c>
      <c r="L146" s="7">
        <f t="shared" ca="1" si="12"/>
        <v>1</v>
      </c>
      <c r="M146" s="7" t="str">
        <f t="shared" ca="1" si="13"/>
        <v/>
      </c>
      <c r="N146" s="6" t="str">
        <f t="shared" ca="1" si="14"/>
        <v/>
      </c>
      <c r="O146" s="6">
        <f t="shared" si="15"/>
        <v>1.3499999999999943</v>
      </c>
      <c r="Q146" s="6">
        <v>-0.30000000000001137</v>
      </c>
      <c r="R146" s="9">
        <f t="shared" si="16"/>
        <v>-112.50000000000426</v>
      </c>
      <c r="S146" s="7">
        <f t="shared" si="17"/>
        <v>-937.50000000002137</v>
      </c>
    </row>
    <row r="147" spans="1:19" x14ac:dyDescent="0.25">
      <c r="A147" s="4">
        <f>Sheet1!A147</f>
        <v>39295</v>
      </c>
      <c r="B147" s="5">
        <f>Sheet1!B147</f>
        <v>0.58333333333333337</v>
      </c>
      <c r="C147" s="6">
        <f>Sheet1!C147</f>
        <v>184.35</v>
      </c>
      <c r="D147" s="6">
        <f>Sheet1!D147</f>
        <v>185.2</v>
      </c>
      <c r="E147" s="6">
        <f>Sheet1!E147</f>
        <v>183.45</v>
      </c>
      <c r="F147" s="6">
        <f>Sheet1!F147</f>
        <v>183.8</v>
      </c>
      <c r="H147" s="6">
        <f ca="1">IF(ROW($H147)-1&lt;$I$1,$F147,AVERAGE($F147:OFFSET($F147,(($I$1-1)*-1),0)))</f>
        <v>183.80833333333331</v>
      </c>
      <c r="J147" s="6">
        <f ca="1">IF(ROW($J147)-1&lt;$K$1,$F147,AVERAGE($F147:OFFSET($F147,(($K$1-1)*-1),0)))</f>
        <v>183.05892857142854</v>
      </c>
      <c r="L147" s="7">
        <f t="shared" ca="1" si="12"/>
        <v>1</v>
      </c>
      <c r="M147" s="7" t="str">
        <f t="shared" ca="1" si="13"/>
        <v/>
      </c>
      <c r="N147" s="6" t="str">
        <f t="shared" ca="1" si="14"/>
        <v/>
      </c>
      <c r="O147" s="6">
        <f t="shared" si="15"/>
        <v>-1.1999999999999886</v>
      </c>
      <c r="Q147" s="6">
        <v>-1.5</v>
      </c>
      <c r="R147" s="9">
        <f t="shared" si="16"/>
        <v>-562.5</v>
      </c>
      <c r="S147" s="7">
        <f t="shared" si="17"/>
        <v>-937.50000000002137</v>
      </c>
    </row>
    <row r="148" spans="1:19" x14ac:dyDescent="0.25">
      <c r="A148" s="4">
        <f>Sheet1!A148</f>
        <v>39296</v>
      </c>
      <c r="B148" s="5">
        <f>Sheet1!B148</f>
        <v>0.58333333333333337</v>
      </c>
      <c r="C148" s="6">
        <f>Sheet1!C148</f>
        <v>184.2</v>
      </c>
      <c r="D148" s="6">
        <f>Sheet1!D148</f>
        <v>187.2</v>
      </c>
      <c r="E148" s="6">
        <f>Sheet1!E148</f>
        <v>184.2</v>
      </c>
      <c r="F148" s="6">
        <f>Sheet1!F148</f>
        <v>186.9</v>
      </c>
      <c r="H148" s="6">
        <f ca="1">IF(ROW($H148)-1&lt;$I$1,$F148,AVERAGE($F148:OFFSET($F148,(($I$1-1)*-1),0)))</f>
        <v>184.14166666666668</v>
      </c>
      <c r="J148" s="6">
        <f ca="1">IF(ROW($J148)-1&lt;$K$1,$F148,AVERAGE($F148:OFFSET($F148,(($K$1-1)*-1),0)))</f>
        <v>183.08749999999992</v>
      </c>
      <c r="L148" s="7">
        <f t="shared" ca="1" si="12"/>
        <v>1</v>
      </c>
      <c r="M148" s="7" t="str">
        <f t="shared" ca="1" si="13"/>
        <v/>
      </c>
      <c r="N148" s="6" t="str">
        <f t="shared" ca="1" si="14"/>
        <v/>
      </c>
      <c r="O148" s="6">
        <f t="shared" si="15"/>
        <v>3.0999999999999943</v>
      </c>
      <c r="Q148" s="6">
        <v>1.5999999999999943</v>
      </c>
      <c r="R148" s="9">
        <f t="shared" si="16"/>
        <v>599.99999999999784</v>
      </c>
      <c r="S148" s="7">
        <f t="shared" si="17"/>
        <v>-937.50000000002137</v>
      </c>
    </row>
    <row r="149" spans="1:19" x14ac:dyDescent="0.25">
      <c r="A149" s="4">
        <f>Sheet1!A149</f>
        <v>39297</v>
      </c>
      <c r="B149" s="5">
        <f>Sheet1!B149</f>
        <v>0.58333333333333337</v>
      </c>
      <c r="C149" s="6">
        <f>Sheet1!C149</f>
        <v>187.7</v>
      </c>
      <c r="D149" s="6">
        <f>Sheet1!D149</f>
        <v>189.1</v>
      </c>
      <c r="E149" s="6">
        <f>Sheet1!E149</f>
        <v>187.7</v>
      </c>
      <c r="F149" s="6">
        <f>Sheet1!F149</f>
        <v>188.35</v>
      </c>
      <c r="H149" s="6">
        <f ca="1">IF(ROW($H149)-1&lt;$I$1,$F149,AVERAGE($F149:OFFSET($F149,(($I$1-1)*-1),0)))</f>
        <v>185.18333333333331</v>
      </c>
      <c r="J149" s="6">
        <f ca="1">IF(ROW($J149)-1&lt;$K$1,$F149,AVERAGE($F149:OFFSET($F149,(($K$1-1)*-1),0)))</f>
        <v>183.31964285714281</v>
      </c>
      <c r="L149" s="7">
        <f t="shared" ca="1" si="12"/>
        <v>1</v>
      </c>
      <c r="M149" s="7" t="str">
        <f t="shared" ca="1" si="13"/>
        <v/>
      </c>
      <c r="N149" s="6" t="str">
        <f t="shared" ca="1" si="14"/>
        <v/>
      </c>
      <c r="O149" s="6">
        <f t="shared" si="15"/>
        <v>1.4499999999999886</v>
      </c>
      <c r="Q149" s="6">
        <v>3.0499999999999829</v>
      </c>
      <c r="R149" s="9">
        <f t="shared" si="16"/>
        <v>1143.7499999999936</v>
      </c>
      <c r="S149" s="7">
        <f t="shared" si="17"/>
        <v>-937.50000000002137</v>
      </c>
    </row>
    <row r="150" spans="1:19" x14ac:dyDescent="0.25">
      <c r="A150" s="4">
        <f>Sheet1!A150</f>
        <v>39300</v>
      </c>
      <c r="B150" s="5">
        <f>Sheet1!B150</f>
        <v>0.58333333333333337</v>
      </c>
      <c r="C150" s="6">
        <f>Sheet1!C150</f>
        <v>187.75</v>
      </c>
      <c r="D150" s="6">
        <f>Sheet1!D150</f>
        <v>190.2</v>
      </c>
      <c r="E150" s="6">
        <f>Sheet1!E150</f>
        <v>186.95</v>
      </c>
      <c r="F150" s="6">
        <f>Sheet1!F150</f>
        <v>189.1</v>
      </c>
      <c r="H150" s="6">
        <f ca="1">IF(ROW($H150)-1&lt;$I$1,$F150,AVERAGE($F150:OFFSET($F150,(($I$1-1)*-1),0)))</f>
        <v>186.13333333333333</v>
      </c>
      <c r="J150" s="6">
        <f ca="1">IF(ROW($J150)-1&lt;$K$1,$F150,AVERAGE($F150:OFFSET($F150,(($K$1-1)*-1),0)))</f>
        <v>183.5517857142857</v>
      </c>
      <c r="L150" s="7">
        <f t="shared" ca="1" si="12"/>
        <v>1</v>
      </c>
      <c r="M150" s="7" t="str">
        <f t="shared" ca="1" si="13"/>
        <v/>
      </c>
      <c r="N150" s="6" t="str">
        <f t="shared" ca="1" si="14"/>
        <v/>
      </c>
      <c r="O150" s="6">
        <f t="shared" si="15"/>
        <v>0.75</v>
      </c>
      <c r="Q150" s="6">
        <v>3.7999999999999829</v>
      </c>
      <c r="R150" s="9">
        <f t="shared" si="16"/>
        <v>1424.9999999999936</v>
      </c>
      <c r="S150" s="7">
        <f t="shared" si="17"/>
        <v>-937.50000000002137</v>
      </c>
    </row>
    <row r="151" spans="1:19" x14ac:dyDescent="0.25">
      <c r="A151" s="4">
        <f>Sheet1!A151</f>
        <v>39301</v>
      </c>
      <c r="B151" s="5">
        <f>Sheet1!B151</f>
        <v>0.58333333333333337</v>
      </c>
      <c r="C151" s="6">
        <f>Sheet1!C151</f>
        <v>188.6</v>
      </c>
      <c r="D151" s="6">
        <f>Sheet1!D151</f>
        <v>189.3</v>
      </c>
      <c r="E151" s="6">
        <f>Sheet1!E151</f>
        <v>187.2</v>
      </c>
      <c r="F151" s="6">
        <f>Sheet1!F151</f>
        <v>188.15</v>
      </c>
      <c r="H151" s="6">
        <f ca="1">IF(ROW($H151)-1&lt;$I$1,$F151,AVERAGE($F151:OFFSET($F151,(($I$1-1)*-1),0)))</f>
        <v>186.88333333333335</v>
      </c>
      <c r="J151" s="6">
        <f ca="1">IF(ROW($J151)-1&lt;$K$1,$F151,AVERAGE($F151:OFFSET($F151,(($K$1-1)*-1),0)))</f>
        <v>183.7392857142857</v>
      </c>
      <c r="L151" s="7">
        <f t="shared" ca="1" si="12"/>
        <v>1</v>
      </c>
      <c r="M151" s="7" t="str">
        <f t="shared" ca="1" si="13"/>
        <v/>
      </c>
      <c r="N151" s="6" t="str">
        <f t="shared" ca="1" si="14"/>
        <v/>
      </c>
      <c r="O151" s="6">
        <f t="shared" si="15"/>
        <v>-0.94999999999998863</v>
      </c>
      <c r="Q151" s="6">
        <v>2.8499999999999943</v>
      </c>
      <c r="R151" s="9">
        <f t="shared" si="16"/>
        <v>1068.749999999998</v>
      </c>
      <c r="S151" s="7">
        <f t="shared" si="17"/>
        <v>-937.50000000002137</v>
      </c>
    </row>
    <row r="152" spans="1:19" x14ac:dyDescent="0.25">
      <c r="A152" s="4">
        <f>Sheet1!A152</f>
        <v>39302</v>
      </c>
      <c r="B152" s="5">
        <f>Sheet1!B152</f>
        <v>0.58333333333333337</v>
      </c>
      <c r="C152" s="6">
        <f>Sheet1!C152</f>
        <v>187.5</v>
      </c>
      <c r="D152" s="6">
        <f>Sheet1!D152</f>
        <v>189.7</v>
      </c>
      <c r="E152" s="6">
        <f>Sheet1!E152</f>
        <v>187.25</v>
      </c>
      <c r="F152" s="6">
        <f>Sheet1!F152</f>
        <v>189.2</v>
      </c>
      <c r="H152" s="6">
        <f ca="1">IF(ROW($H152)-1&lt;$I$1,$F152,AVERAGE($F152:OFFSET($F152,(($I$1-1)*-1),0)))</f>
        <v>187.58333333333334</v>
      </c>
      <c r="J152" s="6">
        <f ca="1">IF(ROW($J152)-1&lt;$K$1,$F152,AVERAGE($F152:OFFSET($F152,(($K$1-1)*-1),0)))</f>
        <v>183.95</v>
      </c>
      <c r="L152" s="7">
        <f t="shared" ca="1" si="12"/>
        <v>1</v>
      </c>
      <c r="M152" s="7" t="str">
        <f t="shared" ca="1" si="13"/>
        <v/>
      </c>
      <c r="N152" s="6" t="str">
        <f t="shared" ca="1" si="14"/>
        <v/>
      </c>
      <c r="O152" s="6">
        <f t="shared" si="15"/>
        <v>1.0499999999999829</v>
      </c>
      <c r="Q152" s="6">
        <v>3.8999999999999773</v>
      </c>
      <c r="R152" s="9">
        <f t="shared" si="16"/>
        <v>1462.4999999999914</v>
      </c>
      <c r="S152" s="7">
        <f t="shared" si="17"/>
        <v>-937.50000000002137</v>
      </c>
    </row>
    <row r="153" spans="1:19" x14ac:dyDescent="0.25">
      <c r="A153" s="4">
        <f>Sheet1!A153</f>
        <v>39303</v>
      </c>
      <c r="B153" s="5">
        <f>Sheet1!B153</f>
        <v>0.58333333333333337</v>
      </c>
      <c r="C153" s="6">
        <f>Sheet1!C153</f>
        <v>189.45</v>
      </c>
      <c r="D153" s="6">
        <f>Sheet1!D153</f>
        <v>190.6</v>
      </c>
      <c r="E153" s="6">
        <f>Sheet1!E153</f>
        <v>188.5</v>
      </c>
      <c r="F153" s="6">
        <f>Sheet1!F153</f>
        <v>190.2</v>
      </c>
      <c r="H153" s="6">
        <f ca="1">IF(ROW($H153)-1&lt;$I$1,$F153,AVERAGE($F153:OFFSET($F153,(($I$1-1)*-1),0)))</f>
        <v>188.65</v>
      </c>
      <c r="J153" s="6">
        <f ca="1">IF(ROW($J153)-1&lt;$K$1,$F153,AVERAGE($F153:OFFSET($F153,(($K$1-1)*-1),0)))</f>
        <v>184.18928571428572</v>
      </c>
      <c r="L153" s="7">
        <f t="shared" ca="1" si="12"/>
        <v>1</v>
      </c>
      <c r="M153" s="7" t="str">
        <f t="shared" ca="1" si="13"/>
        <v/>
      </c>
      <c r="N153" s="6" t="str">
        <f t="shared" ca="1" si="14"/>
        <v/>
      </c>
      <c r="O153" s="6">
        <f t="shared" si="15"/>
        <v>1</v>
      </c>
      <c r="Q153" s="6">
        <v>4.8999999999999773</v>
      </c>
      <c r="R153" s="9">
        <f t="shared" si="16"/>
        <v>1837.4999999999914</v>
      </c>
      <c r="S153" s="7">
        <f t="shared" si="17"/>
        <v>-937.50000000002137</v>
      </c>
    </row>
    <row r="154" spans="1:19" x14ac:dyDescent="0.25">
      <c r="A154" s="4">
        <f>Sheet1!A154</f>
        <v>39304</v>
      </c>
      <c r="B154" s="5">
        <f>Sheet1!B154</f>
        <v>0.58333333333333337</v>
      </c>
      <c r="C154" s="6">
        <f>Sheet1!C154</f>
        <v>188</v>
      </c>
      <c r="D154" s="6">
        <f>Sheet1!D154</f>
        <v>191.6</v>
      </c>
      <c r="E154" s="6">
        <f>Sheet1!E154</f>
        <v>187.6</v>
      </c>
      <c r="F154" s="6">
        <f>Sheet1!F154</f>
        <v>191.3</v>
      </c>
      <c r="H154" s="6">
        <f ca="1">IF(ROW($H154)-1&lt;$I$1,$F154,AVERAGE($F154:OFFSET($F154,(($I$1-1)*-1),0)))</f>
        <v>189.38333333333333</v>
      </c>
      <c r="J154" s="6">
        <f ca="1">IF(ROW($J154)-1&lt;$K$1,$F154,AVERAGE($F154:OFFSET($F154,(($K$1-1)*-1),0)))</f>
        <v>184.49642857142859</v>
      </c>
      <c r="L154" s="7">
        <f t="shared" ca="1" si="12"/>
        <v>1</v>
      </c>
      <c r="M154" s="7" t="str">
        <f t="shared" ca="1" si="13"/>
        <v/>
      </c>
      <c r="N154" s="6" t="str">
        <f t="shared" ca="1" si="14"/>
        <v/>
      </c>
      <c r="O154" s="6">
        <f t="shared" si="15"/>
        <v>1.1000000000000227</v>
      </c>
      <c r="Q154" s="6">
        <v>6</v>
      </c>
      <c r="R154" s="9">
        <f t="shared" si="16"/>
        <v>2250</v>
      </c>
      <c r="S154" s="7">
        <f t="shared" si="17"/>
        <v>-937.50000000002137</v>
      </c>
    </row>
    <row r="155" spans="1:19" x14ac:dyDescent="0.25">
      <c r="A155" s="4">
        <f>Sheet1!A155</f>
        <v>39307</v>
      </c>
      <c r="B155" s="5">
        <f>Sheet1!B155</f>
        <v>0.58333333333333337</v>
      </c>
      <c r="C155" s="6">
        <f>Sheet1!C155</f>
        <v>191.05</v>
      </c>
      <c r="D155" s="6">
        <f>Sheet1!D155</f>
        <v>192.65</v>
      </c>
      <c r="E155" s="6">
        <f>Sheet1!E155</f>
        <v>189.75</v>
      </c>
      <c r="F155" s="6">
        <f>Sheet1!F155</f>
        <v>191.4</v>
      </c>
      <c r="H155" s="6">
        <f ca="1">IF(ROW($H155)-1&lt;$I$1,$F155,AVERAGE($F155:OFFSET($F155,(($I$1-1)*-1),0)))</f>
        <v>189.89166666666668</v>
      </c>
      <c r="J155" s="6">
        <f ca="1">IF(ROW($J155)-1&lt;$K$1,$F155,AVERAGE($F155:OFFSET($F155,(($K$1-1)*-1),0)))</f>
        <v>184.83928571428572</v>
      </c>
      <c r="L155" s="7">
        <f t="shared" ca="1" si="12"/>
        <v>1</v>
      </c>
      <c r="M155" s="7" t="str">
        <f t="shared" ca="1" si="13"/>
        <v/>
      </c>
      <c r="N155" s="6" t="str">
        <f t="shared" ca="1" si="14"/>
        <v/>
      </c>
      <c r="O155" s="6">
        <f t="shared" si="15"/>
        <v>9.9999999999994316E-2</v>
      </c>
      <c r="Q155" s="6">
        <v>6.0999999999999943</v>
      </c>
      <c r="R155" s="9">
        <f t="shared" si="16"/>
        <v>2287.4999999999977</v>
      </c>
      <c r="S155" s="7">
        <f t="shared" si="17"/>
        <v>-937.50000000002137</v>
      </c>
    </row>
    <row r="156" spans="1:19" x14ac:dyDescent="0.25">
      <c r="A156" s="4">
        <f>Sheet1!A156</f>
        <v>39308</v>
      </c>
      <c r="B156" s="5">
        <f>Sheet1!B156</f>
        <v>0.58333333333333337</v>
      </c>
      <c r="C156" s="6">
        <f>Sheet1!C156</f>
        <v>192.25</v>
      </c>
      <c r="D156" s="6">
        <f>Sheet1!D156</f>
        <v>192.4</v>
      </c>
      <c r="E156" s="6">
        <f>Sheet1!E156</f>
        <v>189.05</v>
      </c>
      <c r="F156" s="6">
        <f>Sheet1!F156</f>
        <v>189.8</v>
      </c>
      <c r="H156" s="6">
        <f ca="1">IF(ROW($H156)-1&lt;$I$1,$F156,AVERAGE($F156:OFFSET($F156,(($I$1-1)*-1),0)))</f>
        <v>190.00833333333333</v>
      </c>
      <c r="J156" s="6">
        <f ca="1">IF(ROW($J156)-1&lt;$K$1,$F156,AVERAGE($F156:OFFSET($F156,(($K$1-1)*-1),0)))</f>
        <v>185.15</v>
      </c>
      <c r="L156" s="7">
        <f t="shared" ca="1" si="12"/>
        <v>1</v>
      </c>
      <c r="M156" s="7" t="str">
        <f t="shared" ca="1" si="13"/>
        <v/>
      </c>
      <c r="N156" s="6" t="str">
        <f t="shared" ca="1" si="14"/>
        <v/>
      </c>
      <c r="O156" s="6">
        <f t="shared" si="15"/>
        <v>-1.5999999999999943</v>
      </c>
      <c r="Q156" s="6">
        <v>4.5</v>
      </c>
      <c r="R156" s="9">
        <f t="shared" si="16"/>
        <v>1687.5</v>
      </c>
      <c r="S156" s="7">
        <f t="shared" si="17"/>
        <v>-937.50000000002137</v>
      </c>
    </row>
    <row r="157" spans="1:19" x14ac:dyDescent="0.25">
      <c r="A157" s="4">
        <f>Sheet1!A157</f>
        <v>39309</v>
      </c>
      <c r="B157" s="5">
        <f>Sheet1!B157</f>
        <v>0.58333333333333337</v>
      </c>
      <c r="C157" s="6">
        <f>Sheet1!C157</f>
        <v>189.05</v>
      </c>
      <c r="D157" s="6">
        <f>Sheet1!D157</f>
        <v>190.35</v>
      </c>
      <c r="E157" s="6">
        <f>Sheet1!E157</f>
        <v>187.85</v>
      </c>
      <c r="F157" s="6">
        <f>Sheet1!F157</f>
        <v>189.85</v>
      </c>
      <c r="H157" s="6">
        <f ca="1">IF(ROW($H157)-1&lt;$I$1,$F157,AVERAGE($F157:OFFSET($F157,(($I$1-1)*-1),0)))</f>
        <v>190.29166666666666</v>
      </c>
      <c r="J157" s="6">
        <f ca="1">IF(ROW($J157)-1&lt;$K$1,$F157,AVERAGE($F157:OFFSET($F157,(($K$1-1)*-1),0)))</f>
        <v>185.48571428571429</v>
      </c>
      <c r="L157" s="7">
        <f t="shared" ca="1" si="12"/>
        <v>1</v>
      </c>
      <c r="M157" s="7" t="str">
        <f t="shared" ca="1" si="13"/>
        <v/>
      </c>
      <c r="N157" s="6" t="str">
        <f t="shared" ca="1" si="14"/>
        <v/>
      </c>
      <c r="O157" s="6">
        <f t="shared" si="15"/>
        <v>4.9999999999982947E-2</v>
      </c>
      <c r="Q157" s="6">
        <v>4.5499999999999829</v>
      </c>
      <c r="R157" s="9">
        <f t="shared" si="16"/>
        <v>1706.2499999999936</v>
      </c>
      <c r="S157" s="7">
        <f t="shared" si="17"/>
        <v>-937.50000000002137</v>
      </c>
    </row>
    <row r="158" spans="1:19" x14ac:dyDescent="0.25">
      <c r="A158" s="4">
        <f>Sheet1!A158</f>
        <v>39310</v>
      </c>
      <c r="B158" s="5">
        <f>Sheet1!B158</f>
        <v>0.58333333333333337</v>
      </c>
      <c r="C158" s="6">
        <f>Sheet1!C158</f>
        <v>187.85</v>
      </c>
      <c r="D158" s="6">
        <f>Sheet1!D158</f>
        <v>188.75</v>
      </c>
      <c r="E158" s="6">
        <f>Sheet1!E158</f>
        <v>181.65</v>
      </c>
      <c r="F158" s="6">
        <f>Sheet1!F158</f>
        <v>181.9</v>
      </c>
      <c r="H158" s="6">
        <f ca="1">IF(ROW($H158)-1&lt;$I$1,$F158,AVERAGE($F158:OFFSET($F158,(($I$1-1)*-1),0)))</f>
        <v>189.07500000000002</v>
      </c>
      <c r="J158" s="6">
        <f ca="1">IF(ROW($J158)-1&lt;$K$1,$F158,AVERAGE($F158:OFFSET($F158,(($K$1-1)*-1),0)))</f>
        <v>185.55</v>
      </c>
      <c r="L158" s="7">
        <f t="shared" ca="1" si="12"/>
        <v>1</v>
      </c>
      <c r="M158" s="7" t="str">
        <f t="shared" ca="1" si="13"/>
        <v/>
      </c>
      <c r="N158" s="6" t="str">
        <f t="shared" ca="1" si="14"/>
        <v/>
      </c>
      <c r="O158" s="6">
        <f t="shared" si="15"/>
        <v>-7.9499999999999886</v>
      </c>
      <c r="Q158" s="6">
        <v>-3.4000000000000057</v>
      </c>
      <c r="R158" s="9">
        <f t="shared" si="16"/>
        <v>-1275.000000000002</v>
      </c>
      <c r="S158" s="7">
        <f t="shared" si="17"/>
        <v>-937.50000000002137</v>
      </c>
    </row>
    <row r="159" spans="1:19" x14ac:dyDescent="0.25">
      <c r="A159" s="4">
        <f>Sheet1!A159</f>
        <v>39311</v>
      </c>
      <c r="B159" s="5">
        <f>Sheet1!B159</f>
        <v>0.58333333333333337</v>
      </c>
      <c r="C159" s="6">
        <f>Sheet1!C159</f>
        <v>184.25</v>
      </c>
      <c r="D159" s="6">
        <f>Sheet1!D159</f>
        <v>186.45</v>
      </c>
      <c r="E159" s="6">
        <f>Sheet1!E159</f>
        <v>184.25</v>
      </c>
      <c r="F159" s="6">
        <f>Sheet1!F159</f>
        <v>186.15</v>
      </c>
      <c r="H159" s="6">
        <f ca="1">IF(ROW($H159)-1&lt;$I$1,$F159,AVERAGE($F159:OFFSET($F159,(($I$1-1)*-1),0)))</f>
        <v>188.4</v>
      </c>
      <c r="J159" s="6">
        <f ca="1">IF(ROW($J159)-1&lt;$K$1,$F159,AVERAGE($F159:OFFSET($F159,(($K$1-1)*-1),0)))</f>
        <v>185.70357142857142</v>
      </c>
      <c r="L159" s="7">
        <f t="shared" ca="1" si="12"/>
        <v>1</v>
      </c>
      <c r="M159" s="7" t="str">
        <f t="shared" ca="1" si="13"/>
        <v/>
      </c>
      <c r="N159" s="6" t="str">
        <f t="shared" ca="1" si="14"/>
        <v/>
      </c>
      <c r="O159" s="6">
        <f t="shared" si="15"/>
        <v>4.25</v>
      </c>
      <c r="Q159" s="6">
        <v>0.84999999999999432</v>
      </c>
      <c r="R159" s="9">
        <f t="shared" si="16"/>
        <v>318.74999999999784</v>
      </c>
      <c r="S159" s="7">
        <f t="shared" si="17"/>
        <v>-937.50000000002137</v>
      </c>
    </row>
    <row r="160" spans="1:19" x14ac:dyDescent="0.25">
      <c r="A160" s="4">
        <f>Sheet1!A160</f>
        <v>39314</v>
      </c>
      <c r="B160" s="5">
        <f>Sheet1!B160</f>
        <v>0.58333333333333337</v>
      </c>
      <c r="C160" s="6">
        <f>Sheet1!C160</f>
        <v>186.15</v>
      </c>
      <c r="D160" s="6">
        <f>Sheet1!D160</f>
        <v>186.65</v>
      </c>
      <c r="E160" s="6">
        <f>Sheet1!E160</f>
        <v>184.9</v>
      </c>
      <c r="F160" s="6">
        <f>Sheet1!F160</f>
        <v>185.5</v>
      </c>
      <c r="H160" s="6">
        <f ca="1">IF(ROW($H160)-1&lt;$I$1,$F160,AVERAGE($F160:OFFSET($F160,(($I$1-1)*-1),0)))</f>
        <v>187.43333333333331</v>
      </c>
      <c r="J160" s="6">
        <f ca="1">IF(ROW($J160)-1&lt;$K$1,$F160,AVERAGE($F160:OFFSET($F160,(($K$1-1)*-1),0)))</f>
        <v>185.80892857142857</v>
      </c>
      <c r="L160" s="7">
        <f t="shared" ca="1" si="12"/>
        <v>1</v>
      </c>
      <c r="M160" s="7" t="str">
        <f t="shared" ca="1" si="13"/>
        <v/>
      </c>
      <c r="N160" s="6" t="str">
        <f t="shared" ca="1" si="14"/>
        <v/>
      </c>
      <c r="O160" s="6">
        <f t="shared" si="15"/>
        <v>-0.65000000000000568</v>
      </c>
      <c r="Q160" s="6">
        <v>0.19999999999998863</v>
      </c>
      <c r="R160" s="9">
        <f t="shared" si="16"/>
        <v>74.999999999995737</v>
      </c>
      <c r="S160" s="7">
        <f t="shared" si="17"/>
        <v>-937.50000000002137</v>
      </c>
    </row>
    <row r="161" spans="1:19" x14ac:dyDescent="0.25">
      <c r="A161" s="4">
        <f>Sheet1!A161</f>
        <v>39315</v>
      </c>
      <c r="B161" s="5">
        <f>Sheet1!B161</f>
        <v>0.58333333333333337</v>
      </c>
      <c r="C161" s="6">
        <f>Sheet1!C161</f>
        <v>185.25</v>
      </c>
      <c r="D161" s="6">
        <f>Sheet1!D161</f>
        <v>185.75</v>
      </c>
      <c r="E161" s="6">
        <f>Sheet1!E161</f>
        <v>184.8</v>
      </c>
      <c r="F161" s="6">
        <f>Sheet1!F161</f>
        <v>185</v>
      </c>
      <c r="H161" s="6">
        <f ca="1">IF(ROW($H161)-1&lt;$I$1,$F161,AVERAGE($F161:OFFSET($F161,(($I$1-1)*-1),0)))</f>
        <v>186.36666666666665</v>
      </c>
      <c r="J161" s="6">
        <f ca="1">IF(ROW($J161)-1&lt;$K$1,$F161,AVERAGE($F161:OFFSET($F161,(($K$1-1)*-1),0)))</f>
        <v>185.91249999999999</v>
      </c>
      <c r="L161" s="7">
        <f t="shared" ca="1" si="12"/>
        <v>1</v>
      </c>
      <c r="M161" s="7" t="str">
        <f t="shared" ca="1" si="13"/>
        <v/>
      </c>
      <c r="N161" s="6" t="str">
        <f t="shared" ca="1" si="14"/>
        <v/>
      </c>
      <c r="O161" s="6">
        <f t="shared" si="15"/>
        <v>-0.5</v>
      </c>
      <c r="Q161" s="6">
        <v>-0.30000000000001137</v>
      </c>
      <c r="R161" s="9">
        <f t="shared" si="16"/>
        <v>-112.50000000000426</v>
      </c>
      <c r="S161" s="7">
        <f t="shared" si="17"/>
        <v>-937.50000000002137</v>
      </c>
    </row>
    <row r="162" spans="1:19" x14ac:dyDescent="0.25">
      <c r="A162" s="4">
        <f>Sheet1!A162</f>
        <v>39316</v>
      </c>
      <c r="B162" s="5">
        <f>Sheet1!B162</f>
        <v>0.58333333333333337</v>
      </c>
      <c r="C162" s="6">
        <f>Sheet1!C162</f>
        <v>185.05</v>
      </c>
      <c r="D162" s="6">
        <f>Sheet1!D162</f>
        <v>186.15</v>
      </c>
      <c r="E162" s="6">
        <f>Sheet1!E162</f>
        <v>184.9</v>
      </c>
      <c r="F162" s="6">
        <f>Sheet1!F162</f>
        <v>185.45</v>
      </c>
      <c r="H162" s="6">
        <f ca="1">IF(ROW($H162)-1&lt;$I$1,$F162,AVERAGE($F162:OFFSET($F162,(($I$1-1)*-1),0)))</f>
        <v>185.64166666666665</v>
      </c>
      <c r="J162" s="6">
        <f ca="1">IF(ROW($J162)-1&lt;$K$1,$F162,AVERAGE($F162:OFFSET($F162,(($K$1-1)*-1),0)))</f>
        <v>186.09107142857141</v>
      </c>
      <c r="L162" s="7">
        <f t="shared" ca="1" si="12"/>
        <v>-1</v>
      </c>
      <c r="M162" s="7">
        <f t="shared" ca="1" si="13"/>
        <v>-1</v>
      </c>
      <c r="N162" s="6" t="str">
        <f t="shared" ca="1" si="14"/>
        <v/>
      </c>
      <c r="O162" s="6">
        <f t="shared" si="15"/>
        <v>0.44999999999998863</v>
      </c>
      <c r="Q162" s="6">
        <v>0.14999999999997726</v>
      </c>
      <c r="R162" s="9">
        <f t="shared" si="16"/>
        <v>56.249999999991473</v>
      </c>
      <c r="S162" s="7">
        <f t="shared" si="17"/>
        <v>-937.50000000002137</v>
      </c>
    </row>
    <row r="163" spans="1:19" x14ac:dyDescent="0.25">
      <c r="A163" s="4">
        <f>Sheet1!A163</f>
        <v>39317</v>
      </c>
      <c r="B163" s="5">
        <f>Sheet1!B163</f>
        <v>0.58333333333333337</v>
      </c>
      <c r="C163" s="6">
        <f>Sheet1!C163</f>
        <v>186.05</v>
      </c>
      <c r="D163" s="6">
        <f>Sheet1!D163</f>
        <v>187.05</v>
      </c>
      <c r="E163" s="6">
        <f>Sheet1!E163</f>
        <v>185.95</v>
      </c>
      <c r="F163" s="6">
        <f>Sheet1!F163</f>
        <v>186.35</v>
      </c>
      <c r="H163" s="6">
        <f ca="1">IF(ROW($H163)-1&lt;$I$1,$F163,AVERAGE($F163:OFFSET($F163,(($I$1-1)*-1),0)))</f>
        <v>185.05833333333331</v>
      </c>
      <c r="J163" s="6">
        <f ca="1">IF(ROW($J163)-1&lt;$K$1,$F163,AVERAGE($F163:OFFSET($F163,(($K$1-1)*-1),0)))</f>
        <v>186.23035714285714</v>
      </c>
      <c r="L163" s="7">
        <f t="shared" ca="1" si="12"/>
        <v>-1</v>
      </c>
      <c r="M163" s="7" t="str">
        <f t="shared" ca="1" si="13"/>
        <v/>
      </c>
      <c r="N163" s="6">
        <f t="shared" ca="1" si="14"/>
        <v>186.05</v>
      </c>
      <c r="O163" s="6">
        <f t="shared" si="15"/>
        <v>0.90000000000000568</v>
      </c>
      <c r="P163" s="6">
        <v>0.75</v>
      </c>
      <c r="Q163" s="6">
        <v>-0.29999999999998295</v>
      </c>
      <c r="R163" s="9">
        <f t="shared" si="16"/>
        <v>-112.49999999999361</v>
      </c>
      <c r="S163" s="7">
        <f t="shared" si="17"/>
        <v>-656.25000000002137</v>
      </c>
    </row>
    <row r="164" spans="1:19" x14ac:dyDescent="0.25">
      <c r="A164" s="4">
        <f>Sheet1!A164</f>
        <v>39318</v>
      </c>
      <c r="B164" s="5">
        <f>Sheet1!B164</f>
        <v>0.58333333333333337</v>
      </c>
      <c r="C164" s="6">
        <f>Sheet1!C164</f>
        <v>186.85</v>
      </c>
      <c r="D164" s="6">
        <f>Sheet1!D164</f>
        <v>187.05</v>
      </c>
      <c r="E164" s="6">
        <f>Sheet1!E164</f>
        <v>184.95</v>
      </c>
      <c r="F164" s="6">
        <f>Sheet1!F164</f>
        <v>185.7</v>
      </c>
      <c r="H164" s="6">
        <f ca="1">IF(ROW($H164)-1&lt;$I$1,$F164,AVERAGE($F164:OFFSET($F164,(($I$1-1)*-1),0)))</f>
        <v>185.69166666666663</v>
      </c>
      <c r="J164" s="6">
        <f ca="1">IF(ROW($J164)-1&lt;$K$1,$F164,AVERAGE($F164:OFFSET($F164,(($K$1-1)*-1),0)))</f>
        <v>186.32142857142853</v>
      </c>
      <c r="L164" s="7">
        <f t="shared" ca="1" si="12"/>
        <v>-1</v>
      </c>
      <c r="M164" s="7" t="str">
        <f t="shared" ca="1" si="13"/>
        <v/>
      </c>
      <c r="N164" s="6" t="str">
        <f t="shared" ca="1" si="14"/>
        <v/>
      </c>
      <c r="O164" s="6">
        <f t="shared" si="15"/>
        <v>-0.65000000000000568</v>
      </c>
      <c r="Q164" s="6">
        <v>0.35000000000002274</v>
      </c>
      <c r="R164" s="9">
        <f t="shared" si="16"/>
        <v>131.25000000000853</v>
      </c>
      <c r="S164" s="7">
        <f t="shared" si="17"/>
        <v>-656.25000000002137</v>
      </c>
    </row>
    <row r="165" spans="1:19" x14ac:dyDescent="0.25">
      <c r="A165" s="4">
        <f>Sheet1!A165</f>
        <v>39321</v>
      </c>
      <c r="B165" s="5">
        <f>Sheet1!B165</f>
        <v>0.58333333333333337</v>
      </c>
      <c r="C165" s="6">
        <f>Sheet1!C165</f>
        <v>184.85</v>
      </c>
      <c r="D165" s="6">
        <f>Sheet1!D165</f>
        <v>185.35</v>
      </c>
      <c r="E165" s="6">
        <f>Sheet1!E165</f>
        <v>183.45</v>
      </c>
      <c r="F165" s="6">
        <f>Sheet1!F165</f>
        <v>183.85</v>
      </c>
      <c r="H165" s="6">
        <f ca="1">IF(ROW($H165)-1&lt;$I$1,$F165,AVERAGE($F165:OFFSET($F165,(($I$1-1)*-1),0)))</f>
        <v>185.30833333333331</v>
      </c>
      <c r="J165" s="6">
        <f ca="1">IF(ROW($J165)-1&lt;$K$1,$F165,AVERAGE($F165:OFFSET($F165,(($K$1-1)*-1),0)))</f>
        <v>186.29107142857146</v>
      </c>
      <c r="L165" s="7">
        <f t="shared" ca="1" si="12"/>
        <v>-1</v>
      </c>
      <c r="M165" s="7" t="str">
        <f t="shared" ca="1" si="13"/>
        <v/>
      </c>
      <c r="N165" s="6" t="str">
        <f t="shared" ca="1" si="14"/>
        <v/>
      </c>
      <c r="O165" s="6">
        <f t="shared" si="15"/>
        <v>-1.8499999999999943</v>
      </c>
      <c r="Q165" s="6">
        <v>2.2000000000000171</v>
      </c>
      <c r="R165" s="9">
        <f t="shared" si="16"/>
        <v>825.00000000000637</v>
      </c>
      <c r="S165" s="7">
        <f t="shared" si="17"/>
        <v>-656.25000000002137</v>
      </c>
    </row>
    <row r="166" spans="1:19" x14ac:dyDescent="0.25">
      <c r="A166" s="4">
        <f>Sheet1!A166</f>
        <v>39322</v>
      </c>
      <c r="B166" s="5">
        <f>Sheet1!B166</f>
        <v>0.58333333333333337</v>
      </c>
      <c r="C166" s="6">
        <f>Sheet1!C166</f>
        <v>183.45</v>
      </c>
      <c r="D166" s="6">
        <f>Sheet1!D166</f>
        <v>184.95</v>
      </c>
      <c r="E166" s="6">
        <f>Sheet1!E166</f>
        <v>183.05</v>
      </c>
      <c r="F166" s="6">
        <f>Sheet1!F166</f>
        <v>184.2</v>
      </c>
      <c r="H166" s="6">
        <f ca="1">IF(ROW($H166)-1&lt;$I$1,$F166,AVERAGE($F166:OFFSET($F166,(($I$1-1)*-1),0)))</f>
        <v>185.09166666666667</v>
      </c>
      <c r="J166" s="6">
        <f ca="1">IF(ROW($J166)-1&lt;$K$1,$F166,AVERAGE($F166:OFFSET($F166,(($K$1-1)*-1),0)))</f>
        <v>186.26428571428573</v>
      </c>
      <c r="L166" s="7">
        <f t="shared" ca="1" si="12"/>
        <v>-1</v>
      </c>
      <c r="M166" s="7" t="str">
        <f t="shared" ca="1" si="13"/>
        <v/>
      </c>
      <c r="N166" s="6" t="str">
        <f t="shared" ca="1" si="14"/>
        <v/>
      </c>
      <c r="O166" s="6">
        <f t="shared" si="15"/>
        <v>0.34999999999999432</v>
      </c>
      <c r="Q166" s="6">
        <v>1.8500000000000227</v>
      </c>
      <c r="R166" s="9">
        <f t="shared" si="16"/>
        <v>693.75000000000853</v>
      </c>
      <c r="S166" s="7">
        <f t="shared" si="17"/>
        <v>-656.25000000002137</v>
      </c>
    </row>
    <row r="167" spans="1:19" x14ac:dyDescent="0.25">
      <c r="A167" s="4">
        <f>Sheet1!A167</f>
        <v>39323</v>
      </c>
      <c r="B167" s="5">
        <f>Sheet1!B167</f>
        <v>0.58333333333333337</v>
      </c>
      <c r="C167" s="6">
        <f>Sheet1!C167</f>
        <v>184.35</v>
      </c>
      <c r="D167" s="6">
        <f>Sheet1!D167</f>
        <v>184.55</v>
      </c>
      <c r="E167" s="6">
        <f>Sheet1!E167</f>
        <v>182.25</v>
      </c>
      <c r="F167" s="6">
        <f>Sheet1!F167</f>
        <v>182.75</v>
      </c>
      <c r="H167" s="6">
        <f ca="1">IF(ROW($H167)-1&lt;$I$1,$F167,AVERAGE($F167:OFFSET($F167,(($I$1-1)*-1),0)))</f>
        <v>184.71666666666667</v>
      </c>
      <c r="J167" s="6">
        <f ca="1">IF(ROW($J167)-1&lt;$K$1,$F167,AVERAGE($F167:OFFSET($F167,(($K$1-1)*-1),0)))</f>
        <v>186.19464285714284</v>
      </c>
      <c r="L167" s="7">
        <f t="shared" ca="1" si="12"/>
        <v>-1</v>
      </c>
      <c r="M167" s="7" t="str">
        <f t="shared" ca="1" si="13"/>
        <v/>
      </c>
      <c r="N167" s="6" t="str">
        <f t="shared" ca="1" si="14"/>
        <v/>
      </c>
      <c r="O167" s="6">
        <f t="shared" si="15"/>
        <v>-1.4499999999999886</v>
      </c>
      <c r="Q167" s="6">
        <v>3.3000000000000114</v>
      </c>
      <c r="R167" s="9">
        <f t="shared" si="16"/>
        <v>1237.5000000000043</v>
      </c>
      <c r="S167" s="7">
        <f t="shared" si="17"/>
        <v>-656.25000000002137</v>
      </c>
    </row>
    <row r="168" spans="1:19" x14ac:dyDescent="0.25">
      <c r="A168" s="4">
        <f>Sheet1!A168</f>
        <v>39324</v>
      </c>
      <c r="B168" s="5">
        <f>Sheet1!B168</f>
        <v>0.58333333333333337</v>
      </c>
      <c r="C168" s="6">
        <f>Sheet1!C168</f>
        <v>182.45</v>
      </c>
      <c r="D168" s="6">
        <f>Sheet1!D168</f>
        <v>183.15</v>
      </c>
      <c r="E168" s="6">
        <f>Sheet1!E168</f>
        <v>182.05</v>
      </c>
      <c r="F168" s="6">
        <f>Sheet1!F168</f>
        <v>182.8</v>
      </c>
      <c r="H168" s="6">
        <f ca="1">IF(ROW($H168)-1&lt;$I$1,$F168,AVERAGE($F168:OFFSET($F168,(($I$1-1)*-1),0)))</f>
        <v>184.27499999999998</v>
      </c>
      <c r="J168" s="6">
        <f ca="1">IF(ROW($J168)-1&lt;$K$1,$F168,AVERAGE($F168:OFFSET($F168,(($K$1-1)*-1),0)))</f>
        <v>186.18571428571431</v>
      </c>
      <c r="L168" s="7">
        <f t="shared" ca="1" si="12"/>
        <v>-1</v>
      </c>
      <c r="M168" s="7" t="str">
        <f t="shared" ca="1" si="13"/>
        <v/>
      </c>
      <c r="N168" s="6" t="str">
        <f t="shared" ca="1" si="14"/>
        <v/>
      </c>
      <c r="O168" s="6">
        <f t="shared" si="15"/>
        <v>5.0000000000011369E-2</v>
      </c>
      <c r="Q168" s="6">
        <v>3.25</v>
      </c>
      <c r="R168" s="9">
        <f t="shared" si="16"/>
        <v>1218.75</v>
      </c>
      <c r="S168" s="7">
        <f t="shared" si="17"/>
        <v>-656.25000000002137</v>
      </c>
    </row>
    <row r="169" spans="1:19" x14ac:dyDescent="0.25">
      <c r="A169" s="4">
        <f>Sheet1!A169</f>
        <v>39325</v>
      </c>
      <c r="B169" s="5">
        <f>Sheet1!B169</f>
        <v>0.58333333333333337</v>
      </c>
      <c r="C169" s="6">
        <f>Sheet1!C169</f>
        <v>183.25</v>
      </c>
      <c r="D169" s="6">
        <f>Sheet1!D169</f>
        <v>183.45</v>
      </c>
      <c r="E169" s="6">
        <f>Sheet1!E169</f>
        <v>181.9</v>
      </c>
      <c r="F169" s="6">
        <f>Sheet1!F169</f>
        <v>182.5</v>
      </c>
      <c r="H169" s="6">
        <f ca="1">IF(ROW($H169)-1&lt;$I$1,$F169,AVERAGE($F169:OFFSET($F169,(($I$1-1)*-1),0)))</f>
        <v>183.63333333333333</v>
      </c>
      <c r="J169" s="6">
        <f ca="1">IF(ROW($J169)-1&lt;$K$1,$F169,AVERAGE($F169:OFFSET($F169,(($K$1-1)*-1),0)))</f>
        <v>186.04464285714289</v>
      </c>
      <c r="L169" s="7">
        <f t="shared" ca="1" si="12"/>
        <v>-1</v>
      </c>
      <c r="M169" s="7" t="str">
        <f t="shared" ca="1" si="13"/>
        <v/>
      </c>
      <c r="N169" s="6" t="str">
        <f t="shared" ca="1" si="14"/>
        <v/>
      </c>
      <c r="O169" s="6">
        <f t="shared" si="15"/>
        <v>-0.30000000000001137</v>
      </c>
      <c r="Q169" s="6">
        <v>3.5500000000000114</v>
      </c>
      <c r="R169" s="9">
        <f t="shared" si="16"/>
        <v>1331.2500000000043</v>
      </c>
      <c r="S169" s="7">
        <f t="shared" si="17"/>
        <v>-656.25000000002137</v>
      </c>
    </row>
    <row r="170" spans="1:19" x14ac:dyDescent="0.25">
      <c r="A170" s="4">
        <f>Sheet1!A170</f>
        <v>39329</v>
      </c>
      <c r="B170" s="5">
        <f>Sheet1!B170</f>
        <v>0.58333333333333337</v>
      </c>
      <c r="C170" s="6">
        <f>Sheet1!C170</f>
        <v>183.65</v>
      </c>
      <c r="D170" s="6">
        <f>Sheet1!D170</f>
        <v>185.75</v>
      </c>
      <c r="E170" s="6">
        <f>Sheet1!E170</f>
        <v>183.65</v>
      </c>
      <c r="F170" s="6">
        <f>Sheet1!F170</f>
        <v>184.6</v>
      </c>
      <c r="H170" s="6">
        <f ca="1">IF(ROW($H170)-1&lt;$I$1,$F170,AVERAGE($F170:OFFSET($F170,(($I$1-1)*-1),0)))</f>
        <v>183.44999999999996</v>
      </c>
      <c r="J170" s="6">
        <f ca="1">IF(ROW($J170)-1&lt;$K$1,$F170,AVERAGE($F170:OFFSET($F170,(($K$1-1)*-1),0)))</f>
        <v>186.03392857142859</v>
      </c>
      <c r="L170" s="7">
        <f t="shared" ca="1" si="12"/>
        <v>-1</v>
      </c>
      <c r="M170" s="7" t="str">
        <f t="shared" ca="1" si="13"/>
        <v/>
      </c>
      <c r="N170" s="6" t="str">
        <f t="shared" ca="1" si="14"/>
        <v/>
      </c>
      <c r="O170" s="6">
        <f t="shared" si="15"/>
        <v>2.0999999999999943</v>
      </c>
      <c r="Q170" s="6">
        <v>1.4500000000000171</v>
      </c>
      <c r="R170" s="9">
        <f t="shared" si="16"/>
        <v>543.75000000000637</v>
      </c>
      <c r="S170" s="7">
        <f t="shared" si="17"/>
        <v>-656.25000000002137</v>
      </c>
    </row>
    <row r="171" spans="1:19" x14ac:dyDescent="0.25">
      <c r="A171" s="4">
        <f>Sheet1!A171</f>
        <v>39330</v>
      </c>
      <c r="B171" s="5">
        <f>Sheet1!B171</f>
        <v>0.58333333333333337</v>
      </c>
      <c r="C171" s="6">
        <f>Sheet1!C171</f>
        <v>182.95</v>
      </c>
      <c r="D171" s="6">
        <f>Sheet1!D171</f>
        <v>183.85</v>
      </c>
      <c r="E171" s="6">
        <f>Sheet1!E171</f>
        <v>181.85</v>
      </c>
      <c r="F171" s="6">
        <f>Sheet1!F171</f>
        <v>182.7</v>
      </c>
      <c r="H171" s="6">
        <f ca="1">IF(ROW($H171)-1&lt;$I$1,$F171,AVERAGE($F171:OFFSET($F171,(($I$1-1)*-1),0)))</f>
        <v>183.25833333333333</v>
      </c>
      <c r="J171" s="6">
        <f ca="1">IF(ROW($J171)-1&lt;$K$1,$F171,AVERAGE($F171:OFFSET($F171,(($K$1-1)*-1),0)))</f>
        <v>186.05535714285716</v>
      </c>
      <c r="L171" s="7">
        <f t="shared" ca="1" si="12"/>
        <v>-1</v>
      </c>
      <c r="M171" s="7" t="str">
        <f t="shared" ca="1" si="13"/>
        <v/>
      </c>
      <c r="N171" s="6" t="str">
        <f t="shared" ca="1" si="14"/>
        <v/>
      </c>
      <c r="O171" s="6">
        <f t="shared" si="15"/>
        <v>-1.9000000000000057</v>
      </c>
      <c r="Q171" s="6">
        <v>3.3500000000000227</v>
      </c>
      <c r="R171" s="9">
        <f t="shared" si="16"/>
        <v>1256.2500000000086</v>
      </c>
      <c r="S171" s="7">
        <f t="shared" si="17"/>
        <v>-656.25000000002137</v>
      </c>
    </row>
    <row r="172" spans="1:19" x14ac:dyDescent="0.25">
      <c r="A172" s="4">
        <f>Sheet1!A172</f>
        <v>39331</v>
      </c>
      <c r="B172" s="5">
        <f>Sheet1!B172</f>
        <v>0.58333333333333337</v>
      </c>
      <c r="C172" s="6">
        <f>Sheet1!C172</f>
        <v>182.85</v>
      </c>
      <c r="D172" s="6">
        <f>Sheet1!D172</f>
        <v>183.75</v>
      </c>
      <c r="E172" s="6">
        <f>Sheet1!E172</f>
        <v>182.05</v>
      </c>
      <c r="F172" s="6">
        <f>Sheet1!F172</f>
        <v>183.4</v>
      </c>
      <c r="H172" s="6">
        <f ca="1">IF(ROW($H172)-1&lt;$I$1,$F172,AVERAGE($F172:OFFSET($F172,(($I$1-1)*-1),0)))</f>
        <v>183.125</v>
      </c>
      <c r="J172" s="6">
        <f ca="1">IF(ROW($J172)-1&lt;$K$1,$F172,AVERAGE($F172:OFFSET($F172,(($K$1-1)*-1),0)))</f>
        <v>186.05535714285716</v>
      </c>
      <c r="L172" s="7">
        <f t="shared" ca="1" si="12"/>
        <v>-1</v>
      </c>
      <c r="M172" s="7" t="str">
        <f t="shared" ca="1" si="13"/>
        <v/>
      </c>
      <c r="N172" s="6" t="str">
        <f t="shared" ca="1" si="14"/>
        <v/>
      </c>
      <c r="O172" s="6">
        <f t="shared" si="15"/>
        <v>0.70000000000001705</v>
      </c>
      <c r="Q172" s="6">
        <v>2.6500000000000057</v>
      </c>
      <c r="R172" s="9">
        <f t="shared" si="16"/>
        <v>993.75000000000216</v>
      </c>
      <c r="S172" s="7">
        <f t="shared" si="17"/>
        <v>-656.25000000002137</v>
      </c>
    </row>
    <row r="173" spans="1:19" x14ac:dyDescent="0.25">
      <c r="A173" s="4">
        <f>Sheet1!A173</f>
        <v>39332</v>
      </c>
      <c r="B173" s="5">
        <f>Sheet1!B173</f>
        <v>0.58333333333333337</v>
      </c>
      <c r="C173" s="6">
        <f>Sheet1!C173</f>
        <v>183.85</v>
      </c>
      <c r="D173" s="6">
        <f>Sheet1!D173</f>
        <v>184.6</v>
      </c>
      <c r="E173" s="6">
        <f>Sheet1!E173</f>
        <v>182.9</v>
      </c>
      <c r="F173" s="6">
        <f>Sheet1!F173</f>
        <v>183.55</v>
      </c>
      <c r="H173" s="6">
        <f ca="1">IF(ROW($H173)-1&lt;$I$1,$F173,AVERAGE($F173:OFFSET($F173,(($I$1-1)*-1),0)))</f>
        <v>183.25833333333333</v>
      </c>
      <c r="J173" s="6">
        <f ca="1">IF(ROW($J173)-1&lt;$K$1,$F173,AVERAGE($F173:OFFSET($F173,(($K$1-1)*-1),0)))</f>
        <v>186.0517857142857</v>
      </c>
      <c r="L173" s="7">
        <f t="shared" ca="1" si="12"/>
        <v>-1</v>
      </c>
      <c r="M173" s="7" t="str">
        <f t="shared" ca="1" si="13"/>
        <v/>
      </c>
      <c r="N173" s="6" t="str">
        <f t="shared" ca="1" si="14"/>
        <v/>
      </c>
      <c r="O173" s="6">
        <f t="shared" si="15"/>
        <v>0.15000000000000568</v>
      </c>
      <c r="Q173" s="6">
        <v>2.5</v>
      </c>
      <c r="R173" s="9">
        <f t="shared" si="16"/>
        <v>937.5</v>
      </c>
      <c r="S173" s="7">
        <f t="shared" si="17"/>
        <v>-656.25000000002137</v>
      </c>
    </row>
    <row r="174" spans="1:19" x14ac:dyDescent="0.25">
      <c r="A174" s="4">
        <f>Sheet1!A174</f>
        <v>39335</v>
      </c>
      <c r="B174" s="5">
        <f>Sheet1!B174</f>
        <v>0.58333333333333337</v>
      </c>
      <c r="C174" s="6">
        <f>Sheet1!C174</f>
        <v>184.9</v>
      </c>
      <c r="D174" s="6">
        <f>Sheet1!D174</f>
        <v>187.85</v>
      </c>
      <c r="E174" s="6">
        <f>Sheet1!E174</f>
        <v>184.9</v>
      </c>
      <c r="F174" s="6">
        <f>Sheet1!F174</f>
        <v>186.7</v>
      </c>
      <c r="H174" s="6">
        <f ca="1">IF(ROW($H174)-1&lt;$I$1,$F174,AVERAGE($F174:OFFSET($F174,(($I$1-1)*-1),0)))</f>
        <v>183.90833333333333</v>
      </c>
      <c r="J174" s="6">
        <f ca="1">IF(ROW($J174)-1&lt;$K$1,$F174,AVERAGE($F174:OFFSET($F174,(($K$1-1)*-1),0)))</f>
        <v>186.11249999999998</v>
      </c>
      <c r="L174" s="7">
        <f t="shared" ca="1" si="12"/>
        <v>-1</v>
      </c>
      <c r="M174" s="7" t="str">
        <f t="shared" ca="1" si="13"/>
        <v/>
      </c>
      <c r="N174" s="6" t="str">
        <f t="shared" ca="1" si="14"/>
        <v/>
      </c>
      <c r="O174" s="6">
        <f t="shared" si="15"/>
        <v>3.1499999999999773</v>
      </c>
      <c r="Q174" s="6">
        <v>-0.64999999999997726</v>
      </c>
      <c r="R174" s="9">
        <f t="shared" si="16"/>
        <v>-243.74999999999147</v>
      </c>
      <c r="S174" s="7">
        <f t="shared" si="17"/>
        <v>-656.25000000002137</v>
      </c>
    </row>
    <row r="175" spans="1:19" x14ac:dyDescent="0.25">
      <c r="A175" s="4">
        <f>Sheet1!A175</f>
        <v>39336</v>
      </c>
      <c r="B175" s="5">
        <f>Sheet1!B175</f>
        <v>0.58333333333333337</v>
      </c>
      <c r="C175" s="6">
        <f>Sheet1!C175</f>
        <v>186.1</v>
      </c>
      <c r="D175" s="6">
        <f>Sheet1!D175</f>
        <v>187</v>
      </c>
      <c r="E175" s="6">
        <f>Sheet1!E175</f>
        <v>185.05</v>
      </c>
      <c r="F175" s="6">
        <f>Sheet1!F175</f>
        <v>186.15</v>
      </c>
      <c r="H175" s="6">
        <f ca="1">IF(ROW($H175)-1&lt;$I$1,$F175,AVERAGE($F175:OFFSET($F175,(($I$1-1)*-1),0)))</f>
        <v>184.51666666666668</v>
      </c>
      <c r="J175" s="6">
        <f ca="1">IF(ROW($J175)-1&lt;$K$1,$F175,AVERAGE($F175:OFFSET($F175,(($K$1-1)*-1),0)))</f>
        <v>186.19642857142853</v>
      </c>
      <c r="L175" s="7">
        <f t="shared" ca="1" si="12"/>
        <v>-1</v>
      </c>
      <c r="M175" s="7" t="str">
        <f t="shared" ca="1" si="13"/>
        <v/>
      </c>
      <c r="N175" s="6" t="str">
        <f t="shared" ca="1" si="14"/>
        <v/>
      </c>
      <c r="O175" s="6">
        <f t="shared" si="15"/>
        <v>-0.54999999999998295</v>
      </c>
      <c r="Q175" s="6">
        <v>-9.9999999999994316E-2</v>
      </c>
      <c r="R175" s="9">
        <f t="shared" si="16"/>
        <v>-37.499999999997868</v>
      </c>
      <c r="S175" s="7">
        <f t="shared" si="17"/>
        <v>-656.25000000002137</v>
      </c>
    </row>
    <row r="176" spans="1:19" x14ac:dyDescent="0.25">
      <c r="A176" s="4">
        <f>Sheet1!A176</f>
        <v>39337</v>
      </c>
      <c r="B176" s="5">
        <f>Sheet1!B176</f>
        <v>0.58333333333333337</v>
      </c>
      <c r="C176" s="6">
        <f>Sheet1!C176</f>
        <v>186.75</v>
      </c>
      <c r="D176" s="6">
        <f>Sheet1!D176</f>
        <v>187.35</v>
      </c>
      <c r="E176" s="6">
        <f>Sheet1!E176</f>
        <v>186.25</v>
      </c>
      <c r="F176" s="6">
        <f>Sheet1!F176</f>
        <v>186.7</v>
      </c>
      <c r="H176" s="6">
        <f ca="1">IF(ROW($H176)-1&lt;$I$1,$F176,AVERAGE($F176:OFFSET($F176,(($I$1-1)*-1),0)))</f>
        <v>184.86666666666667</v>
      </c>
      <c r="J176" s="6">
        <f ca="1">IF(ROW($J176)-1&lt;$K$1,$F176,AVERAGE($F176:OFFSET($F176,(($K$1-1)*-1),0)))</f>
        <v>186.18928571428566</v>
      </c>
      <c r="L176" s="7">
        <f t="shared" ca="1" si="12"/>
        <v>-1</v>
      </c>
      <c r="M176" s="7" t="str">
        <f t="shared" ca="1" si="13"/>
        <v/>
      </c>
      <c r="N176" s="6" t="str">
        <f t="shared" ca="1" si="14"/>
        <v/>
      </c>
      <c r="O176" s="6">
        <f t="shared" si="15"/>
        <v>0.54999999999998295</v>
      </c>
      <c r="Q176" s="6">
        <v>-0.64999999999997726</v>
      </c>
      <c r="R176" s="9">
        <f t="shared" si="16"/>
        <v>-243.74999999999147</v>
      </c>
      <c r="S176" s="7">
        <f t="shared" si="17"/>
        <v>-656.25000000002137</v>
      </c>
    </row>
    <row r="177" spans="1:19" x14ac:dyDescent="0.25">
      <c r="A177" s="4">
        <f>Sheet1!A177</f>
        <v>39338</v>
      </c>
      <c r="B177" s="5">
        <f>Sheet1!B177</f>
        <v>0.58333333333333337</v>
      </c>
      <c r="C177" s="6">
        <f>Sheet1!C177</f>
        <v>184.75</v>
      </c>
      <c r="D177" s="6">
        <f>Sheet1!D177</f>
        <v>186.15</v>
      </c>
      <c r="E177" s="6">
        <f>Sheet1!E177</f>
        <v>183.9</v>
      </c>
      <c r="F177" s="6">
        <f>Sheet1!F177</f>
        <v>185.95</v>
      </c>
      <c r="H177" s="6">
        <f ca="1">IF(ROW($H177)-1&lt;$I$1,$F177,AVERAGE($F177:OFFSET($F177,(($I$1-1)*-1),0)))</f>
        <v>185.40833333333333</v>
      </c>
      <c r="J177" s="6">
        <f ca="1">IF(ROW($J177)-1&lt;$K$1,$F177,AVERAGE($F177:OFFSET($F177,(($K$1-1)*-1),0)))</f>
        <v>186.10357142857137</v>
      </c>
      <c r="L177" s="7">
        <f t="shared" ca="1" si="12"/>
        <v>-1</v>
      </c>
      <c r="M177" s="7" t="str">
        <f t="shared" ca="1" si="13"/>
        <v/>
      </c>
      <c r="N177" s="6" t="str">
        <f t="shared" ca="1" si="14"/>
        <v/>
      </c>
      <c r="O177" s="6">
        <f t="shared" si="15"/>
        <v>-0.75</v>
      </c>
      <c r="Q177" s="6">
        <v>0.10000000000002274</v>
      </c>
      <c r="R177" s="9">
        <f t="shared" si="16"/>
        <v>37.500000000008527</v>
      </c>
      <c r="S177" s="7">
        <f t="shared" si="17"/>
        <v>-656.25000000002137</v>
      </c>
    </row>
    <row r="178" spans="1:19" x14ac:dyDescent="0.25">
      <c r="A178" s="4">
        <f>Sheet1!A178</f>
        <v>39339</v>
      </c>
      <c r="B178" s="5">
        <f>Sheet1!B178</f>
        <v>0.58333333333333337</v>
      </c>
      <c r="C178" s="6">
        <f>Sheet1!C178</f>
        <v>186.5</v>
      </c>
      <c r="D178" s="6">
        <f>Sheet1!D178</f>
        <v>188.15</v>
      </c>
      <c r="E178" s="6">
        <f>Sheet1!E178</f>
        <v>185.85</v>
      </c>
      <c r="F178" s="6">
        <f>Sheet1!F178</f>
        <v>187.55</v>
      </c>
      <c r="H178" s="6">
        <f ca="1">IF(ROW($H178)-1&lt;$I$1,$F178,AVERAGE($F178:OFFSET($F178,(($I$1-1)*-1),0)))</f>
        <v>186.1</v>
      </c>
      <c r="J178" s="6">
        <f ca="1">IF(ROW($J178)-1&lt;$K$1,$F178,AVERAGE($F178:OFFSET($F178,(($K$1-1)*-1),0)))</f>
        <v>186.04821428571424</v>
      </c>
      <c r="L178" s="7">
        <f t="shared" ca="1" si="12"/>
        <v>1</v>
      </c>
      <c r="M178" s="7">
        <f t="shared" ca="1" si="13"/>
        <v>1</v>
      </c>
      <c r="N178" s="6" t="str">
        <f t="shared" ca="1" si="14"/>
        <v/>
      </c>
      <c r="O178" s="6">
        <f t="shared" si="15"/>
        <v>1.6000000000000227</v>
      </c>
      <c r="Q178" s="6">
        <v>-1.5</v>
      </c>
      <c r="R178" s="9">
        <f t="shared" si="16"/>
        <v>-562.5</v>
      </c>
      <c r="S178" s="7">
        <f t="shared" si="17"/>
        <v>-656.25000000002137</v>
      </c>
    </row>
    <row r="179" spans="1:19" x14ac:dyDescent="0.25">
      <c r="A179" s="4">
        <f>Sheet1!A179</f>
        <v>39342</v>
      </c>
      <c r="B179" s="5">
        <f>Sheet1!B179</f>
        <v>0.58333333333333337</v>
      </c>
      <c r="C179" s="6">
        <f>Sheet1!C179</f>
        <v>191.65</v>
      </c>
      <c r="D179" s="6">
        <f>Sheet1!D179</f>
        <v>194.65</v>
      </c>
      <c r="E179" s="6">
        <f>Sheet1!E179</f>
        <v>191.4</v>
      </c>
      <c r="F179" s="6">
        <f>Sheet1!F179</f>
        <v>194.45</v>
      </c>
      <c r="H179" s="6">
        <f ca="1">IF(ROW($H179)-1&lt;$I$1,$F179,AVERAGE($F179:OFFSET($F179,(($I$1-1)*-1),0)))</f>
        <v>187.91666666666666</v>
      </c>
      <c r="J179" s="6">
        <f ca="1">IF(ROW($J179)-1&lt;$K$1,$F179,AVERAGE($F179:OFFSET($F179,(($K$1-1)*-1),0)))</f>
        <v>186.27321428571423</v>
      </c>
      <c r="L179" s="7">
        <f t="shared" ca="1" si="12"/>
        <v>1</v>
      </c>
      <c r="M179" s="7" t="str">
        <f t="shared" ca="1" si="13"/>
        <v/>
      </c>
      <c r="N179" s="6">
        <f t="shared" ca="1" si="14"/>
        <v>191.65</v>
      </c>
      <c r="O179" s="6">
        <f t="shared" si="15"/>
        <v>6.8999999999999773</v>
      </c>
      <c r="P179" s="6">
        <v>-5.5999999999999943</v>
      </c>
      <c r="Q179" s="6">
        <v>2.7999999999999829</v>
      </c>
      <c r="R179" s="9">
        <f t="shared" si="16"/>
        <v>1049.9999999999936</v>
      </c>
      <c r="S179" s="7">
        <f t="shared" si="17"/>
        <v>-2756.2500000000191</v>
      </c>
    </row>
    <row r="180" spans="1:19" x14ac:dyDescent="0.25">
      <c r="A180" s="4">
        <f>Sheet1!A180</f>
        <v>39343</v>
      </c>
      <c r="B180" s="5">
        <f>Sheet1!B180</f>
        <v>0.58333333333333337</v>
      </c>
      <c r="C180" s="6">
        <f>Sheet1!C180</f>
        <v>194.55</v>
      </c>
      <c r="D180" s="6">
        <f>Sheet1!D180</f>
        <v>197.4</v>
      </c>
      <c r="E180" s="6">
        <f>Sheet1!E180</f>
        <v>194.05</v>
      </c>
      <c r="F180" s="6">
        <f>Sheet1!F180</f>
        <v>197.05</v>
      </c>
      <c r="H180" s="6">
        <f ca="1">IF(ROW($H180)-1&lt;$I$1,$F180,AVERAGE($F180:OFFSET($F180,(($I$1-1)*-1),0)))</f>
        <v>189.64166666666665</v>
      </c>
      <c r="J180" s="6">
        <f ca="1">IF(ROW($J180)-1&lt;$K$1,$F180,AVERAGE($F180:OFFSET($F180,(($K$1-1)*-1),0)))</f>
        <v>186.55357142857139</v>
      </c>
      <c r="L180" s="7">
        <f t="shared" ca="1" si="12"/>
        <v>1</v>
      </c>
      <c r="M180" s="7" t="str">
        <f t="shared" ca="1" si="13"/>
        <v/>
      </c>
      <c r="N180" s="6" t="str">
        <f t="shared" ca="1" si="14"/>
        <v/>
      </c>
      <c r="O180" s="6">
        <f t="shared" si="15"/>
        <v>2.6000000000000227</v>
      </c>
      <c r="Q180" s="6">
        <v>5.4000000000000057</v>
      </c>
      <c r="R180" s="9">
        <f t="shared" si="16"/>
        <v>2025.000000000002</v>
      </c>
      <c r="S180" s="7">
        <f t="shared" si="17"/>
        <v>-2756.2500000000191</v>
      </c>
    </row>
    <row r="181" spans="1:19" x14ac:dyDescent="0.25">
      <c r="A181" s="4">
        <f>Sheet1!A181</f>
        <v>39344</v>
      </c>
      <c r="B181" s="5">
        <f>Sheet1!B181</f>
        <v>0.58333333333333337</v>
      </c>
      <c r="C181" s="6">
        <f>Sheet1!C181</f>
        <v>195</v>
      </c>
      <c r="D181" s="6">
        <f>Sheet1!D181</f>
        <v>198.05</v>
      </c>
      <c r="E181" s="6">
        <f>Sheet1!E181</f>
        <v>195</v>
      </c>
      <c r="F181" s="6">
        <f>Sheet1!F181</f>
        <v>198</v>
      </c>
      <c r="H181" s="6">
        <f ca="1">IF(ROW($H181)-1&lt;$I$1,$F181,AVERAGE($F181:OFFSET($F181,(($I$1-1)*-1),0)))</f>
        <v>191.61666666666667</v>
      </c>
      <c r="J181" s="6">
        <f ca="1">IF(ROW($J181)-1&lt;$K$1,$F181,AVERAGE($F181:OFFSET($F181,(($K$1-1)*-1),0)))</f>
        <v>186.83214285714286</v>
      </c>
      <c r="L181" s="7">
        <f t="shared" ca="1" si="12"/>
        <v>1</v>
      </c>
      <c r="M181" s="7" t="str">
        <f t="shared" ca="1" si="13"/>
        <v/>
      </c>
      <c r="N181" s="6" t="str">
        <f t="shared" ca="1" si="14"/>
        <v/>
      </c>
      <c r="O181" s="6">
        <f t="shared" si="15"/>
        <v>0.94999999999998863</v>
      </c>
      <c r="Q181" s="6">
        <v>6.3499999999999943</v>
      </c>
      <c r="R181" s="9">
        <f t="shared" si="16"/>
        <v>2381.2499999999977</v>
      </c>
      <c r="S181" s="7">
        <f t="shared" si="17"/>
        <v>-2756.2500000000191</v>
      </c>
    </row>
    <row r="182" spans="1:19" x14ac:dyDescent="0.25">
      <c r="A182" s="4">
        <f>Sheet1!A182</f>
        <v>39345</v>
      </c>
      <c r="B182" s="5">
        <f>Sheet1!B182</f>
        <v>0.58333333333333337</v>
      </c>
      <c r="C182" s="6">
        <f>Sheet1!C182</f>
        <v>195.9</v>
      </c>
      <c r="D182" s="6">
        <f>Sheet1!D182</f>
        <v>200.95</v>
      </c>
      <c r="E182" s="6">
        <f>Sheet1!E182</f>
        <v>195.9</v>
      </c>
      <c r="F182" s="6">
        <f>Sheet1!F182</f>
        <v>199.8</v>
      </c>
      <c r="H182" s="6">
        <f ca="1">IF(ROW($H182)-1&lt;$I$1,$F182,AVERAGE($F182:OFFSET($F182,(($I$1-1)*-1),0)))</f>
        <v>193.79999999999998</v>
      </c>
      <c r="J182" s="6">
        <f ca="1">IF(ROW($J182)-1&lt;$K$1,$F182,AVERAGE($F182:OFFSET($F182,(($K$1-1)*-1),0)))</f>
        <v>187.1357142857143</v>
      </c>
      <c r="L182" s="7">
        <f t="shared" ca="1" si="12"/>
        <v>1</v>
      </c>
      <c r="M182" s="7" t="str">
        <f t="shared" ca="1" si="13"/>
        <v/>
      </c>
      <c r="N182" s="6" t="str">
        <f t="shared" ca="1" si="14"/>
        <v/>
      </c>
      <c r="O182" s="6">
        <f t="shared" si="15"/>
        <v>1.8000000000000114</v>
      </c>
      <c r="Q182" s="6">
        <v>8.1500000000000057</v>
      </c>
      <c r="R182" s="9">
        <f t="shared" si="16"/>
        <v>3056.2500000000023</v>
      </c>
      <c r="S182" s="7">
        <f t="shared" si="17"/>
        <v>-2756.2500000000191</v>
      </c>
    </row>
    <row r="183" spans="1:19" x14ac:dyDescent="0.25">
      <c r="A183" s="4">
        <f>Sheet1!A183</f>
        <v>39346</v>
      </c>
      <c r="B183" s="5">
        <f>Sheet1!B183</f>
        <v>0.58333333333333337</v>
      </c>
      <c r="C183" s="6">
        <f>Sheet1!C183</f>
        <v>197.65</v>
      </c>
      <c r="D183" s="6">
        <f>Sheet1!D183</f>
        <v>198.9</v>
      </c>
      <c r="E183" s="6">
        <f>Sheet1!E183</f>
        <v>195.95</v>
      </c>
      <c r="F183" s="6">
        <f>Sheet1!F183</f>
        <v>196.55</v>
      </c>
      <c r="H183" s="6">
        <f ca="1">IF(ROW($H183)-1&lt;$I$1,$F183,AVERAGE($F183:OFFSET($F183,(($I$1-1)*-1),0)))</f>
        <v>195.56666666666663</v>
      </c>
      <c r="J183" s="6">
        <f ca="1">IF(ROW($J183)-1&lt;$K$1,$F183,AVERAGE($F183:OFFSET($F183,(($K$1-1)*-1),0)))</f>
        <v>187.31964285714284</v>
      </c>
      <c r="L183" s="7">
        <f t="shared" ca="1" si="12"/>
        <v>1</v>
      </c>
      <c r="M183" s="7" t="str">
        <f t="shared" ca="1" si="13"/>
        <v/>
      </c>
      <c r="N183" s="6" t="str">
        <f t="shared" ca="1" si="14"/>
        <v/>
      </c>
      <c r="O183" s="6">
        <f t="shared" si="15"/>
        <v>-3.25</v>
      </c>
      <c r="Q183" s="6">
        <v>4.9000000000000057</v>
      </c>
      <c r="R183" s="9">
        <f t="shared" si="16"/>
        <v>1837.500000000002</v>
      </c>
      <c r="S183" s="7">
        <f t="shared" si="17"/>
        <v>-2756.2500000000191</v>
      </c>
    </row>
    <row r="184" spans="1:19" x14ac:dyDescent="0.25">
      <c r="A184" s="4">
        <f>Sheet1!A184</f>
        <v>39349</v>
      </c>
      <c r="B184" s="5">
        <f>Sheet1!B184</f>
        <v>0.58333333333333337</v>
      </c>
      <c r="C184" s="6">
        <f>Sheet1!C184</f>
        <v>197.15</v>
      </c>
      <c r="D184" s="6">
        <f>Sheet1!D184</f>
        <v>199.9</v>
      </c>
      <c r="E184" s="6">
        <f>Sheet1!E184</f>
        <v>196.65</v>
      </c>
      <c r="F184" s="6">
        <f>Sheet1!F184</f>
        <v>199.05</v>
      </c>
      <c r="H184" s="6">
        <f ca="1">IF(ROW($H184)-1&lt;$I$1,$F184,AVERAGE($F184:OFFSET($F184,(($I$1-1)*-1),0)))</f>
        <v>197.48333333333332</v>
      </c>
      <c r="J184" s="6">
        <f ca="1">IF(ROW($J184)-1&lt;$K$1,$F184,AVERAGE($F184:OFFSET($F184,(($K$1-1)*-1),0)))</f>
        <v>187.65000000000003</v>
      </c>
      <c r="L184" s="7">
        <f t="shared" ca="1" si="12"/>
        <v>1</v>
      </c>
      <c r="M184" s="7" t="str">
        <f t="shared" ca="1" si="13"/>
        <v/>
      </c>
      <c r="N184" s="6" t="str">
        <f t="shared" ca="1" si="14"/>
        <v/>
      </c>
      <c r="O184" s="6">
        <f t="shared" si="15"/>
        <v>2.5</v>
      </c>
      <c r="Q184" s="6">
        <v>7.4000000000000057</v>
      </c>
      <c r="R184" s="9">
        <f t="shared" si="16"/>
        <v>2775.0000000000023</v>
      </c>
      <c r="S184" s="7">
        <f t="shared" si="17"/>
        <v>-2756.2500000000191</v>
      </c>
    </row>
    <row r="185" spans="1:19" x14ac:dyDescent="0.25">
      <c r="A185" s="4">
        <f>Sheet1!A185</f>
        <v>39350</v>
      </c>
      <c r="B185" s="5">
        <f>Sheet1!B185</f>
        <v>0.58333333333333337</v>
      </c>
      <c r="C185" s="6">
        <f>Sheet1!C185</f>
        <v>197.95</v>
      </c>
      <c r="D185" s="6">
        <f>Sheet1!D185</f>
        <v>201.65</v>
      </c>
      <c r="E185" s="6">
        <f>Sheet1!E185</f>
        <v>197.55</v>
      </c>
      <c r="F185" s="6">
        <f>Sheet1!F185</f>
        <v>199.75</v>
      </c>
      <c r="H185" s="6">
        <f ca="1">IF(ROW($H185)-1&lt;$I$1,$F185,AVERAGE($F185:OFFSET($F185,(($I$1-1)*-1),0)))</f>
        <v>198.36666666666667</v>
      </c>
      <c r="J185" s="6">
        <f ca="1">IF(ROW($J185)-1&lt;$K$1,$F185,AVERAGE($F185:OFFSET($F185,(($K$1-1)*-1),0)))</f>
        <v>188.00357142857141</v>
      </c>
      <c r="L185" s="7">
        <f t="shared" ca="1" si="12"/>
        <v>1</v>
      </c>
      <c r="M185" s="7" t="str">
        <f t="shared" ca="1" si="13"/>
        <v/>
      </c>
      <c r="N185" s="6" t="str">
        <f t="shared" ca="1" si="14"/>
        <v/>
      </c>
      <c r="O185" s="6">
        <f t="shared" si="15"/>
        <v>0.69999999999998863</v>
      </c>
      <c r="Q185" s="6">
        <v>8.0999999999999943</v>
      </c>
      <c r="R185" s="9">
        <f t="shared" si="16"/>
        <v>3037.4999999999977</v>
      </c>
      <c r="S185" s="7">
        <f t="shared" si="17"/>
        <v>-2756.2500000000191</v>
      </c>
    </row>
    <row r="186" spans="1:19" x14ac:dyDescent="0.25">
      <c r="A186" s="4">
        <f>Sheet1!A186</f>
        <v>39351</v>
      </c>
      <c r="B186" s="5">
        <f>Sheet1!B186</f>
        <v>0.58333333333333337</v>
      </c>
      <c r="C186" s="6">
        <f>Sheet1!C186</f>
        <v>196.05</v>
      </c>
      <c r="D186" s="6">
        <f>Sheet1!D186</f>
        <v>196.75</v>
      </c>
      <c r="E186" s="6">
        <f>Sheet1!E186</f>
        <v>193.9</v>
      </c>
      <c r="F186" s="6">
        <f>Sheet1!F186</f>
        <v>195.25</v>
      </c>
      <c r="H186" s="6">
        <f ca="1">IF(ROW($H186)-1&lt;$I$1,$F186,AVERAGE($F186:OFFSET($F186,(($I$1-1)*-1),0)))</f>
        <v>198.06666666666669</v>
      </c>
      <c r="J186" s="6">
        <f ca="1">IF(ROW($J186)-1&lt;$K$1,$F186,AVERAGE($F186:OFFSET($F186,(($K$1-1)*-1),0)))</f>
        <v>188.48035714285714</v>
      </c>
      <c r="L186" s="7">
        <f t="shared" ca="1" si="12"/>
        <v>1</v>
      </c>
      <c r="M186" s="7" t="str">
        <f t="shared" ca="1" si="13"/>
        <v/>
      </c>
      <c r="N186" s="6" t="str">
        <f t="shared" ca="1" si="14"/>
        <v/>
      </c>
      <c r="O186" s="6">
        <f t="shared" si="15"/>
        <v>-4.5</v>
      </c>
      <c r="Q186" s="6">
        <v>3.5999999999999943</v>
      </c>
      <c r="R186" s="9">
        <f t="shared" si="16"/>
        <v>1349.999999999998</v>
      </c>
      <c r="S186" s="7">
        <f t="shared" si="17"/>
        <v>-2756.2500000000191</v>
      </c>
    </row>
    <row r="187" spans="1:19" x14ac:dyDescent="0.25">
      <c r="A187" s="4">
        <f>Sheet1!A187</f>
        <v>39352</v>
      </c>
      <c r="B187" s="5">
        <f>Sheet1!B187</f>
        <v>0.58333333333333337</v>
      </c>
      <c r="C187" s="6">
        <f>Sheet1!C187</f>
        <v>196.35</v>
      </c>
      <c r="D187" s="6">
        <f>Sheet1!D187</f>
        <v>197.25</v>
      </c>
      <c r="E187" s="6">
        <f>Sheet1!E187</f>
        <v>195.05</v>
      </c>
      <c r="F187" s="6">
        <f>Sheet1!F187</f>
        <v>195.45</v>
      </c>
      <c r="H187" s="6">
        <f ca="1">IF(ROW($H187)-1&lt;$I$1,$F187,AVERAGE($F187:OFFSET($F187,(($I$1-1)*-1),0)))</f>
        <v>197.64166666666668</v>
      </c>
      <c r="J187" s="6">
        <f ca="1">IF(ROW($J187)-1&lt;$K$1,$F187,AVERAGE($F187:OFFSET($F187,(($K$1-1)*-1),0)))</f>
        <v>188.8125</v>
      </c>
      <c r="L187" s="7">
        <f t="shared" ca="1" si="12"/>
        <v>1</v>
      </c>
      <c r="M187" s="7" t="str">
        <f t="shared" ca="1" si="13"/>
        <v/>
      </c>
      <c r="N187" s="6" t="str">
        <f t="shared" ca="1" si="14"/>
        <v/>
      </c>
      <c r="O187" s="6">
        <f t="shared" si="15"/>
        <v>0.19999999999998863</v>
      </c>
      <c r="Q187" s="6">
        <v>3.7999999999999829</v>
      </c>
      <c r="R187" s="9">
        <f t="shared" si="16"/>
        <v>1424.9999999999936</v>
      </c>
      <c r="S187" s="7">
        <f t="shared" si="17"/>
        <v>-2756.2500000000191</v>
      </c>
    </row>
    <row r="188" spans="1:19" x14ac:dyDescent="0.25">
      <c r="A188" s="4">
        <f>Sheet1!A188</f>
        <v>39353</v>
      </c>
      <c r="B188" s="5">
        <f>Sheet1!B188</f>
        <v>0.58333333333333337</v>
      </c>
      <c r="C188" s="6">
        <f>Sheet1!C188</f>
        <v>195.95</v>
      </c>
      <c r="D188" s="6">
        <f>Sheet1!D188</f>
        <v>196.8</v>
      </c>
      <c r="E188" s="6">
        <f>Sheet1!E188</f>
        <v>194.15</v>
      </c>
      <c r="F188" s="6">
        <f>Sheet1!F188</f>
        <v>195.3</v>
      </c>
      <c r="H188" s="6">
        <f ca="1">IF(ROW($H188)-1&lt;$I$1,$F188,AVERAGE($F188:OFFSET($F188,(($I$1-1)*-1),0)))</f>
        <v>196.89166666666665</v>
      </c>
      <c r="J188" s="6">
        <f ca="1">IF(ROW($J188)-1&lt;$K$1,$F188,AVERAGE($F188:OFFSET($F188,(($K$1-1)*-1),0)))</f>
        <v>189.16249999999999</v>
      </c>
      <c r="L188" s="7">
        <f t="shared" ca="1" si="12"/>
        <v>1</v>
      </c>
      <c r="M188" s="7" t="str">
        <f t="shared" ca="1" si="13"/>
        <v/>
      </c>
      <c r="N188" s="6" t="str">
        <f t="shared" ca="1" si="14"/>
        <v/>
      </c>
      <c r="O188" s="6">
        <f t="shared" si="15"/>
        <v>-0.14999999999997726</v>
      </c>
      <c r="Q188" s="6">
        <v>3.6500000000000057</v>
      </c>
      <c r="R188" s="9">
        <f t="shared" si="16"/>
        <v>1368.750000000002</v>
      </c>
      <c r="S188" s="7">
        <f t="shared" si="17"/>
        <v>-2756.2500000000191</v>
      </c>
    </row>
    <row r="189" spans="1:19" x14ac:dyDescent="0.25">
      <c r="A189" s="4">
        <f>Sheet1!A189</f>
        <v>39356</v>
      </c>
      <c r="B189" s="5">
        <f>Sheet1!B189</f>
        <v>0.58333333333333337</v>
      </c>
      <c r="C189" s="6">
        <f>Sheet1!C189</f>
        <v>201.15</v>
      </c>
      <c r="D189" s="6">
        <f>Sheet1!D189</f>
        <v>202.15</v>
      </c>
      <c r="E189" s="6">
        <f>Sheet1!E189</f>
        <v>200.05</v>
      </c>
      <c r="F189" s="6">
        <f>Sheet1!F189</f>
        <v>201.5</v>
      </c>
      <c r="H189" s="6">
        <f ca="1">IF(ROW($H189)-1&lt;$I$1,$F189,AVERAGE($F189:OFFSET($F189,(($I$1-1)*-1),0)))</f>
        <v>197.71666666666667</v>
      </c>
      <c r="J189" s="6">
        <f ca="1">IF(ROW($J189)-1&lt;$K$1,$F189,AVERAGE($F189:OFFSET($F189,(($K$1-1)*-1),0)))</f>
        <v>189.75178571428572</v>
      </c>
      <c r="L189" s="7">
        <f t="shared" ca="1" si="12"/>
        <v>1</v>
      </c>
      <c r="M189" s="7" t="str">
        <f t="shared" ca="1" si="13"/>
        <v/>
      </c>
      <c r="N189" s="6" t="str">
        <f t="shared" ca="1" si="14"/>
        <v/>
      </c>
      <c r="O189" s="6">
        <f t="shared" si="15"/>
        <v>6.1999999999999886</v>
      </c>
      <c r="Q189" s="6">
        <v>9.8499999999999943</v>
      </c>
      <c r="R189" s="9">
        <f t="shared" si="16"/>
        <v>3693.7499999999977</v>
      </c>
      <c r="S189" s="7">
        <f t="shared" si="17"/>
        <v>-2756.2500000000191</v>
      </c>
    </row>
    <row r="190" spans="1:19" x14ac:dyDescent="0.25">
      <c r="A190" s="4">
        <f>Sheet1!A190</f>
        <v>39357</v>
      </c>
      <c r="B190" s="5">
        <f>Sheet1!B190</f>
        <v>0.58333333333333337</v>
      </c>
      <c r="C190" s="6">
        <f>Sheet1!C190</f>
        <v>201.35</v>
      </c>
      <c r="D190" s="6">
        <f>Sheet1!D190</f>
        <v>202.05</v>
      </c>
      <c r="E190" s="6">
        <f>Sheet1!E190</f>
        <v>200.15</v>
      </c>
      <c r="F190" s="6">
        <f>Sheet1!F190</f>
        <v>200.95</v>
      </c>
      <c r="H190" s="6">
        <f ca="1">IF(ROW($H190)-1&lt;$I$1,$F190,AVERAGE($F190:OFFSET($F190,(($I$1-1)*-1),0)))</f>
        <v>198.03333333333333</v>
      </c>
      <c r="J190" s="6">
        <f ca="1">IF(ROW($J190)-1&lt;$K$1,$F190,AVERAGE($F190:OFFSET($F190,(($K$1-1)*-1),0)))</f>
        <v>190.30535714285716</v>
      </c>
      <c r="L190" s="7">
        <f t="shared" ca="1" si="12"/>
        <v>1</v>
      </c>
      <c r="M190" s="7" t="str">
        <f t="shared" ca="1" si="13"/>
        <v/>
      </c>
      <c r="N190" s="6" t="str">
        <f t="shared" ca="1" si="14"/>
        <v/>
      </c>
      <c r="O190" s="6">
        <f t="shared" si="15"/>
        <v>-0.55000000000001137</v>
      </c>
      <c r="Q190" s="6">
        <v>9.2999999999999829</v>
      </c>
      <c r="R190" s="9">
        <f t="shared" si="16"/>
        <v>3487.4999999999936</v>
      </c>
      <c r="S190" s="7">
        <f t="shared" si="17"/>
        <v>-2756.2500000000191</v>
      </c>
    </row>
    <row r="191" spans="1:19" x14ac:dyDescent="0.25">
      <c r="A191" s="4">
        <f>Sheet1!A191</f>
        <v>39358</v>
      </c>
      <c r="B191" s="5">
        <f>Sheet1!B191</f>
        <v>0.58333333333333337</v>
      </c>
      <c r="C191" s="6">
        <f>Sheet1!C191</f>
        <v>200.95</v>
      </c>
      <c r="D191" s="6">
        <f>Sheet1!D191</f>
        <v>202.9</v>
      </c>
      <c r="E191" s="6">
        <f>Sheet1!E191</f>
        <v>200.95</v>
      </c>
      <c r="F191" s="6">
        <f>Sheet1!F191</f>
        <v>202.5</v>
      </c>
      <c r="H191" s="6">
        <f ca="1">IF(ROW($H191)-1&lt;$I$1,$F191,AVERAGE($F191:OFFSET($F191,(($I$1-1)*-1),0)))</f>
        <v>198.49166666666667</v>
      </c>
      <c r="J191" s="6">
        <f ca="1">IF(ROW($J191)-1&lt;$K$1,$F191,AVERAGE($F191:OFFSET($F191,(($K$1-1)*-1),0)))</f>
        <v>190.88214285714284</v>
      </c>
      <c r="L191" s="7">
        <f t="shared" ca="1" si="12"/>
        <v>1</v>
      </c>
      <c r="M191" s="7" t="str">
        <f t="shared" ca="1" si="13"/>
        <v/>
      </c>
      <c r="N191" s="6" t="str">
        <f t="shared" ca="1" si="14"/>
        <v/>
      </c>
      <c r="O191" s="6">
        <f t="shared" si="15"/>
        <v>1.5500000000000114</v>
      </c>
      <c r="Q191" s="6">
        <v>10.849999999999994</v>
      </c>
      <c r="R191" s="9">
        <f t="shared" si="16"/>
        <v>4068.7499999999977</v>
      </c>
      <c r="S191" s="7">
        <f t="shared" si="17"/>
        <v>-2756.2500000000191</v>
      </c>
    </row>
    <row r="192" spans="1:19" x14ac:dyDescent="0.25">
      <c r="A192" s="4">
        <f>Sheet1!A192</f>
        <v>39359</v>
      </c>
      <c r="B192" s="5">
        <f>Sheet1!B192</f>
        <v>0.58333333333333337</v>
      </c>
      <c r="C192" s="6">
        <f>Sheet1!C192</f>
        <v>203.75</v>
      </c>
      <c r="D192" s="6">
        <f>Sheet1!D192</f>
        <v>204.05</v>
      </c>
      <c r="E192" s="6">
        <f>Sheet1!E192</f>
        <v>200.75</v>
      </c>
      <c r="F192" s="6">
        <f>Sheet1!F192</f>
        <v>201.85</v>
      </c>
      <c r="H192" s="6">
        <f ca="1">IF(ROW($H192)-1&lt;$I$1,$F192,AVERAGE($F192:OFFSET($F192,(($I$1-1)*-1),0)))</f>
        <v>199.59166666666667</v>
      </c>
      <c r="J192" s="6">
        <f ca="1">IF(ROW($J192)-1&lt;$K$1,$F192,AVERAGE($F192:OFFSET($F192,(($K$1-1)*-1),0)))</f>
        <v>191.45892857142863</v>
      </c>
      <c r="L192" s="7">
        <f t="shared" ca="1" si="12"/>
        <v>1</v>
      </c>
      <c r="M192" s="7" t="str">
        <f t="shared" ca="1" si="13"/>
        <v/>
      </c>
      <c r="N192" s="6" t="str">
        <f t="shared" ca="1" si="14"/>
        <v/>
      </c>
      <c r="O192" s="6">
        <f t="shared" si="15"/>
        <v>-0.65000000000000568</v>
      </c>
      <c r="Q192" s="6">
        <v>10.199999999999989</v>
      </c>
      <c r="R192" s="9">
        <f t="shared" si="16"/>
        <v>3824.9999999999959</v>
      </c>
      <c r="S192" s="7">
        <f t="shared" si="17"/>
        <v>-2756.2500000000191</v>
      </c>
    </row>
    <row r="193" spans="1:19" x14ac:dyDescent="0.25">
      <c r="A193" s="4">
        <f>Sheet1!A193</f>
        <v>39360</v>
      </c>
      <c r="B193" s="5">
        <f>Sheet1!B193</f>
        <v>0.58333333333333337</v>
      </c>
      <c r="C193" s="6">
        <f>Sheet1!C193</f>
        <v>202.15</v>
      </c>
      <c r="D193" s="6">
        <f>Sheet1!D193</f>
        <v>203.85</v>
      </c>
      <c r="E193" s="6">
        <f>Sheet1!E193</f>
        <v>201.35</v>
      </c>
      <c r="F193" s="6">
        <f>Sheet1!F193</f>
        <v>203.65</v>
      </c>
      <c r="H193" s="6">
        <f ca="1">IF(ROW($H193)-1&lt;$I$1,$F193,AVERAGE($F193:OFFSET($F193,(($I$1-1)*-1),0)))</f>
        <v>200.95833333333334</v>
      </c>
      <c r="J193" s="6">
        <f ca="1">IF(ROW($J193)-1&lt;$K$1,$F193,AVERAGE($F193:OFFSET($F193,(($K$1-1)*-1),0)))</f>
        <v>192.16607142857146</v>
      </c>
      <c r="L193" s="7">
        <f t="shared" ca="1" si="12"/>
        <v>1</v>
      </c>
      <c r="M193" s="7" t="str">
        <f t="shared" ca="1" si="13"/>
        <v/>
      </c>
      <c r="N193" s="6" t="str">
        <f t="shared" ca="1" si="14"/>
        <v/>
      </c>
      <c r="O193" s="6">
        <f t="shared" si="15"/>
        <v>1.8000000000000114</v>
      </c>
      <c r="Q193" s="6">
        <v>12</v>
      </c>
      <c r="R193" s="9">
        <f t="shared" si="16"/>
        <v>4500</v>
      </c>
      <c r="S193" s="7">
        <f t="shared" si="17"/>
        <v>-2756.2500000000191</v>
      </c>
    </row>
    <row r="194" spans="1:19" x14ac:dyDescent="0.25">
      <c r="A194" s="4">
        <f>Sheet1!A194</f>
        <v>39363</v>
      </c>
      <c r="B194" s="5">
        <f>Sheet1!B194</f>
        <v>0.58333333333333337</v>
      </c>
      <c r="C194" s="6">
        <f>Sheet1!C194</f>
        <v>205.9</v>
      </c>
      <c r="D194" s="6">
        <f>Sheet1!D194</f>
        <v>206.15</v>
      </c>
      <c r="E194" s="6">
        <f>Sheet1!E194</f>
        <v>203.55</v>
      </c>
      <c r="F194" s="6">
        <f>Sheet1!F194</f>
        <v>205.4</v>
      </c>
      <c r="H194" s="6">
        <f ca="1">IF(ROW($H194)-1&lt;$I$1,$F194,AVERAGE($F194:OFFSET($F194,(($I$1-1)*-1),0)))</f>
        <v>202.64166666666668</v>
      </c>
      <c r="J194" s="6">
        <f ca="1">IF(ROW($J194)-1&lt;$K$1,$F194,AVERAGE($F194:OFFSET($F194,(($K$1-1)*-1),0)))</f>
        <v>192.92321428571429</v>
      </c>
      <c r="L194" s="7">
        <f t="shared" ca="1" si="12"/>
        <v>1</v>
      </c>
      <c r="M194" s="7" t="str">
        <f t="shared" ca="1" si="13"/>
        <v/>
      </c>
      <c r="N194" s="6" t="str">
        <f t="shared" ca="1" si="14"/>
        <v/>
      </c>
      <c r="O194" s="6">
        <f t="shared" si="15"/>
        <v>1.75</v>
      </c>
      <c r="Q194" s="6">
        <v>13.75</v>
      </c>
      <c r="R194" s="9">
        <f t="shared" si="16"/>
        <v>5156.25</v>
      </c>
      <c r="S194" s="7">
        <f t="shared" si="17"/>
        <v>-2756.2500000000191</v>
      </c>
    </row>
    <row r="195" spans="1:19" x14ac:dyDescent="0.25">
      <c r="A195" s="4">
        <f>Sheet1!A195</f>
        <v>39364</v>
      </c>
      <c r="B195" s="5">
        <f>Sheet1!B195</f>
        <v>0.58333333333333337</v>
      </c>
      <c r="C195" s="6">
        <f>Sheet1!C195</f>
        <v>203.05</v>
      </c>
      <c r="D195" s="6">
        <f>Sheet1!D195</f>
        <v>203.45</v>
      </c>
      <c r="E195" s="6">
        <f>Sheet1!E195</f>
        <v>199.25</v>
      </c>
      <c r="F195" s="6">
        <f>Sheet1!F195</f>
        <v>200.4</v>
      </c>
      <c r="H195" s="6">
        <f ca="1">IF(ROW($H195)-1&lt;$I$1,$F195,AVERAGE($F195:OFFSET($F195,(($I$1-1)*-1),0)))</f>
        <v>202.45833333333334</v>
      </c>
      <c r="J195" s="6">
        <f ca="1">IF(ROW($J195)-1&lt;$K$1,$F195,AVERAGE($F195:OFFSET($F195,(($K$1-1)*-1),0)))</f>
        <v>193.55357142857142</v>
      </c>
      <c r="L195" s="7">
        <f t="shared" ref="L195:L258" ca="1" si="18">IF(ROW($L195)&gt;($K$1),IF($H195&gt;$J195,1,IF($H195&lt;$J195,-1,$L194*-1)),0)</f>
        <v>1</v>
      </c>
      <c r="M195" s="7" t="str">
        <f t="shared" ca="1" si="13"/>
        <v/>
      </c>
      <c r="N195" s="6" t="str">
        <f t="shared" ca="1" si="14"/>
        <v/>
      </c>
      <c r="O195" s="6">
        <f t="shared" si="15"/>
        <v>-5</v>
      </c>
      <c r="Q195" s="6">
        <v>8.75</v>
      </c>
      <c r="R195" s="9">
        <f t="shared" si="16"/>
        <v>3281.25</v>
      </c>
      <c r="S195" s="7">
        <f t="shared" si="17"/>
        <v>-2756.2500000000191</v>
      </c>
    </row>
    <row r="196" spans="1:19" x14ac:dyDescent="0.25">
      <c r="A196" s="4">
        <f>Sheet1!A196</f>
        <v>39365</v>
      </c>
      <c r="B196" s="5">
        <f>Sheet1!B196</f>
        <v>0.58333333333333337</v>
      </c>
      <c r="C196" s="6">
        <f>Sheet1!C196</f>
        <v>202.25</v>
      </c>
      <c r="D196" s="6">
        <f>Sheet1!D196</f>
        <v>202.85</v>
      </c>
      <c r="E196" s="6">
        <f>Sheet1!E196</f>
        <v>199.75</v>
      </c>
      <c r="F196" s="6">
        <f>Sheet1!F196</f>
        <v>200.05</v>
      </c>
      <c r="H196" s="6">
        <f ca="1">IF(ROW($H196)-1&lt;$I$1,$F196,AVERAGE($F196:OFFSET($F196,(($I$1-1)*-1),0)))</f>
        <v>202.30833333333331</v>
      </c>
      <c r="J196" s="6">
        <f ca="1">IF(ROW($J196)-1&lt;$K$1,$F196,AVERAGE($F196:OFFSET($F196,(($K$1-1)*-1),0)))</f>
        <v>194.16964285714286</v>
      </c>
      <c r="L196" s="7">
        <f t="shared" ca="1" si="18"/>
        <v>1</v>
      </c>
      <c r="M196" s="7" t="str">
        <f t="shared" ref="M196:M259" ca="1" si="19">IF(L196&lt;&gt;L195,L196,"")</f>
        <v/>
      </c>
      <c r="N196" s="6" t="str">
        <f t="shared" ref="N196:N259" ca="1" si="20">IF(M195&lt;&gt;"",C196,"")</f>
        <v/>
      </c>
      <c r="O196" s="6">
        <f t="shared" ref="O196:O259" si="21">F196-F195</f>
        <v>-0.34999999999999432</v>
      </c>
      <c r="Q196" s="6">
        <v>8.4000000000000057</v>
      </c>
      <c r="R196" s="9">
        <f t="shared" ref="R196:R259" si="22">IF(Q196="","",Q196*375)</f>
        <v>3150.0000000000023</v>
      </c>
      <c r="S196" s="7">
        <f t="shared" si="17"/>
        <v>-2756.2500000000191</v>
      </c>
    </row>
    <row r="197" spans="1:19" x14ac:dyDescent="0.25">
      <c r="A197" s="4">
        <f>Sheet1!A197</f>
        <v>39366</v>
      </c>
      <c r="B197" s="5">
        <f>Sheet1!B197</f>
        <v>0.58333333333333337</v>
      </c>
      <c r="C197" s="6">
        <f>Sheet1!C197</f>
        <v>203.65</v>
      </c>
      <c r="D197" s="6">
        <f>Sheet1!D197</f>
        <v>206.35</v>
      </c>
      <c r="E197" s="6">
        <f>Sheet1!E197</f>
        <v>202.75</v>
      </c>
      <c r="F197" s="6">
        <f>Sheet1!F197</f>
        <v>204.9</v>
      </c>
      <c r="H197" s="6">
        <f ca="1">IF(ROW($H197)-1&lt;$I$1,$F197,AVERAGE($F197:OFFSET($F197,(($I$1-1)*-1),0)))</f>
        <v>202.70833333333334</v>
      </c>
      <c r="J197" s="6">
        <f ca="1">IF(ROW($J197)-1&lt;$K$1,$F197,AVERAGE($F197:OFFSET($F197,(($K$1-1)*-1),0)))</f>
        <v>194.96964285714284</v>
      </c>
      <c r="L197" s="7">
        <f t="shared" ca="1" si="18"/>
        <v>1</v>
      </c>
      <c r="M197" s="7" t="str">
        <f t="shared" ca="1" si="19"/>
        <v/>
      </c>
      <c r="N197" s="6" t="str">
        <f t="shared" ca="1" si="20"/>
        <v/>
      </c>
      <c r="O197" s="6">
        <f t="shared" si="21"/>
        <v>4.8499999999999943</v>
      </c>
      <c r="Q197" s="6">
        <v>13.25</v>
      </c>
      <c r="R197" s="9">
        <f t="shared" si="22"/>
        <v>4968.75</v>
      </c>
      <c r="S197" s="7">
        <f t="shared" si="17"/>
        <v>-2756.2500000000191</v>
      </c>
    </row>
    <row r="198" spans="1:19" x14ac:dyDescent="0.25">
      <c r="A198" s="4">
        <f>Sheet1!A198</f>
        <v>39367</v>
      </c>
      <c r="B198" s="5">
        <f>Sheet1!B198</f>
        <v>0.58333333333333337</v>
      </c>
      <c r="C198" s="6">
        <f>Sheet1!C198</f>
        <v>206.65</v>
      </c>
      <c r="D198" s="6">
        <f>Sheet1!D198</f>
        <v>207.15</v>
      </c>
      <c r="E198" s="6">
        <f>Sheet1!E198</f>
        <v>203.75</v>
      </c>
      <c r="F198" s="6">
        <f>Sheet1!F198</f>
        <v>205.95</v>
      </c>
      <c r="H198" s="6">
        <f ca="1">IF(ROW($H198)-1&lt;$I$1,$F198,AVERAGE($F198:OFFSET($F198,(($I$1-1)*-1),0)))</f>
        <v>203.39166666666665</v>
      </c>
      <c r="J198" s="6">
        <f ca="1">IF(ROW($J198)-1&lt;$K$1,$F198,AVERAGE($F198:OFFSET($F198,(($K$1-1)*-1),0)))</f>
        <v>195.73214285714283</v>
      </c>
      <c r="L198" s="7">
        <f t="shared" ca="1" si="18"/>
        <v>1</v>
      </c>
      <c r="M198" s="7" t="str">
        <f t="shared" ca="1" si="19"/>
        <v/>
      </c>
      <c r="N198" s="6" t="str">
        <f t="shared" ca="1" si="20"/>
        <v/>
      </c>
      <c r="O198" s="6">
        <f t="shared" si="21"/>
        <v>1.0499999999999829</v>
      </c>
      <c r="Q198" s="6">
        <v>14.299999999999983</v>
      </c>
      <c r="R198" s="9">
        <f t="shared" si="22"/>
        <v>5362.4999999999936</v>
      </c>
      <c r="S198" s="7">
        <f t="shared" si="17"/>
        <v>-2756.2500000000191</v>
      </c>
    </row>
    <row r="199" spans="1:19" x14ac:dyDescent="0.25">
      <c r="A199" s="4">
        <f>Sheet1!A199</f>
        <v>39370</v>
      </c>
      <c r="B199" s="5">
        <f>Sheet1!B199</f>
        <v>0.58333333333333337</v>
      </c>
      <c r="C199" s="6">
        <f>Sheet1!C199</f>
        <v>195.9</v>
      </c>
      <c r="D199" s="6">
        <f>Sheet1!D199</f>
        <v>198.95</v>
      </c>
      <c r="E199" s="6">
        <f>Sheet1!E199</f>
        <v>195.9</v>
      </c>
      <c r="F199" s="6">
        <f>Sheet1!F199</f>
        <v>196.7</v>
      </c>
      <c r="H199" s="6">
        <f ca="1">IF(ROW($H199)-1&lt;$I$1,$F199,AVERAGE($F199:OFFSET($F199,(($I$1-1)*-1),0)))</f>
        <v>202.23333333333335</v>
      </c>
      <c r="J199" s="6">
        <f ca="1">IF(ROW($J199)-1&lt;$K$1,$F199,AVERAGE($F199:OFFSET($F199,(($K$1-1)*-1),0)))</f>
        <v>196.23214285714283</v>
      </c>
      <c r="L199" s="7">
        <f t="shared" ca="1" si="18"/>
        <v>1</v>
      </c>
      <c r="M199" s="7" t="str">
        <f t="shared" ca="1" si="19"/>
        <v/>
      </c>
      <c r="N199" s="6" t="str">
        <f t="shared" ca="1" si="20"/>
        <v/>
      </c>
      <c r="O199" s="6">
        <f t="shared" si="21"/>
        <v>-9.25</v>
      </c>
      <c r="Q199" s="6">
        <v>5.0499999999999829</v>
      </c>
      <c r="R199" s="9">
        <f t="shared" si="22"/>
        <v>1893.7499999999936</v>
      </c>
      <c r="S199" s="7">
        <f t="shared" si="17"/>
        <v>-2756.2500000000191</v>
      </c>
    </row>
    <row r="200" spans="1:19" x14ac:dyDescent="0.25">
      <c r="A200" s="4">
        <f>Sheet1!A200</f>
        <v>39371</v>
      </c>
      <c r="B200" s="5">
        <f>Sheet1!B200</f>
        <v>0.58333333333333337</v>
      </c>
      <c r="C200" s="6">
        <f>Sheet1!C200</f>
        <v>196.25</v>
      </c>
      <c r="D200" s="6">
        <f>Sheet1!D200</f>
        <v>197.65</v>
      </c>
      <c r="E200" s="6">
        <f>Sheet1!E200</f>
        <v>194.15</v>
      </c>
      <c r="F200" s="6">
        <f>Sheet1!F200</f>
        <v>194.8</v>
      </c>
      <c r="H200" s="6">
        <f ca="1">IF(ROW($H200)-1&lt;$I$1,$F200,AVERAGE($F200:OFFSET($F200,(($I$1-1)*-1),0)))</f>
        <v>200.46666666666667</v>
      </c>
      <c r="J200" s="6">
        <f ca="1">IF(ROW($J200)-1&lt;$K$1,$F200,AVERAGE($F200:OFFSET($F200,(($K$1-1)*-1),0)))</f>
        <v>196.63928571428568</v>
      </c>
      <c r="L200" s="7">
        <f t="shared" ca="1" si="18"/>
        <v>1</v>
      </c>
      <c r="M200" s="7" t="str">
        <f t="shared" ca="1" si="19"/>
        <v/>
      </c>
      <c r="N200" s="6" t="str">
        <f t="shared" ca="1" si="20"/>
        <v/>
      </c>
      <c r="O200" s="6">
        <f t="shared" si="21"/>
        <v>-1.8999999999999773</v>
      </c>
      <c r="Q200" s="6">
        <v>3.1500000000000057</v>
      </c>
      <c r="R200" s="9">
        <f t="shared" si="22"/>
        <v>1181.250000000002</v>
      </c>
      <c r="S200" s="7">
        <f t="shared" si="17"/>
        <v>-2756.2500000000191</v>
      </c>
    </row>
    <row r="201" spans="1:19" x14ac:dyDescent="0.25">
      <c r="A201" s="4">
        <f>Sheet1!A201</f>
        <v>39372</v>
      </c>
      <c r="B201" s="5">
        <f>Sheet1!B201</f>
        <v>0.58333333333333337</v>
      </c>
      <c r="C201" s="6">
        <f>Sheet1!C201</f>
        <v>195.9</v>
      </c>
      <c r="D201" s="6">
        <f>Sheet1!D201</f>
        <v>196.55</v>
      </c>
      <c r="E201" s="6">
        <f>Sheet1!E201</f>
        <v>195.1</v>
      </c>
      <c r="F201" s="6">
        <f>Sheet1!F201</f>
        <v>196.2</v>
      </c>
      <c r="H201" s="6">
        <f ca="1">IF(ROW($H201)-1&lt;$I$1,$F201,AVERAGE($F201:OFFSET($F201,(($I$1-1)*-1),0)))</f>
        <v>199.76666666666668</v>
      </c>
      <c r="J201" s="6">
        <f ca="1">IF(ROW($J201)-1&lt;$K$1,$F201,AVERAGE($F201:OFFSET($F201,(($K$1-1)*-1),0)))</f>
        <v>197.09107142857138</v>
      </c>
      <c r="L201" s="7">
        <f t="shared" ca="1" si="18"/>
        <v>1</v>
      </c>
      <c r="M201" s="7" t="str">
        <f t="shared" ca="1" si="19"/>
        <v/>
      </c>
      <c r="N201" s="6" t="str">
        <f t="shared" ca="1" si="20"/>
        <v/>
      </c>
      <c r="O201" s="6">
        <f t="shared" si="21"/>
        <v>1.3999999999999773</v>
      </c>
      <c r="Q201" s="6">
        <v>4.5499999999999829</v>
      </c>
      <c r="R201" s="9">
        <f t="shared" si="22"/>
        <v>1706.2499999999936</v>
      </c>
      <c r="S201" s="7">
        <f t="shared" si="17"/>
        <v>-2756.2500000000191</v>
      </c>
    </row>
    <row r="202" spans="1:19" x14ac:dyDescent="0.25">
      <c r="A202" s="4">
        <f>Sheet1!A202</f>
        <v>39373</v>
      </c>
      <c r="B202" s="5">
        <f>Sheet1!B202</f>
        <v>0.58333333333333337</v>
      </c>
      <c r="C202" s="6">
        <f>Sheet1!C202</f>
        <v>191.9</v>
      </c>
      <c r="D202" s="6">
        <f>Sheet1!D202</f>
        <v>192.55</v>
      </c>
      <c r="E202" s="6">
        <f>Sheet1!E202</f>
        <v>188.85</v>
      </c>
      <c r="F202" s="6">
        <f>Sheet1!F202</f>
        <v>192.05</v>
      </c>
      <c r="H202" s="6">
        <f ca="1">IF(ROW($H202)-1&lt;$I$1,$F202,AVERAGE($F202:OFFSET($F202,(($I$1-1)*-1),0)))</f>
        <v>198.43333333333331</v>
      </c>
      <c r="J202" s="6">
        <f ca="1">IF(ROW($J202)-1&lt;$K$1,$F202,AVERAGE($F202:OFFSET($F202,(($K$1-1)*-1),0)))</f>
        <v>197.28214285714284</v>
      </c>
      <c r="L202" s="7">
        <f t="shared" ca="1" si="18"/>
        <v>1</v>
      </c>
      <c r="M202" s="7" t="str">
        <f t="shared" ca="1" si="19"/>
        <v/>
      </c>
      <c r="N202" s="6" t="str">
        <f t="shared" ca="1" si="20"/>
        <v/>
      </c>
      <c r="O202" s="6">
        <f t="shared" si="21"/>
        <v>-4.1499999999999773</v>
      </c>
      <c r="Q202" s="6">
        <v>0.40000000000000568</v>
      </c>
      <c r="R202" s="9">
        <f t="shared" si="22"/>
        <v>150.00000000000213</v>
      </c>
      <c r="S202" s="7">
        <f t="shared" si="17"/>
        <v>-2756.2500000000191</v>
      </c>
    </row>
    <row r="203" spans="1:19" x14ac:dyDescent="0.25">
      <c r="A203" s="4">
        <f>Sheet1!A203</f>
        <v>39374</v>
      </c>
      <c r="B203" s="5">
        <f>Sheet1!B203</f>
        <v>0.58333333333333337</v>
      </c>
      <c r="C203" s="6">
        <f>Sheet1!C203</f>
        <v>191.75</v>
      </c>
      <c r="D203" s="6">
        <f>Sheet1!D203</f>
        <v>192.65</v>
      </c>
      <c r="E203" s="6">
        <f>Sheet1!E203</f>
        <v>191.05</v>
      </c>
      <c r="F203" s="6">
        <f>Sheet1!F203</f>
        <v>191.65</v>
      </c>
      <c r="H203" s="6">
        <f ca="1">IF(ROW($H203)-1&lt;$I$1,$F203,AVERAGE($F203:OFFSET($F203,(($I$1-1)*-1),0)))</f>
        <v>196.22500000000002</v>
      </c>
      <c r="J203" s="6">
        <f ca="1">IF(ROW($J203)-1&lt;$K$1,$F203,AVERAGE($F203:OFFSET($F203,(($K$1-1)*-1),0)))</f>
        <v>197.47857142857137</v>
      </c>
      <c r="L203" s="7">
        <f t="shared" ca="1" si="18"/>
        <v>-1</v>
      </c>
      <c r="M203" s="7">
        <f t="shared" ca="1" si="19"/>
        <v>-1</v>
      </c>
      <c r="N203" s="6" t="str">
        <f t="shared" ca="1" si="20"/>
        <v/>
      </c>
      <c r="O203" s="6">
        <f t="shared" si="21"/>
        <v>-0.40000000000000568</v>
      </c>
      <c r="Q203" s="6">
        <v>0</v>
      </c>
      <c r="R203" s="9">
        <f t="shared" si="22"/>
        <v>0</v>
      </c>
      <c r="S203" s="7">
        <f t="shared" si="17"/>
        <v>-2756.2500000000191</v>
      </c>
    </row>
    <row r="204" spans="1:19" x14ac:dyDescent="0.25">
      <c r="A204" s="4">
        <f>Sheet1!A204</f>
        <v>39377</v>
      </c>
      <c r="B204" s="5">
        <f>Sheet1!B204</f>
        <v>0.58333333333333337</v>
      </c>
      <c r="C204" s="6">
        <f>Sheet1!C204</f>
        <v>188.75</v>
      </c>
      <c r="D204" s="6">
        <f>Sheet1!D204</f>
        <v>192.25</v>
      </c>
      <c r="E204" s="6">
        <f>Sheet1!E204</f>
        <v>188.55</v>
      </c>
      <c r="F204" s="6">
        <f>Sheet1!F204</f>
        <v>190.2</v>
      </c>
      <c r="H204" s="6">
        <f ca="1">IF(ROW($H204)-1&lt;$I$1,$F204,AVERAGE($F204:OFFSET($F204,(($I$1-1)*-1),0)))</f>
        <v>193.6</v>
      </c>
      <c r="J204" s="6">
        <f ca="1">IF(ROW($J204)-1&lt;$K$1,$F204,AVERAGE($F204:OFFSET($F204,(($K$1-1)*-1),0)))</f>
        <v>197.60357142857143</v>
      </c>
      <c r="L204" s="7">
        <f t="shared" ca="1" si="18"/>
        <v>-1</v>
      </c>
      <c r="M204" s="7" t="str">
        <f t="shared" ca="1" si="19"/>
        <v/>
      </c>
      <c r="N204" s="6">
        <f t="shared" ca="1" si="20"/>
        <v>188.75</v>
      </c>
      <c r="O204" s="6">
        <f t="shared" si="21"/>
        <v>-1.4500000000000171</v>
      </c>
      <c r="P204" s="6">
        <v>-2.9000000000000057</v>
      </c>
      <c r="Q204" s="6">
        <v>-1.4499999999999886</v>
      </c>
      <c r="R204" s="9">
        <f t="shared" si="22"/>
        <v>-543.74999999999568</v>
      </c>
      <c r="S204" s="7">
        <f t="shared" si="17"/>
        <v>-3843.7500000000209</v>
      </c>
    </row>
    <row r="205" spans="1:19" x14ac:dyDescent="0.25">
      <c r="A205" s="4">
        <f>Sheet1!A205</f>
        <v>39378</v>
      </c>
      <c r="B205" s="5">
        <f>Sheet1!B205</f>
        <v>0.58333333333333337</v>
      </c>
      <c r="C205" s="6">
        <f>Sheet1!C205</f>
        <v>188.95</v>
      </c>
      <c r="D205" s="6">
        <f>Sheet1!D205</f>
        <v>190.95</v>
      </c>
      <c r="E205" s="6">
        <f>Sheet1!E205</f>
        <v>188.95</v>
      </c>
      <c r="F205" s="6">
        <f>Sheet1!F205</f>
        <v>190.5</v>
      </c>
      <c r="H205" s="6">
        <f ca="1">IF(ROW($H205)-1&lt;$I$1,$F205,AVERAGE($F205:OFFSET($F205,(($I$1-1)*-1),0)))</f>
        <v>192.56666666666663</v>
      </c>
      <c r="J205" s="6">
        <f ca="1">IF(ROW($J205)-1&lt;$K$1,$F205,AVERAGE($F205:OFFSET($F205,(($K$1-1)*-1),0)))</f>
        <v>197.76607142857142</v>
      </c>
      <c r="L205" s="7">
        <f t="shared" ca="1" si="18"/>
        <v>-1</v>
      </c>
      <c r="M205" s="7" t="str">
        <f t="shared" ca="1" si="19"/>
        <v/>
      </c>
      <c r="N205" s="6" t="str">
        <f t="shared" ca="1" si="20"/>
        <v/>
      </c>
      <c r="O205" s="6">
        <f t="shared" si="21"/>
        <v>0.30000000000001137</v>
      </c>
      <c r="Q205" s="6">
        <v>-1.75</v>
      </c>
      <c r="R205" s="9">
        <f t="shared" si="22"/>
        <v>-656.25</v>
      </c>
      <c r="S205" s="7">
        <f t="shared" si="17"/>
        <v>-3843.7500000000209</v>
      </c>
    </row>
    <row r="206" spans="1:19" x14ac:dyDescent="0.25">
      <c r="A206" s="4">
        <f>Sheet1!A206</f>
        <v>39379</v>
      </c>
      <c r="B206" s="5">
        <f>Sheet1!B206</f>
        <v>0.58333333333333337</v>
      </c>
      <c r="C206" s="6">
        <f>Sheet1!C206</f>
        <v>189.85</v>
      </c>
      <c r="D206" s="6">
        <f>Sheet1!D206</f>
        <v>190.5</v>
      </c>
      <c r="E206" s="6">
        <f>Sheet1!E206</f>
        <v>189.45</v>
      </c>
      <c r="F206" s="6">
        <f>Sheet1!F206</f>
        <v>190.15</v>
      </c>
      <c r="H206" s="6">
        <f ca="1">IF(ROW($H206)-1&lt;$I$1,$F206,AVERAGE($F206:OFFSET($F206,(($I$1-1)*-1),0)))</f>
        <v>191.79166666666666</v>
      </c>
      <c r="J206" s="6">
        <f ca="1">IF(ROW($J206)-1&lt;$K$1,$F206,AVERAGE($F206:OFFSET($F206,(($K$1-1)*-1),0)))</f>
        <v>197.85892857142855</v>
      </c>
      <c r="L206" s="7">
        <f t="shared" ca="1" si="18"/>
        <v>-1</v>
      </c>
      <c r="M206" s="7" t="str">
        <f t="shared" ca="1" si="19"/>
        <v/>
      </c>
      <c r="N206" s="6" t="str">
        <f t="shared" ca="1" si="20"/>
        <v/>
      </c>
      <c r="O206" s="6">
        <f t="shared" si="21"/>
        <v>-0.34999999999999432</v>
      </c>
      <c r="Q206" s="6">
        <v>-1.4000000000000057</v>
      </c>
      <c r="R206" s="9">
        <f t="shared" si="22"/>
        <v>-525.00000000000216</v>
      </c>
      <c r="S206" s="7">
        <f t="shared" si="17"/>
        <v>-3843.7500000000209</v>
      </c>
    </row>
    <row r="207" spans="1:19" x14ac:dyDescent="0.25">
      <c r="A207" s="4">
        <f>Sheet1!A207</f>
        <v>39380</v>
      </c>
      <c r="B207" s="5">
        <f>Sheet1!B207</f>
        <v>0.58333333333333337</v>
      </c>
      <c r="C207" s="6">
        <f>Sheet1!C207</f>
        <v>190.05</v>
      </c>
      <c r="D207" s="6">
        <f>Sheet1!D207</f>
        <v>190.2</v>
      </c>
      <c r="E207" s="6">
        <f>Sheet1!E207</f>
        <v>186.9</v>
      </c>
      <c r="F207" s="6">
        <f>Sheet1!F207</f>
        <v>187.25</v>
      </c>
      <c r="H207" s="6">
        <f ca="1">IF(ROW($H207)-1&lt;$I$1,$F207,AVERAGE($F207:OFFSET($F207,(($I$1-1)*-1),0)))</f>
        <v>190.30000000000004</v>
      </c>
      <c r="J207" s="6">
        <f ca="1">IF(ROW($J207)-1&lt;$K$1,$F207,AVERAGE($F207:OFFSET($F207,(($K$1-1)*-1),0)))</f>
        <v>197.60178571428568</v>
      </c>
      <c r="L207" s="7">
        <f t="shared" ca="1" si="18"/>
        <v>-1</v>
      </c>
      <c r="M207" s="7" t="str">
        <f t="shared" ca="1" si="19"/>
        <v/>
      </c>
      <c r="N207" s="6" t="str">
        <f t="shared" ca="1" si="20"/>
        <v/>
      </c>
      <c r="O207" s="6">
        <f t="shared" si="21"/>
        <v>-2.9000000000000057</v>
      </c>
      <c r="Q207" s="6">
        <v>1.5</v>
      </c>
      <c r="R207" s="9">
        <f t="shared" si="22"/>
        <v>562.5</v>
      </c>
      <c r="S207" s="7">
        <f t="shared" si="17"/>
        <v>-3843.7500000000209</v>
      </c>
    </row>
    <row r="208" spans="1:19" x14ac:dyDescent="0.25">
      <c r="A208" s="4">
        <f>Sheet1!A208</f>
        <v>39381</v>
      </c>
      <c r="B208" s="5">
        <f>Sheet1!B208</f>
        <v>0.58333333333333337</v>
      </c>
      <c r="C208" s="6">
        <f>Sheet1!C208</f>
        <v>186.85</v>
      </c>
      <c r="D208" s="6">
        <f>Sheet1!D208</f>
        <v>188.75</v>
      </c>
      <c r="E208" s="6">
        <f>Sheet1!E208</f>
        <v>186.45</v>
      </c>
      <c r="F208" s="6">
        <f>Sheet1!F208</f>
        <v>188.1</v>
      </c>
      <c r="H208" s="6">
        <f ca="1">IF(ROW($H208)-1&lt;$I$1,$F208,AVERAGE($F208:OFFSET($F208,(($I$1-1)*-1),0)))</f>
        <v>189.64166666666665</v>
      </c>
      <c r="J208" s="6">
        <f ca="1">IF(ROW($J208)-1&lt;$K$1,$F208,AVERAGE($F208:OFFSET($F208,(($K$1-1)*-1),0)))</f>
        <v>197.28214285714287</v>
      </c>
      <c r="L208" s="7">
        <f t="shared" ca="1" si="18"/>
        <v>-1</v>
      </c>
      <c r="M208" s="7" t="str">
        <f t="shared" ca="1" si="19"/>
        <v/>
      </c>
      <c r="N208" s="6" t="str">
        <f t="shared" ca="1" si="20"/>
        <v/>
      </c>
      <c r="O208" s="6">
        <f t="shared" si="21"/>
        <v>0.84999999999999432</v>
      </c>
      <c r="Q208" s="6">
        <v>0.65000000000000568</v>
      </c>
      <c r="R208" s="9">
        <f t="shared" si="22"/>
        <v>243.75000000000213</v>
      </c>
      <c r="S208" s="7">
        <f t="shared" ref="S208:S271" si="23">S207+(P208*375)</f>
        <v>-3843.7500000000209</v>
      </c>
    </row>
    <row r="209" spans="1:19" x14ac:dyDescent="0.25">
      <c r="A209" s="4">
        <f>Sheet1!A209</f>
        <v>39384</v>
      </c>
      <c r="B209" s="5">
        <f>Sheet1!B209</f>
        <v>0.58333333333333337</v>
      </c>
      <c r="C209" s="6">
        <f>Sheet1!C209</f>
        <v>187.35</v>
      </c>
      <c r="D209" s="6">
        <f>Sheet1!D209</f>
        <v>189.05</v>
      </c>
      <c r="E209" s="6">
        <f>Sheet1!E209</f>
        <v>186.95</v>
      </c>
      <c r="F209" s="6">
        <f>Sheet1!F209</f>
        <v>189</v>
      </c>
      <c r="H209" s="6">
        <f ca="1">IF(ROW($H209)-1&lt;$I$1,$F209,AVERAGE($F209:OFFSET($F209,(($I$1-1)*-1),0)))</f>
        <v>189.20000000000002</v>
      </c>
      <c r="J209" s="6">
        <f ca="1">IF(ROW($J209)-1&lt;$K$1,$F209,AVERAGE($F209:OFFSET($F209,(($K$1-1)*-1),0)))</f>
        <v>196.96071428571426</v>
      </c>
      <c r="L209" s="7">
        <f t="shared" ca="1" si="18"/>
        <v>-1</v>
      </c>
      <c r="M209" s="7" t="str">
        <f t="shared" ca="1" si="19"/>
        <v/>
      </c>
      <c r="N209" s="6" t="str">
        <f t="shared" ca="1" si="20"/>
        <v/>
      </c>
      <c r="O209" s="6">
        <f t="shared" si="21"/>
        <v>0.90000000000000568</v>
      </c>
      <c r="Q209" s="6">
        <v>-0.25</v>
      </c>
      <c r="R209" s="9">
        <f t="shared" si="22"/>
        <v>-93.75</v>
      </c>
      <c r="S209" s="7">
        <f t="shared" si="23"/>
        <v>-3843.7500000000209</v>
      </c>
    </row>
    <row r="210" spans="1:19" x14ac:dyDescent="0.25">
      <c r="A210" s="4">
        <f>Sheet1!A210</f>
        <v>39385</v>
      </c>
      <c r="B210" s="5">
        <f>Sheet1!B210</f>
        <v>0.58333333333333337</v>
      </c>
      <c r="C210" s="6">
        <f>Sheet1!C210</f>
        <v>188.95</v>
      </c>
      <c r="D210" s="6">
        <f>Sheet1!D210</f>
        <v>189.4</v>
      </c>
      <c r="E210" s="6">
        <f>Sheet1!E210</f>
        <v>187.05</v>
      </c>
      <c r="F210" s="6">
        <f>Sheet1!F210</f>
        <v>188.55</v>
      </c>
      <c r="H210" s="6">
        <f ca="1">IF(ROW($H210)-1&lt;$I$1,$F210,AVERAGE($F210:OFFSET($F210,(($I$1-1)*-1),0)))</f>
        <v>188.92499999999998</v>
      </c>
      <c r="J210" s="6">
        <f ca="1">IF(ROW($J210)-1&lt;$K$1,$F210,AVERAGE($F210:OFFSET($F210,(($K$1-1)*-1),0)))</f>
        <v>196.55892857142857</v>
      </c>
      <c r="L210" s="7">
        <f t="shared" ca="1" si="18"/>
        <v>-1</v>
      </c>
      <c r="M210" s="7" t="str">
        <f t="shared" ca="1" si="19"/>
        <v/>
      </c>
      <c r="N210" s="6" t="str">
        <f t="shared" ca="1" si="20"/>
        <v/>
      </c>
      <c r="O210" s="6">
        <f t="shared" si="21"/>
        <v>-0.44999999999998863</v>
      </c>
      <c r="Q210" s="6">
        <v>0.19999999999998863</v>
      </c>
      <c r="R210" s="9">
        <f t="shared" si="22"/>
        <v>74.999999999995737</v>
      </c>
      <c r="S210" s="7">
        <f t="shared" si="23"/>
        <v>-3843.7500000000209</v>
      </c>
    </row>
    <row r="211" spans="1:19" x14ac:dyDescent="0.25">
      <c r="A211" s="4">
        <f>Sheet1!A211</f>
        <v>39386</v>
      </c>
      <c r="B211" s="5">
        <f>Sheet1!B211</f>
        <v>0.58333333333333337</v>
      </c>
      <c r="C211" s="6">
        <f>Sheet1!C211</f>
        <v>188.65</v>
      </c>
      <c r="D211" s="6">
        <f>Sheet1!D211</f>
        <v>189.55</v>
      </c>
      <c r="E211" s="6">
        <f>Sheet1!E211</f>
        <v>187.45</v>
      </c>
      <c r="F211" s="6">
        <f>Sheet1!F211</f>
        <v>188</v>
      </c>
      <c r="H211" s="6">
        <f ca="1">IF(ROW($H211)-1&lt;$I$1,$F211,AVERAGE($F211:OFFSET($F211,(($I$1-1)*-1),0)))</f>
        <v>188.50833333333333</v>
      </c>
      <c r="J211" s="6">
        <f ca="1">IF(ROW($J211)-1&lt;$K$1,$F211,AVERAGE($F211:OFFSET($F211,(($K$1-1)*-1),0)))</f>
        <v>196.25357142857143</v>
      </c>
      <c r="L211" s="7">
        <f t="shared" ca="1" si="18"/>
        <v>-1</v>
      </c>
      <c r="M211" s="7" t="str">
        <f t="shared" ca="1" si="19"/>
        <v/>
      </c>
      <c r="N211" s="6" t="str">
        <f t="shared" ca="1" si="20"/>
        <v/>
      </c>
      <c r="O211" s="6">
        <f t="shared" si="21"/>
        <v>-0.55000000000001137</v>
      </c>
      <c r="Q211" s="6">
        <v>0.75</v>
      </c>
      <c r="R211" s="9">
        <f t="shared" si="22"/>
        <v>281.25</v>
      </c>
      <c r="S211" s="7">
        <f t="shared" si="23"/>
        <v>-3843.7500000000209</v>
      </c>
    </row>
    <row r="212" spans="1:19" x14ac:dyDescent="0.25">
      <c r="A212" s="4">
        <f>Sheet1!A212</f>
        <v>39387</v>
      </c>
      <c r="B212" s="5">
        <f>Sheet1!B212</f>
        <v>0.58333333333333337</v>
      </c>
      <c r="C212" s="6">
        <f>Sheet1!C212</f>
        <v>188.35</v>
      </c>
      <c r="D212" s="6">
        <f>Sheet1!D212</f>
        <v>190.45</v>
      </c>
      <c r="E212" s="6">
        <f>Sheet1!E212</f>
        <v>188.35</v>
      </c>
      <c r="F212" s="6">
        <f>Sheet1!F212</f>
        <v>189.25</v>
      </c>
      <c r="H212" s="6">
        <f ca="1">IF(ROW($H212)-1&lt;$I$1,$F212,AVERAGE($F212:OFFSET($F212,(($I$1-1)*-1),0)))</f>
        <v>188.35833333333335</v>
      </c>
      <c r="J212" s="6">
        <f ca="1">IF(ROW($J212)-1&lt;$K$1,$F212,AVERAGE($F212:OFFSET($F212,(($K$1-1)*-1),0)))</f>
        <v>195.90357142857144</v>
      </c>
      <c r="L212" s="7">
        <f t="shared" ca="1" si="18"/>
        <v>-1</v>
      </c>
      <c r="M212" s="7" t="str">
        <f t="shared" ca="1" si="19"/>
        <v/>
      </c>
      <c r="N212" s="6" t="str">
        <f t="shared" ca="1" si="20"/>
        <v/>
      </c>
      <c r="O212" s="6">
        <f t="shared" si="21"/>
        <v>1.25</v>
      </c>
      <c r="Q212" s="6">
        <v>-0.5</v>
      </c>
      <c r="R212" s="9">
        <f t="shared" si="22"/>
        <v>-187.5</v>
      </c>
      <c r="S212" s="7">
        <f t="shared" si="23"/>
        <v>-3843.7500000000209</v>
      </c>
    </row>
    <row r="213" spans="1:19" x14ac:dyDescent="0.25">
      <c r="A213" s="4">
        <f>Sheet1!A213</f>
        <v>39388</v>
      </c>
      <c r="B213" s="5">
        <f>Sheet1!B213</f>
        <v>0.58333333333333337</v>
      </c>
      <c r="C213" s="6">
        <f>Sheet1!C213</f>
        <v>188.15</v>
      </c>
      <c r="D213" s="6">
        <f>Sheet1!D213</f>
        <v>188.65</v>
      </c>
      <c r="E213" s="6">
        <f>Sheet1!E213</f>
        <v>184.65</v>
      </c>
      <c r="F213" s="6">
        <f>Sheet1!F213</f>
        <v>185.55</v>
      </c>
      <c r="H213" s="6">
        <f ca="1">IF(ROW($H213)-1&lt;$I$1,$F213,AVERAGE($F213:OFFSET($F213,(($I$1-1)*-1),0)))</f>
        <v>188.07500000000002</v>
      </c>
      <c r="J213" s="6">
        <f ca="1">IF(ROW($J213)-1&lt;$K$1,$F213,AVERAGE($F213:OFFSET($F213,(($K$1-1)*-1),0)))</f>
        <v>195.39642857142857</v>
      </c>
      <c r="L213" s="7">
        <f t="shared" ca="1" si="18"/>
        <v>-1</v>
      </c>
      <c r="M213" s="7" t="str">
        <f t="shared" ca="1" si="19"/>
        <v/>
      </c>
      <c r="N213" s="6" t="str">
        <f t="shared" ca="1" si="20"/>
        <v/>
      </c>
      <c r="O213" s="6">
        <f t="shared" si="21"/>
        <v>-3.6999999999999886</v>
      </c>
      <c r="Q213" s="6">
        <v>3.1999999999999886</v>
      </c>
      <c r="R213" s="9">
        <f t="shared" si="22"/>
        <v>1199.9999999999957</v>
      </c>
      <c r="S213" s="7">
        <f t="shared" si="23"/>
        <v>-3843.7500000000209</v>
      </c>
    </row>
    <row r="214" spans="1:19" x14ac:dyDescent="0.25">
      <c r="A214" s="4">
        <f>Sheet1!A214</f>
        <v>39391</v>
      </c>
      <c r="B214" s="5">
        <f>Sheet1!B214</f>
        <v>0.58333333333333337</v>
      </c>
      <c r="C214" s="6">
        <f>Sheet1!C214</f>
        <v>186.45</v>
      </c>
      <c r="D214" s="6">
        <f>Sheet1!D214</f>
        <v>187.05</v>
      </c>
      <c r="E214" s="6">
        <f>Sheet1!E214</f>
        <v>186.05</v>
      </c>
      <c r="F214" s="6">
        <f>Sheet1!F214</f>
        <v>186.6</v>
      </c>
      <c r="H214" s="6">
        <f ca="1">IF(ROW($H214)-1&lt;$I$1,$F214,AVERAGE($F214:OFFSET($F214,(($I$1-1)*-1),0)))</f>
        <v>187.82499999999996</v>
      </c>
      <c r="J214" s="6">
        <f ca="1">IF(ROW($J214)-1&lt;$K$1,$F214,AVERAGE($F214:OFFSET($F214,(($K$1-1)*-1),0)))</f>
        <v>195.08750000000003</v>
      </c>
      <c r="L214" s="7">
        <f t="shared" ca="1" si="18"/>
        <v>-1</v>
      </c>
      <c r="M214" s="7" t="str">
        <f t="shared" ca="1" si="19"/>
        <v/>
      </c>
      <c r="N214" s="6" t="str">
        <f t="shared" ca="1" si="20"/>
        <v/>
      </c>
      <c r="O214" s="6">
        <f t="shared" si="21"/>
        <v>1.0499999999999829</v>
      </c>
      <c r="Q214" s="6">
        <v>2.1500000000000057</v>
      </c>
      <c r="R214" s="9">
        <f t="shared" si="22"/>
        <v>806.25000000000216</v>
      </c>
      <c r="S214" s="7">
        <f t="shared" si="23"/>
        <v>-3843.7500000000209</v>
      </c>
    </row>
    <row r="215" spans="1:19" x14ac:dyDescent="0.25">
      <c r="A215" s="4">
        <f>Sheet1!A215</f>
        <v>39392</v>
      </c>
      <c r="B215" s="5">
        <f>Sheet1!B215</f>
        <v>0.58333333333333337</v>
      </c>
      <c r="C215" s="6">
        <f>Sheet1!C215</f>
        <v>187.35</v>
      </c>
      <c r="D215" s="6">
        <f>Sheet1!D215</f>
        <v>188.05</v>
      </c>
      <c r="E215" s="6">
        <f>Sheet1!E215</f>
        <v>186.45</v>
      </c>
      <c r="F215" s="6">
        <f>Sheet1!F215</f>
        <v>187.35</v>
      </c>
      <c r="H215" s="6">
        <f ca="1">IF(ROW($H215)-1&lt;$I$1,$F215,AVERAGE($F215:OFFSET($F215,(($I$1-1)*-1),0)))</f>
        <v>187.54999999999998</v>
      </c>
      <c r="J215" s="6">
        <f ca="1">IF(ROW($J215)-1&lt;$K$1,$F215,AVERAGE($F215:OFFSET($F215,(($K$1-1)*-1),0)))</f>
        <v>194.79821428571432</v>
      </c>
      <c r="L215" s="7">
        <f t="shared" ca="1" si="18"/>
        <v>-1</v>
      </c>
      <c r="M215" s="7" t="str">
        <f t="shared" ca="1" si="19"/>
        <v/>
      </c>
      <c r="N215" s="6" t="str">
        <f t="shared" ca="1" si="20"/>
        <v/>
      </c>
      <c r="O215" s="6">
        <f t="shared" si="21"/>
        <v>0.75</v>
      </c>
      <c r="Q215" s="6">
        <v>1.4000000000000057</v>
      </c>
      <c r="R215" s="9">
        <f t="shared" si="22"/>
        <v>525.00000000000216</v>
      </c>
      <c r="S215" s="7">
        <f t="shared" si="23"/>
        <v>-3843.7500000000209</v>
      </c>
    </row>
    <row r="216" spans="1:19" x14ac:dyDescent="0.25">
      <c r="A216" s="4">
        <f>Sheet1!A216</f>
        <v>39393</v>
      </c>
      <c r="B216" s="5">
        <f>Sheet1!B216</f>
        <v>0.58333333333333337</v>
      </c>
      <c r="C216" s="6">
        <f>Sheet1!C216</f>
        <v>188.75</v>
      </c>
      <c r="D216" s="6">
        <f>Sheet1!D216</f>
        <v>188.8</v>
      </c>
      <c r="E216" s="6">
        <f>Sheet1!E216</f>
        <v>186.95</v>
      </c>
      <c r="F216" s="6">
        <f>Sheet1!F216</f>
        <v>187.1</v>
      </c>
      <c r="H216" s="6">
        <f ca="1">IF(ROW($H216)-1&lt;$I$1,$F216,AVERAGE($F216:OFFSET($F216,(($I$1-1)*-1),0)))</f>
        <v>187.30833333333331</v>
      </c>
      <c r="J216" s="6">
        <f ca="1">IF(ROW($J216)-1&lt;$K$1,$F216,AVERAGE($F216:OFFSET($F216,(($K$1-1)*-1),0)))</f>
        <v>194.50535714285721</v>
      </c>
      <c r="L216" s="7">
        <f t="shared" ca="1" si="18"/>
        <v>-1</v>
      </c>
      <c r="M216" s="7" t="str">
        <f t="shared" ca="1" si="19"/>
        <v/>
      </c>
      <c r="N216" s="6" t="str">
        <f t="shared" ca="1" si="20"/>
        <v/>
      </c>
      <c r="O216" s="6">
        <f t="shared" si="21"/>
        <v>-0.25</v>
      </c>
      <c r="Q216" s="6">
        <v>1.6500000000000057</v>
      </c>
      <c r="R216" s="9">
        <f t="shared" si="22"/>
        <v>618.75000000000216</v>
      </c>
      <c r="S216" s="7">
        <f t="shared" si="23"/>
        <v>-3843.7500000000209</v>
      </c>
    </row>
    <row r="217" spans="1:19" x14ac:dyDescent="0.25">
      <c r="A217" s="4">
        <f>Sheet1!A217</f>
        <v>39394</v>
      </c>
      <c r="B217" s="5">
        <f>Sheet1!B217</f>
        <v>0.58333333333333337</v>
      </c>
      <c r="C217" s="6">
        <f>Sheet1!C217</f>
        <v>187.4</v>
      </c>
      <c r="D217" s="6">
        <f>Sheet1!D217</f>
        <v>189.35</v>
      </c>
      <c r="E217" s="6">
        <f>Sheet1!E217</f>
        <v>187.4</v>
      </c>
      <c r="F217" s="6">
        <f>Sheet1!F217</f>
        <v>188.55</v>
      </c>
      <c r="H217" s="6">
        <f ca="1">IF(ROW($H217)-1&lt;$I$1,$F217,AVERAGE($F217:OFFSET($F217,(($I$1-1)*-1),0)))</f>
        <v>187.4</v>
      </c>
      <c r="J217" s="6">
        <f ca="1">IF(ROW($J217)-1&lt;$K$1,$F217,AVERAGE($F217:OFFSET($F217,(($K$1-1)*-1),0)))</f>
        <v>194.0428571428572</v>
      </c>
      <c r="L217" s="7">
        <f t="shared" ca="1" si="18"/>
        <v>-1</v>
      </c>
      <c r="M217" s="7" t="str">
        <f t="shared" ca="1" si="19"/>
        <v/>
      </c>
      <c r="N217" s="6" t="str">
        <f t="shared" ca="1" si="20"/>
        <v/>
      </c>
      <c r="O217" s="6">
        <f t="shared" si="21"/>
        <v>1.4500000000000171</v>
      </c>
      <c r="Q217" s="6">
        <v>0.19999999999998863</v>
      </c>
      <c r="R217" s="9">
        <f t="shared" si="22"/>
        <v>74.999999999995737</v>
      </c>
      <c r="S217" s="7">
        <f t="shared" si="23"/>
        <v>-3843.7500000000209</v>
      </c>
    </row>
    <row r="218" spans="1:19" x14ac:dyDescent="0.25">
      <c r="A218" s="4">
        <f>Sheet1!A218</f>
        <v>39395</v>
      </c>
      <c r="B218" s="5">
        <f>Sheet1!B218</f>
        <v>0.58333333333333337</v>
      </c>
      <c r="C218" s="6">
        <f>Sheet1!C218</f>
        <v>189.15</v>
      </c>
      <c r="D218" s="6">
        <f>Sheet1!D218</f>
        <v>189.4</v>
      </c>
      <c r="E218" s="6">
        <f>Sheet1!E218</f>
        <v>188.05</v>
      </c>
      <c r="F218" s="6">
        <f>Sheet1!F218</f>
        <v>188.4</v>
      </c>
      <c r="H218" s="6">
        <f ca="1">IF(ROW($H218)-1&lt;$I$1,$F218,AVERAGE($F218:OFFSET($F218,(($I$1-1)*-1),0)))</f>
        <v>187.25833333333335</v>
      </c>
      <c r="J218" s="6">
        <f ca="1">IF(ROW($J218)-1&lt;$K$1,$F218,AVERAGE($F218:OFFSET($F218,(($K$1-1)*-1),0)))</f>
        <v>193.5946428571429</v>
      </c>
      <c r="L218" s="7">
        <f t="shared" ca="1" si="18"/>
        <v>-1</v>
      </c>
      <c r="M218" s="7" t="str">
        <f t="shared" ca="1" si="19"/>
        <v/>
      </c>
      <c r="N218" s="6" t="str">
        <f t="shared" ca="1" si="20"/>
        <v/>
      </c>
      <c r="O218" s="6">
        <f t="shared" si="21"/>
        <v>-0.15000000000000568</v>
      </c>
      <c r="Q218" s="6">
        <v>0.34999999999999432</v>
      </c>
      <c r="R218" s="9">
        <f t="shared" si="22"/>
        <v>131.24999999999787</v>
      </c>
      <c r="S218" s="7">
        <f t="shared" si="23"/>
        <v>-3843.7500000000209</v>
      </c>
    </row>
    <row r="219" spans="1:19" x14ac:dyDescent="0.25">
      <c r="A219" s="4">
        <f>Sheet1!A219</f>
        <v>39398</v>
      </c>
      <c r="B219" s="5">
        <f>Sheet1!B219</f>
        <v>0.58333333333333337</v>
      </c>
      <c r="C219" s="6">
        <f>Sheet1!C219</f>
        <v>191.65</v>
      </c>
      <c r="D219" s="6">
        <f>Sheet1!D219</f>
        <v>192.55</v>
      </c>
      <c r="E219" s="6">
        <f>Sheet1!E219</f>
        <v>189.3</v>
      </c>
      <c r="F219" s="6">
        <f>Sheet1!F219</f>
        <v>192.55</v>
      </c>
      <c r="H219" s="6">
        <f ca="1">IF(ROW($H219)-1&lt;$I$1,$F219,AVERAGE($F219:OFFSET($F219,(($I$1-1)*-1),0)))</f>
        <v>188.42499999999998</v>
      </c>
      <c r="J219" s="6">
        <f ca="1">IF(ROW($J219)-1&lt;$K$1,$F219,AVERAGE($F219:OFFSET($F219,(($K$1-1)*-1),0)))</f>
        <v>193.23928571428578</v>
      </c>
      <c r="L219" s="7">
        <f t="shared" ca="1" si="18"/>
        <v>-1</v>
      </c>
      <c r="M219" s="7" t="str">
        <f t="shared" ca="1" si="19"/>
        <v/>
      </c>
      <c r="N219" s="6" t="str">
        <f t="shared" ca="1" si="20"/>
        <v/>
      </c>
      <c r="O219" s="6">
        <f t="shared" si="21"/>
        <v>4.1500000000000057</v>
      </c>
      <c r="Q219" s="6">
        <v>-3.8000000000000114</v>
      </c>
      <c r="R219" s="9">
        <f t="shared" si="22"/>
        <v>-1425.0000000000043</v>
      </c>
      <c r="S219" s="7">
        <f t="shared" si="23"/>
        <v>-3843.7500000000209</v>
      </c>
    </row>
    <row r="220" spans="1:19" x14ac:dyDescent="0.25">
      <c r="A220" s="4">
        <f>Sheet1!A220</f>
        <v>39399</v>
      </c>
      <c r="B220" s="5">
        <f>Sheet1!B220</f>
        <v>0.58333333333333337</v>
      </c>
      <c r="C220" s="6">
        <f>Sheet1!C220</f>
        <v>194.35</v>
      </c>
      <c r="D220" s="6">
        <f>Sheet1!D220</f>
        <v>195.65</v>
      </c>
      <c r="E220" s="6">
        <f>Sheet1!E220</f>
        <v>193.25</v>
      </c>
      <c r="F220" s="6">
        <f>Sheet1!F220</f>
        <v>193.4</v>
      </c>
      <c r="H220" s="6">
        <f ca="1">IF(ROW($H220)-1&lt;$I$1,$F220,AVERAGE($F220:OFFSET($F220,(($I$1-1)*-1),0)))</f>
        <v>189.55833333333337</v>
      </c>
      <c r="J220" s="6">
        <f ca="1">IF(ROW($J220)-1&lt;$K$1,$F220,AVERAGE($F220:OFFSET($F220,(($K$1-1)*-1),0)))</f>
        <v>192.93750000000003</v>
      </c>
      <c r="L220" s="7">
        <f t="shared" ca="1" si="18"/>
        <v>-1</v>
      </c>
      <c r="M220" s="7" t="str">
        <f t="shared" ca="1" si="19"/>
        <v/>
      </c>
      <c r="N220" s="6" t="str">
        <f t="shared" ca="1" si="20"/>
        <v/>
      </c>
      <c r="O220" s="6">
        <f t="shared" si="21"/>
        <v>0.84999999999999432</v>
      </c>
      <c r="Q220" s="6">
        <v>-4.6500000000000057</v>
      </c>
      <c r="R220" s="9">
        <f t="shared" si="22"/>
        <v>-1743.750000000002</v>
      </c>
      <c r="S220" s="7">
        <f t="shared" si="23"/>
        <v>-3843.7500000000209</v>
      </c>
    </row>
    <row r="221" spans="1:19" x14ac:dyDescent="0.25">
      <c r="A221" s="4">
        <f>Sheet1!A221</f>
        <v>39400</v>
      </c>
      <c r="B221" s="5">
        <f>Sheet1!B221</f>
        <v>0.58333333333333337</v>
      </c>
      <c r="C221" s="6">
        <f>Sheet1!C221</f>
        <v>194.1</v>
      </c>
      <c r="D221" s="6">
        <f>Sheet1!D221</f>
        <v>195.15</v>
      </c>
      <c r="E221" s="6">
        <f>Sheet1!E221</f>
        <v>193.75</v>
      </c>
      <c r="F221" s="6">
        <f>Sheet1!F221</f>
        <v>194.95</v>
      </c>
      <c r="H221" s="6">
        <f ca="1">IF(ROW($H221)-1&lt;$I$1,$F221,AVERAGE($F221:OFFSET($F221,(($I$1-1)*-1),0)))</f>
        <v>190.82499999999996</v>
      </c>
      <c r="J221" s="6">
        <f ca="1">IF(ROW($J221)-1&lt;$K$1,$F221,AVERAGE($F221:OFFSET($F221,(($K$1-1)*-1),0)))</f>
        <v>192.62678571428572</v>
      </c>
      <c r="L221" s="7">
        <f t="shared" ca="1" si="18"/>
        <v>-1</v>
      </c>
      <c r="M221" s="7" t="str">
        <f t="shared" ca="1" si="19"/>
        <v/>
      </c>
      <c r="N221" s="6" t="str">
        <f t="shared" ca="1" si="20"/>
        <v/>
      </c>
      <c r="O221" s="6">
        <f t="shared" si="21"/>
        <v>1.5499999999999829</v>
      </c>
      <c r="Q221" s="6">
        <v>-6.1999999999999886</v>
      </c>
      <c r="R221" s="9">
        <f t="shared" si="22"/>
        <v>-2324.9999999999959</v>
      </c>
      <c r="S221" s="7">
        <f t="shared" si="23"/>
        <v>-3843.7500000000209</v>
      </c>
    </row>
    <row r="222" spans="1:19" x14ac:dyDescent="0.25">
      <c r="A222" s="4">
        <f>Sheet1!A222</f>
        <v>39401</v>
      </c>
      <c r="B222" s="5">
        <f>Sheet1!B222</f>
        <v>0.58333333333333337</v>
      </c>
      <c r="C222" s="6">
        <f>Sheet1!C222</f>
        <v>194.4</v>
      </c>
      <c r="D222" s="6">
        <f>Sheet1!D222</f>
        <v>196.65</v>
      </c>
      <c r="E222" s="6">
        <f>Sheet1!E222</f>
        <v>194.05</v>
      </c>
      <c r="F222" s="6">
        <f>Sheet1!F222</f>
        <v>195.55</v>
      </c>
      <c r="H222" s="6">
        <f ca="1">IF(ROW($H222)-1&lt;$I$1,$F222,AVERAGE($F222:OFFSET($F222,(($I$1-1)*-1),0)))</f>
        <v>192.23333333333332</v>
      </c>
      <c r="J222" s="6">
        <f ca="1">IF(ROW($J222)-1&lt;$K$1,$F222,AVERAGE($F222:OFFSET($F222,(($K$1-1)*-1),0)))</f>
        <v>192.27500000000001</v>
      </c>
      <c r="L222" s="7">
        <f t="shared" ca="1" si="18"/>
        <v>-1</v>
      </c>
      <c r="M222" s="7" t="str">
        <f t="shared" ca="1" si="19"/>
        <v/>
      </c>
      <c r="N222" s="6" t="str">
        <f t="shared" ca="1" si="20"/>
        <v/>
      </c>
      <c r="O222" s="6">
        <f t="shared" si="21"/>
        <v>0.60000000000002274</v>
      </c>
      <c r="Q222" s="6">
        <v>-6.8000000000000114</v>
      </c>
      <c r="R222" s="9">
        <f t="shared" si="22"/>
        <v>-2550.0000000000041</v>
      </c>
      <c r="S222" s="7">
        <f t="shared" si="23"/>
        <v>-3843.7500000000209</v>
      </c>
    </row>
    <row r="223" spans="1:19" x14ac:dyDescent="0.25">
      <c r="A223" s="4">
        <f>Sheet1!A223</f>
        <v>39402</v>
      </c>
      <c r="B223" s="5">
        <f>Sheet1!B223</f>
        <v>0.58333333333333337</v>
      </c>
      <c r="C223" s="6">
        <f>Sheet1!C223</f>
        <v>196.75</v>
      </c>
      <c r="D223" s="6">
        <f>Sheet1!D223</f>
        <v>196.75</v>
      </c>
      <c r="E223" s="6">
        <f>Sheet1!E223</f>
        <v>195.4</v>
      </c>
      <c r="F223" s="6">
        <f>Sheet1!F223</f>
        <v>195.7</v>
      </c>
      <c r="H223" s="6">
        <f ca="1">IF(ROW($H223)-1&lt;$I$1,$F223,AVERAGE($F223:OFFSET($F223,(($I$1-1)*-1),0)))</f>
        <v>193.42499999999998</v>
      </c>
      <c r="J223" s="6">
        <f ca="1">IF(ROW($J223)-1&lt;$K$1,$F223,AVERAGE($F223:OFFSET($F223,(($K$1-1)*-1),0)))</f>
        <v>192.10714285714283</v>
      </c>
      <c r="L223" s="7">
        <f t="shared" ca="1" si="18"/>
        <v>1</v>
      </c>
      <c r="M223" s="7">
        <f t="shared" ca="1" si="19"/>
        <v>1</v>
      </c>
      <c r="N223" s="6" t="str">
        <f t="shared" ca="1" si="20"/>
        <v/>
      </c>
      <c r="O223" s="6">
        <f t="shared" si="21"/>
        <v>0.14999999999997726</v>
      </c>
      <c r="Q223" s="6">
        <v>-6.9499999999999886</v>
      </c>
      <c r="R223" s="9">
        <f t="shared" si="22"/>
        <v>-2606.2499999999959</v>
      </c>
      <c r="S223" s="7">
        <f t="shared" si="23"/>
        <v>-3843.7500000000209</v>
      </c>
    </row>
    <row r="224" spans="1:19" x14ac:dyDescent="0.25">
      <c r="A224" s="4">
        <f>Sheet1!A224</f>
        <v>39405</v>
      </c>
      <c r="B224" s="5">
        <f>Sheet1!B224</f>
        <v>0.58333333333333337</v>
      </c>
      <c r="C224" s="6">
        <f>Sheet1!C224</f>
        <v>193.65</v>
      </c>
      <c r="D224" s="6">
        <f>Sheet1!D224</f>
        <v>193.65</v>
      </c>
      <c r="E224" s="6">
        <f>Sheet1!E224</f>
        <v>191.65</v>
      </c>
      <c r="F224" s="6">
        <f>Sheet1!F224</f>
        <v>192.5</v>
      </c>
      <c r="H224" s="6">
        <f ca="1">IF(ROW($H224)-1&lt;$I$1,$F224,AVERAGE($F224:OFFSET($F224,(($I$1-1)*-1),0)))</f>
        <v>194.10833333333335</v>
      </c>
      <c r="J224" s="6">
        <f ca="1">IF(ROW($J224)-1&lt;$K$1,$F224,AVERAGE($F224:OFFSET($F224,(($K$1-1)*-1),0)))</f>
        <v>191.83750000000001</v>
      </c>
      <c r="L224" s="7">
        <f t="shared" ca="1" si="18"/>
        <v>1</v>
      </c>
      <c r="M224" s="7" t="str">
        <f t="shared" ca="1" si="19"/>
        <v/>
      </c>
      <c r="N224" s="6">
        <f t="shared" ca="1" si="20"/>
        <v>193.65</v>
      </c>
      <c r="O224" s="6">
        <f t="shared" si="21"/>
        <v>-3.1999999999999886</v>
      </c>
      <c r="P224" s="6">
        <v>-4.9000000000000057</v>
      </c>
      <c r="Q224" s="6">
        <v>-1.1500000000000057</v>
      </c>
      <c r="R224" s="9">
        <f t="shared" si="22"/>
        <v>-431.25000000000216</v>
      </c>
      <c r="S224" s="7">
        <f t="shared" si="23"/>
        <v>-5681.2500000000227</v>
      </c>
    </row>
    <row r="225" spans="1:19" x14ac:dyDescent="0.25">
      <c r="A225" s="4">
        <f>Sheet1!A225</f>
        <v>39406</v>
      </c>
      <c r="B225" s="5">
        <f>Sheet1!B225</f>
        <v>0.58333333333333337</v>
      </c>
      <c r="C225" s="6">
        <f>Sheet1!C225</f>
        <v>193.6</v>
      </c>
      <c r="D225" s="6">
        <f>Sheet1!D225</f>
        <v>195.05</v>
      </c>
      <c r="E225" s="6">
        <f>Sheet1!E225</f>
        <v>193.6</v>
      </c>
      <c r="F225" s="6">
        <f>Sheet1!F225</f>
        <v>194.4</v>
      </c>
      <c r="H225" s="6">
        <f ca="1">IF(ROW($H225)-1&lt;$I$1,$F225,AVERAGE($F225:OFFSET($F225,(($I$1-1)*-1),0)))</f>
        <v>194.41666666666671</v>
      </c>
      <c r="J225" s="6">
        <f ca="1">IF(ROW($J225)-1&lt;$K$1,$F225,AVERAGE($F225:OFFSET($F225,(($K$1-1)*-1),0)))</f>
        <v>191.46250000000001</v>
      </c>
      <c r="L225" s="7">
        <f t="shared" ca="1" si="18"/>
        <v>1</v>
      </c>
      <c r="M225" s="7" t="str">
        <f t="shared" ca="1" si="19"/>
        <v/>
      </c>
      <c r="N225" s="6" t="str">
        <f t="shared" ca="1" si="20"/>
        <v/>
      </c>
      <c r="O225" s="6">
        <f t="shared" si="21"/>
        <v>1.9000000000000057</v>
      </c>
      <c r="Q225" s="6">
        <v>0.75</v>
      </c>
      <c r="R225" s="9">
        <f t="shared" si="22"/>
        <v>281.25</v>
      </c>
      <c r="S225" s="7">
        <f t="shared" si="23"/>
        <v>-5681.2500000000227</v>
      </c>
    </row>
    <row r="226" spans="1:19" x14ac:dyDescent="0.25">
      <c r="A226" s="4">
        <f>Sheet1!A226</f>
        <v>39407</v>
      </c>
      <c r="B226" s="5">
        <f>Sheet1!B226</f>
        <v>0.58333333333333337</v>
      </c>
      <c r="C226" s="6">
        <f>Sheet1!C226</f>
        <v>194.15</v>
      </c>
      <c r="D226" s="6">
        <f>Sheet1!D226</f>
        <v>194.45</v>
      </c>
      <c r="E226" s="6">
        <f>Sheet1!E226</f>
        <v>192.75</v>
      </c>
      <c r="F226" s="6">
        <f>Sheet1!F226</f>
        <v>193.25</v>
      </c>
      <c r="H226" s="6">
        <f ca="1">IF(ROW($H226)-1&lt;$I$1,$F226,AVERAGE($F226:OFFSET($F226,(($I$1-1)*-1),0)))</f>
        <v>194.39166666666665</v>
      </c>
      <c r="J226" s="6">
        <f ca="1">IF(ROW($J226)-1&lt;$K$1,$F226,AVERAGE($F226:OFFSET($F226,(($K$1-1)*-1),0)))</f>
        <v>191.00892857142858</v>
      </c>
      <c r="L226" s="7">
        <f t="shared" ca="1" si="18"/>
        <v>1</v>
      </c>
      <c r="M226" s="7" t="str">
        <f t="shared" ca="1" si="19"/>
        <v/>
      </c>
      <c r="N226" s="6" t="str">
        <f t="shared" ca="1" si="20"/>
        <v/>
      </c>
      <c r="O226" s="6">
        <f t="shared" si="21"/>
        <v>-1.1500000000000057</v>
      </c>
      <c r="Q226" s="6">
        <v>-0.40000000000000568</v>
      </c>
      <c r="R226" s="9">
        <f t="shared" si="22"/>
        <v>-150.00000000000213</v>
      </c>
      <c r="S226" s="7">
        <f t="shared" si="23"/>
        <v>-5681.2500000000227</v>
      </c>
    </row>
    <row r="227" spans="1:19" x14ac:dyDescent="0.25">
      <c r="A227" s="4">
        <f>Sheet1!A227</f>
        <v>39412</v>
      </c>
      <c r="B227" s="5">
        <f>Sheet1!B227</f>
        <v>0.58333333333333337</v>
      </c>
      <c r="C227" s="6">
        <f>Sheet1!C227</f>
        <v>193.15</v>
      </c>
      <c r="D227" s="6">
        <f>Sheet1!D227</f>
        <v>193.45</v>
      </c>
      <c r="E227" s="6">
        <f>Sheet1!E227</f>
        <v>192.15</v>
      </c>
      <c r="F227" s="6">
        <f>Sheet1!F227</f>
        <v>192.25</v>
      </c>
      <c r="H227" s="6">
        <f ca="1">IF(ROW($H227)-1&lt;$I$1,$F227,AVERAGE($F227:OFFSET($F227,(($I$1-1)*-1),0)))</f>
        <v>193.94166666666669</v>
      </c>
      <c r="J227" s="6">
        <f ca="1">IF(ROW($J227)-1&lt;$K$1,$F227,AVERAGE($F227:OFFSET($F227,(($K$1-1)*-1),0)))</f>
        <v>190.85</v>
      </c>
      <c r="L227" s="7">
        <f t="shared" ca="1" si="18"/>
        <v>1</v>
      </c>
      <c r="M227" s="7" t="str">
        <f t="shared" ca="1" si="19"/>
        <v/>
      </c>
      <c r="N227" s="6" t="str">
        <f t="shared" ca="1" si="20"/>
        <v/>
      </c>
      <c r="O227" s="6">
        <f t="shared" si="21"/>
        <v>-1</v>
      </c>
      <c r="Q227" s="6">
        <v>-1.4000000000000057</v>
      </c>
      <c r="R227" s="9">
        <f t="shared" si="22"/>
        <v>-525.00000000000216</v>
      </c>
      <c r="S227" s="7">
        <f t="shared" si="23"/>
        <v>-5681.2500000000227</v>
      </c>
    </row>
    <row r="228" spans="1:19" x14ac:dyDescent="0.25">
      <c r="A228" s="4">
        <f>Sheet1!A228</f>
        <v>39413</v>
      </c>
      <c r="B228" s="5">
        <f>Sheet1!B228</f>
        <v>0.58333333333333337</v>
      </c>
      <c r="C228" s="6">
        <f>Sheet1!C228</f>
        <v>191.75</v>
      </c>
      <c r="D228" s="6">
        <f>Sheet1!D228</f>
        <v>192.25</v>
      </c>
      <c r="E228" s="6">
        <f>Sheet1!E228</f>
        <v>190.25</v>
      </c>
      <c r="F228" s="6">
        <f>Sheet1!F228</f>
        <v>192.25</v>
      </c>
      <c r="H228" s="6">
        <f ca="1">IF(ROW($H228)-1&lt;$I$1,$F228,AVERAGE($F228:OFFSET($F228,(($I$1-1)*-1),0)))</f>
        <v>193.39166666666665</v>
      </c>
      <c r="J228" s="6">
        <f ca="1">IF(ROW($J228)-1&lt;$K$1,$F228,AVERAGE($F228:OFFSET($F228,(($K$1-1)*-1),0)))</f>
        <v>190.75892857142853</v>
      </c>
      <c r="L228" s="7">
        <f t="shared" ca="1" si="18"/>
        <v>1</v>
      </c>
      <c r="M228" s="7" t="str">
        <f t="shared" ca="1" si="19"/>
        <v/>
      </c>
      <c r="N228" s="6" t="str">
        <f t="shared" ca="1" si="20"/>
        <v/>
      </c>
      <c r="O228" s="6">
        <f t="shared" si="21"/>
        <v>0</v>
      </c>
      <c r="Q228" s="6">
        <v>-1.4000000000000057</v>
      </c>
      <c r="R228" s="9">
        <f t="shared" si="22"/>
        <v>-525.00000000000216</v>
      </c>
      <c r="S228" s="7">
        <f t="shared" si="23"/>
        <v>-5681.2500000000227</v>
      </c>
    </row>
    <row r="229" spans="1:19" x14ac:dyDescent="0.25">
      <c r="A229" s="4">
        <f>Sheet1!A229</f>
        <v>39414</v>
      </c>
      <c r="B229" s="5">
        <f>Sheet1!B229</f>
        <v>0.58333333333333337</v>
      </c>
      <c r="C229" s="6">
        <f>Sheet1!C229</f>
        <v>193.9</v>
      </c>
      <c r="D229" s="6">
        <f>Sheet1!D229</f>
        <v>197.65</v>
      </c>
      <c r="E229" s="6">
        <f>Sheet1!E229</f>
        <v>193.9</v>
      </c>
      <c r="F229" s="6">
        <f>Sheet1!F229</f>
        <v>195.6</v>
      </c>
      <c r="H229" s="6">
        <f ca="1">IF(ROW($H229)-1&lt;$I$1,$F229,AVERAGE($F229:OFFSET($F229,(($I$1-1)*-1),0)))</f>
        <v>193.375</v>
      </c>
      <c r="J229" s="6">
        <f ca="1">IF(ROW($J229)-1&lt;$K$1,$F229,AVERAGE($F229:OFFSET($F229,(($K$1-1)*-1),0)))</f>
        <v>190.73750000000001</v>
      </c>
      <c r="L229" s="7">
        <f t="shared" ca="1" si="18"/>
        <v>1</v>
      </c>
      <c r="M229" s="7" t="str">
        <f t="shared" ca="1" si="19"/>
        <v/>
      </c>
      <c r="N229" s="6" t="str">
        <f t="shared" ca="1" si="20"/>
        <v/>
      </c>
      <c r="O229" s="6">
        <f t="shared" si="21"/>
        <v>3.3499999999999943</v>
      </c>
      <c r="Q229" s="6">
        <v>1.9499999999999886</v>
      </c>
      <c r="R229" s="9">
        <f t="shared" si="22"/>
        <v>731.24999999999568</v>
      </c>
      <c r="S229" s="7">
        <f t="shared" si="23"/>
        <v>-5681.2500000000227</v>
      </c>
    </row>
    <row r="230" spans="1:19" x14ac:dyDescent="0.25">
      <c r="A230" s="4">
        <f>Sheet1!A230</f>
        <v>39415</v>
      </c>
      <c r="B230" s="5">
        <f>Sheet1!B230</f>
        <v>0.58333333333333337</v>
      </c>
      <c r="C230" s="6">
        <f>Sheet1!C230</f>
        <v>195.65</v>
      </c>
      <c r="D230" s="6">
        <f>Sheet1!D230</f>
        <v>196.55</v>
      </c>
      <c r="E230" s="6">
        <f>Sheet1!E230</f>
        <v>195.05</v>
      </c>
      <c r="F230" s="6">
        <f>Sheet1!F230</f>
        <v>195.2</v>
      </c>
      <c r="H230" s="6">
        <f ca="1">IF(ROW($H230)-1&lt;$I$1,$F230,AVERAGE($F230:OFFSET($F230,(($I$1-1)*-1),0)))</f>
        <v>193.82500000000002</v>
      </c>
      <c r="J230" s="6">
        <f ca="1">IF(ROW($J230)-1&lt;$K$1,$F230,AVERAGE($F230:OFFSET($F230,(($K$1-1)*-1),0)))</f>
        <v>190.85</v>
      </c>
      <c r="L230" s="7">
        <f t="shared" ca="1" si="18"/>
        <v>1</v>
      </c>
      <c r="M230" s="7" t="str">
        <f t="shared" ca="1" si="19"/>
        <v/>
      </c>
      <c r="N230" s="6" t="str">
        <f t="shared" ca="1" si="20"/>
        <v/>
      </c>
      <c r="O230" s="6">
        <f t="shared" si="21"/>
        <v>-0.40000000000000568</v>
      </c>
      <c r="Q230" s="6">
        <v>1.5499999999999829</v>
      </c>
      <c r="R230" s="9">
        <f t="shared" si="22"/>
        <v>581.24999999999363</v>
      </c>
      <c r="S230" s="7">
        <f t="shared" si="23"/>
        <v>-5681.2500000000227</v>
      </c>
    </row>
    <row r="231" spans="1:19" x14ac:dyDescent="0.25">
      <c r="A231" s="4">
        <f>Sheet1!A231</f>
        <v>39416</v>
      </c>
      <c r="B231" s="5">
        <f>Sheet1!B231</f>
        <v>0.58333333333333337</v>
      </c>
      <c r="C231" s="6">
        <f>Sheet1!C231</f>
        <v>196.55</v>
      </c>
      <c r="D231" s="6">
        <f>Sheet1!D231</f>
        <v>198.15</v>
      </c>
      <c r="E231" s="6">
        <f>Sheet1!E231</f>
        <v>194.4</v>
      </c>
      <c r="F231" s="6">
        <f>Sheet1!F231</f>
        <v>195.85</v>
      </c>
      <c r="H231" s="6">
        <f ca="1">IF(ROW($H231)-1&lt;$I$1,$F231,AVERAGE($F231:OFFSET($F231,(($I$1-1)*-1),0)))</f>
        <v>194.06666666666663</v>
      </c>
      <c r="J231" s="6">
        <f ca="1">IF(ROW($J231)-1&lt;$K$1,$F231,AVERAGE($F231:OFFSET($F231,(($K$1-1)*-1),0)))</f>
        <v>191.00000000000003</v>
      </c>
      <c r="L231" s="7">
        <f t="shared" ca="1" si="18"/>
        <v>1</v>
      </c>
      <c r="M231" s="7" t="str">
        <f t="shared" ca="1" si="19"/>
        <v/>
      </c>
      <c r="N231" s="6" t="str">
        <f t="shared" ca="1" si="20"/>
        <v/>
      </c>
      <c r="O231" s="6">
        <f t="shared" si="21"/>
        <v>0.65000000000000568</v>
      </c>
      <c r="Q231" s="6">
        <v>2.1999999999999886</v>
      </c>
      <c r="R231" s="9">
        <f t="shared" si="22"/>
        <v>824.99999999999568</v>
      </c>
      <c r="S231" s="7">
        <f t="shared" si="23"/>
        <v>-5681.2500000000227</v>
      </c>
    </row>
    <row r="232" spans="1:19" x14ac:dyDescent="0.25">
      <c r="A232" s="4">
        <f>Sheet1!A232</f>
        <v>39419</v>
      </c>
      <c r="B232" s="5">
        <f>Sheet1!B232</f>
        <v>0.58333333333333337</v>
      </c>
      <c r="C232" s="6">
        <f>Sheet1!C232</f>
        <v>195.35</v>
      </c>
      <c r="D232" s="6">
        <f>Sheet1!D232</f>
        <v>197.65</v>
      </c>
      <c r="E232" s="6">
        <f>Sheet1!E232</f>
        <v>195.25</v>
      </c>
      <c r="F232" s="6">
        <f>Sheet1!F232</f>
        <v>196.6</v>
      </c>
      <c r="H232" s="6">
        <f ca="1">IF(ROW($H232)-1&lt;$I$1,$F232,AVERAGE($F232:OFFSET($F232,(($I$1-1)*-1),0)))</f>
        <v>194.625</v>
      </c>
      <c r="J232" s="6">
        <f ca="1">IF(ROW($J232)-1&lt;$K$1,$F232,AVERAGE($F232:OFFSET($F232,(($K$1-1)*-1),0)))</f>
        <v>191.22857142857146</v>
      </c>
      <c r="L232" s="7">
        <f t="shared" ca="1" si="18"/>
        <v>1</v>
      </c>
      <c r="M232" s="7" t="str">
        <f t="shared" ca="1" si="19"/>
        <v/>
      </c>
      <c r="N232" s="6" t="str">
        <f t="shared" ca="1" si="20"/>
        <v/>
      </c>
      <c r="O232" s="6">
        <f t="shared" si="21"/>
        <v>0.75</v>
      </c>
      <c r="Q232" s="6">
        <v>2.9499999999999886</v>
      </c>
      <c r="R232" s="9">
        <f t="shared" si="22"/>
        <v>1106.2499999999957</v>
      </c>
      <c r="S232" s="7">
        <f t="shared" si="23"/>
        <v>-5681.2500000000227</v>
      </c>
    </row>
    <row r="233" spans="1:19" x14ac:dyDescent="0.25">
      <c r="A233" s="4">
        <f>Sheet1!A233</f>
        <v>39420</v>
      </c>
      <c r="B233" s="5">
        <f>Sheet1!B233</f>
        <v>0.58333333333333337</v>
      </c>
      <c r="C233" s="6">
        <f>Sheet1!C233</f>
        <v>197.3</v>
      </c>
      <c r="D233" s="6">
        <f>Sheet1!D233</f>
        <v>197.65</v>
      </c>
      <c r="E233" s="6">
        <f>Sheet1!E233</f>
        <v>196.5</v>
      </c>
      <c r="F233" s="6">
        <f>Sheet1!F233</f>
        <v>197.25</v>
      </c>
      <c r="H233" s="6">
        <f ca="1">IF(ROW($H233)-1&lt;$I$1,$F233,AVERAGE($F233:OFFSET($F233,(($I$1-1)*-1),0)))</f>
        <v>195.45833333333334</v>
      </c>
      <c r="J233" s="6">
        <f ca="1">IF(ROW($J233)-1&lt;$K$1,$F233,AVERAGE($F233:OFFSET($F233,(($K$1-1)*-1),0)))</f>
        <v>191.46964285714287</v>
      </c>
      <c r="L233" s="7">
        <f t="shared" ca="1" si="18"/>
        <v>1</v>
      </c>
      <c r="M233" s="7" t="str">
        <f t="shared" ca="1" si="19"/>
        <v/>
      </c>
      <c r="N233" s="6" t="str">
        <f t="shared" ca="1" si="20"/>
        <v/>
      </c>
      <c r="O233" s="6">
        <f t="shared" si="21"/>
        <v>0.65000000000000568</v>
      </c>
      <c r="Q233" s="6">
        <v>3.5999999999999943</v>
      </c>
      <c r="R233" s="9">
        <f t="shared" si="22"/>
        <v>1349.999999999998</v>
      </c>
      <c r="S233" s="7">
        <f t="shared" si="23"/>
        <v>-5681.2500000000227</v>
      </c>
    </row>
    <row r="234" spans="1:19" x14ac:dyDescent="0.25">
      <c r="A234" s="4">
        <f>Sheet1!A234</f>
        <v>39421</v>
      </c>
      <c r="B234" s="5">
        <f>Sheet1!B234</f>
        <v>0.58333333333333337</v>
      </c>
      <c r="C234" s="6">
        <f>Sheet1!C234</f>
        <v>196.75</v>
      </c>
      <c r="D234" s="6">
        <f>Sheet1!D234</f>
        <v>198.15</v>
      </c>
      <c r="E234" s="6">
        <f>Sheet1!E234</f>
        <v>196.75</v>
      </c>
      <c r="F234" s="6">
        <f>Sheet1!F234</f>
        <v>197.8</v>
      </c>
      <c r="H234" s="6">
        <f ca="1">IF(ROW($H234)-1&lt;$I$1,$F234,AVERAGE($F234:OFFSET($F234,(($I$1-1)*-1),0)))</f>
        <v>196.38333333333333</v>
      </c>
      <c r="J234" s="6">
        <f ca="1">IF(ROW($J234)-1&lt;$K$1,$F234,AVERAGE($F234:OFFSET($F234,(($K$1-1)*-1),0)))</f>
        <v>191.74285714285719</v>
      </c>
      <c r="L234" s="7">
        <f t="shared" ca="1" si="18"/>
        <v>1</v>
      </c>
      <c r="M234" s="7" t="str">
        <f t="shared" ca="1" si="19"/>
        <v/>
      </c>
      <c r="N234" s="6" t="str">
        <f t="shared" ca="1" si="20"/>
        <v/>
      </c>
      <c r="O234" s="6">
        <f t="shared" si="21"/>
        <v>0.55000000000001137</v>
      </c>
      <c r="Q234" s="6">
        <v>4.1500000000000057</v>
      </c>
      <c r="R234" s="9">
        <f t="shared" si="22"/>
        <v>1556.250000000002</v>
      </c>
      <c r="S234" s="7">
        <f t="shared" si="23"/>
        <v>-5681.2500000000227</v>
      </c>
    </row>
    <row r="235" spans="1:19" x14ac:dyDescent="0.25">
      <c r="A235" s="4">
        <f>Sheet1!A235</f>
        <v>39422</v>
      </c>
      <c r="B235" s="5">
        <f>Sheet1!B235</f>
        <v>0.58333333333333337</v>
      </c>
      <c r="C235" s="6">
        <f>Sheet1!C235</f>
        <v>196.75</v>
      </c>
      <c r="D235" s="6">
        <f>Sheet1!D235</f>
        <v>197.15</v>
      </c>
      <c r="E235" s="6">
        <f>Sheet1!E235</f>
        <v>194.95</v>
      </c>
      <c r="F235" s="6">
        <f>Sheet1!F235</f>
        <v>195.7</v>
      </c>
      <c r="H235" s="6">
        <f ca="1">IF(ROW($H235)-1&lt;$I$1,$F235,AVERAGE($F235:OFFSET($F235,(($I$1-1)*-1),0)))</f>
        <v>196.4</v>
      </c>
      <c r="J235" s="6">
        <f ca="1">IF(ROW($J235)-1&lt;$K$1,$F235,AVERAGE($F235:OFFSET($F235,(($K$1-1)*-1),0)))</f>
        <v>192.04464285714289</v>
      </c>
      <c r="L235" s="7">
        <f t="shared" ca="1" si="18"/>
        <v>1</v>
      </c>
      <c r="M235" s="7" t="str">
        <f t="shared" ca="1" si="19"/>
        <v/>
      </c>
      <c r="N235" s="6" t="str">
        <f t="shared" ca="1" si="20"/>
        <v/>
      </c>
      <c r="O235" s="6">
        <f t="shared" si="21"/>
        <v>-2.1000000000000227</v>
      </c>
      <c r="Q235" s="6">
        <v>2.0499999999999829</v>
      </c>
      <c r="R235" s="9">
        <f t="shared" si="22"/>
        <v>768.74999999999363</v>
      </c>
      <c r="S235" s="7">
        <f t="shared" si="23"/>
        <v>-5681.2500000000227</v>
      </c>
    </row>
    <row r="236" spans="1:19" x14ac:dyDescent="0.25">
      <c r="A236" s="4">
        <f>Sheet1!A236</f>
        <v>39423</v>
      </c>
      <c r="B236" s="5">
        <f>Sheet1!B236</f>
        <v>0.58333333333333337</v>
      </c>
      <c r="C236" s="6">
        <f>Sheet1!C236</f>
        <v>196.05</v>
      </c>
      <c r="D236" s="6">
        <f>Sheet1!D236</f>
        <v>198.05</v>
      </c>
      <c r="E236" s="6">
        <f>Sheet1!E236</f>
        <v>195.55</v>
      </c>
      <c r="F236" s="6">
        <f>Sheet1!F236</f>
        <v>197.8</v>
      </c>
      <c r="H236" s="6">
        <f ca="1">IF(ROW($H236)-1&lt;$I$1,$F236,AVERAGE($F236:OFFSET($F236,(($I$1-1)*-1),0)))</f>
        <v>196.83333333333334</v>
      </c>
      <c r="J236" s="6">
        <f ca="1">IF(ROW($J236)-1&lt;$K$1,$F236,AVERAGE($F236:OFFSET($F236,(($K$1-1)*-1),0)))</f>
        <v>192.39107142857145</v>
      </c>
      <c r="L236" s="7">
        <f t="shared" ca="1" si="18"/>
        <v>1</v>
      </c>
      <c r="M236" s="7" t="str">
        <f t="shared" ca="1" si="19"/>
        <v/>
      </c>
      <c r="N236" s="6" t="str">
        <f t="shared" ca="1" si="20"/>
        <v/>
      </c>
      <c r="O236" s="6">
        <f t="shared" si="21"/>
        <v>2.1000000000000227</v>
      </c>
      <c r="Q236" s="6">
        <v>4.1500000000000057</v>
      </c>
      <c r="R236" s="9">
        <f t="shared" si="22"/>
        <v>1556.250000000002</v>
      </c>
      <c r="S236" s="7">
        <f t="shared" si="23"/>
        <v>-5681.2500000000227</v>
      </c>
    </row>
    <row r="237" spans="1:19" x14ac:dyDescent="0.25">
      <c r="A237" s="4">
        <f>Sheet1!A237</f>
        <v>39426</v>
      </c>
      <c r="B237" s="5">
        <f>Sheet1!B237</f>
        <v>0.58333333333333337</v>
      </c>
      <c r="C237" s="6">
        <f>Sheet1!C237</f>
        <v>197.35</v>
      </c>
      <c r="D237" s="6">
        <f>Sheet1!D237</f>
        <v>200.45</v>
      </c>
      <c r="E237" s="6">
        <f>Sheet1!E237</f>
        <v>197.35</v>
      </c>
      <c r="F237" s="6">
        <f>Sheet1!F237</f>
        <v>200.15</v>
      </c>
      <c r="H237" s="6">
        <f ca="1">IF(ROW($H237)-1&lt;$I$1,$F237,AVERAGE($F237:OFFSET($F237,(($I$1-1)*-1),0)))</f>
        <v>197.55000000000004</v>
      </c>
      <c r="J237" s="6">
        <f ca="1">IF(ROW($J237)-1&lt;$K$1,$F237,AVERAGE($F237:OFFSET($F237,(($K$1-1)*-1),0)))</f>
        <v>192.78928571428568</v>
      </c>
      <c r="L237" s="7">
        <f t="shared" ca="1" si="18"/>
        <v>1</v>
      </c>
      <c r="M237" s="7" t="str">
        <f t="shared" ca="1" si="19"/>
        <v/>
      </c>
      <c r="N237" s="6" t="str">
        <f t="shared" ca="1" si="20"/>
        <v/>
      </c>
      <c r="O237" s="6">
        <f t="shared" si="21"/>
        <v>2.3499999999999943</v>
      </c>
      <c r="Q237" s="6">
        <v>6.5</v>
      </c>
      <c r="R237" s="9">
        <f t="shared" si="22"/>
        <v>2437.5</v>
      </c>
      <c r="S237" s="7">
        <f t="shared" si="23"/>
        <v>-5681.2500000000227</v>
      </c>
    </row>
    <row r="238" spans="1:19" x14ac:dyDescent="0.25">
      <c r="A238" s="4">
        <f>Sheet1!A238</f>
        <v>39427</v>
      </c>
      <c r="B238" s="5">
        <f>Sheet1!B238</f>
        <v>0.58333333333333337</v>
      </c>
      <c r="C238" s="6">
        <f>Sheet1!C238</f>
        <v>201.65</v>
      </c>
      <c r="D238" s="6">
        <f>Sheet1!D238</f>
        <v>201.65</v>
      </c>
      <c r="E238" s="6">
        <f>Sheet1!E238</f>
        <v>199.8</v>
      </c>
      <c r="F238" s="6">
        <f>Sheet1!F238</f>
        <v>200.15</v>
      </c>
      <c r="H238" s="6">
        <f ca="1">IF(ROW($H238)-1&lt;$I$1,$F238,AVERAGE($F238:OFFSET($F238,(($I$1-1)*-1),0)))</f>
        <v>198.14166666666665</v>
      </c>
      <c r="J238" s="6">
        <f ca="1">IF(ROW($J238)-1&lt;$K$1,$F238,AVERAGE($F238:OFFSET($F238,(($K$1-1)*-1),0)))</f>
        <v>193.20357142857139</v>
      </c>
      <c r="L238" s="7">
        <f t="shared" ca="1" si="18"/>
        <v>1</v>
      </c>
      <c r="M238" s="7" t="str">
        <f t="shared" ca="1" si="19"/>
        <v/>
      </c>
      <c r="N238" s="6" t="str">
        <f t="shared" ca="1" si="20"/>
        <v/>
      </c>
      <c r="O238" s="6">
        <f t="shared" si="21"/>
        <v>0</v>
      </c>
      <c r="Q238" s="6">
        <v>6.5</v>
      </c>
      <c r="R238" s="9">
        <f t="shared" si="22"/>
        <v>2437.5</v>
      </c>
      <c r="S238" s="7">
        <f t="shared" si="23"/>
        <v>-5681.2500000000227</v>
      </c>
    </row>
    <row r="239" spans="1:19" x14ac:dyDescent="0.25">
      <c r="A239" s="4">
        <f>Sheet1!A239</f>
        <v>39428</v>
      </c>
      <c r="B239" s="5">
        <f>Sheet1!B239</f>
        <v>0.58333333333333337</v>
      </c>
      <c r="C239" s="6">
        <f>Sheet1!C239</f>
        <v>200.65</v>
      </c>
      <c r="D239" s="6">
        <f>Sheet1!D239</f>
        <v>201.15</v>
      </c>
      <c r="E239" s="6">
        <f>Sheet1!E239</f>
        <v>200.15</v>
      </c>
      <c r="F239" s="6">
        <f>Sheet1!F239</f>
        <v>200.8</v>
      </c>
      <c r="H239" s="6">
        <f ca="1">IF(ROW($H239)-1&lt;$I$1,$F239,AVERAGE($F239:OFFSET($F239,(($I$1-1)*-1),0)))</f>
        <v>198.73333333333332</v>
      </c>
      <c r="J239" s="6">
        <f ca="1">IF(ROW($J239)-1&lt;$K$1,$F239,AVERAGE($F239:OFFSET($F239,(($K$1-1)*-1),0)))</f>
        <v>193.66071428571428</v>
      </c>
      <c r="L239" s="7">
        <f t="shared" ca="1" si="18"/>
        <v>1</v>
      </c>
      <c r="M239" s="7" t="str">
        <f t="shared" ca="1" si="19"/>
        <v/>
      </c>
      <c r="N239" s="6" t="str">
        <f t="shared" ca="1" si="20"/>
        <v/>
      </c>
      <c r="O239" s="6">
        <f t="shared" si="21"/>
        <v>0.65000000000000568</v>
      </c>
      <c r="Q239" s="6">
        <v>7.1500000000000057</v>
      </c>
      <c r="R239" s="9">
        <f t="shared" si="22"/>
        <v>2681.2500000000023</v>
      </c>
      <c r="S239" s="7">
        <f t="shared" si="23"/>
        <v>-5681.2500000000227</v>
      </c>
    </row>
    <row r="240" spans="1:19" x14ac:dyDescent="0.25">
      <c r="A240" s="4">
        <f>Sheet1!A240</f>
        <v>39429</v>
      </c>
      <c r="B240" s="5">
        <f>Sheet1!B240</f>
        <v>0.58333333333333337</v>
      </c>
      <c r="C240" s="6">
        <f>Sheet1!C240</f>
        <v>201.15</v>
      </c>
      <c r="D240" s="6">
        <f>Sheet1!D240</f>
        <v>201.45</v>
      </c>
      <c r="E240" s="6">
        <f>Sheet1!E240</f>
        <v>198.85</v>
      </c>
      <c r="F240" s="6">
        <f>Sheet1!F240</f>
        <v>200.05</v>
      </c>
      <c r="H240" s="6">
        <f ca="1">IF(ROW($H240)-1&lt;$I$1,$F240,AVERAGE($F240:OFFSET($F240,(($I$1-1)*-1),0)))</f>
        <v>199.10833333333332</v>
      </c>
      <c r="J240" s="6">
        <f ca="1">IF(ROW($J240)-1&lt;$K$1,$F240,AVERAGE($F240:OFFSET($F240,(($K$1-1)*-1),0)))</f>
        <v>194.04642857142855</v>
      </c>
      <c r="L240" s="7">
        <f t="shared" ca="1" si="18"/>
        <v>1</v>
      </c>
      <c r="M240" s="7" t="str">
        <f t="shared" ca="1" si="19"/>
        <v/>
      </c>
      <c r="N240" s="6" t="str">
        <f t="shared" ca="1" si="20"/>
        <v/>
      </c>
      <c r="O240" s="6">
        <f t="shared" si="21"/>
        <v>-0.75</v>
      </c>
      <c r="Q240" s="6">
        <v>6.4000000000000057</v>
      </c>
      <c r="R240" s="9">
        <f t="shared" si="22"/>
        <v>2400.0000000000023</v>
      </c>
      <c r="S240" s="7">
        <f t="shared" si="23"/>
        <v>-5681.2500000000227</v>
      </c>
    </row>
    <row r="241" spans="1:19" x14ac:dyDescent="0.25">
      <c r="A241" s="4">
        <f>Sheet1!A241</f>
        <v>39430</v>
      </c>
      <c r="B241" s="5">
        <f>Sheet1!B241</f>
        <v>0.58333333333333337</v>
      </c>
      <c r="C241" s="6">
        <f>Sheet1!C241</f>
        <v>200.15</v>
      </c>
      <c r="D241" s="6">
        <f>Sheet1!D241</f>
        <v>200.8</v>
      </c>
      <c r="E241" s="6">
        <f>Sheet1!E241</f>
        <v>199.35</v>
      </c>
      <c r="F241" s="6">
        <f>Sheet1!F241</f>
        <v>200.6</v>
      </c>
      <c r="H241" s="6">
        <f ca="1">IF(ROW($H241)-1&lt;$I$1,$F241,AVERAGE($F241:OFFSET($F241,(($I$1-1)*-1),0)))</f>
        <v>199.92499999999998</v>
      </c>
      <c r="J241" s="6">
        <f ca="1">IF(ROW($J241)-1&lt;$K$1,$F241,AVERAGE($F241:OFFSET($F241,(($K$1-1)*-1),0)))</f>
        <v>194.58392857142857</v>
      </c>
      <c r="L241" s="7">
        <f t="shared" ca="1" si="18"/>
        <v>1</v>
      </c>
      <c r="M241" s="7" t="str">
        <f t="shared" ca="1" si="19"/>
        <v/>
      </c>
      <c r="N241" s="6" t="str">
        <f t="shared" ca="1" si="20"/>
        <v/>
      </c>
      <c r="O241" s="6">
        <f t="shared" si="21"/>
        <v>0.54999999999998295</v>
      </c>
      <c r="Q241" s="6">
        <v>6.9499999999999886</v>
      </c>
      <c r="R241" s="9">
        <f t="shared" si="22"/>
        <v>2606.2499999999959</v>
      </c>
      <c r="S241" s="7">
        <f t="shared" si="23"/>
        <v>-5681.2500000000227</v>
      </c>
    </row>
    <row r="242" spans="1:19" x14ac:dyDescent="0.25">
      <c r="A242" s="4">
        <f>Sheet1!A242</f>
        <v>39433</v>
      </c>
      <c r="B242" s="5">
        <f>Sheet1!B242</f>
        <v>0.58333333333333337</v>
      </c>
      <c r="C242" s="6">
        <f>Sheet1!C242</f>
        <v>200.5</v>
      </c>
      <c r="D242" s="6">
        <f>Sheet1!D242</f>
        <v>202.15</v>
      </c>
      <c r="E242" s="6">
        <f>Sheet1!E242</f>
        <v>199.55</v>
      </c>
      <c r="F242" s="6">
        <f>Sheet1!F242</f>
        <v>200.1</v>
      </c>
      <c r="H242" s="6">
        <f ca="1">IF(ROW($H242)-1&lt;$I$1,$F242,AVERAGE($F242:OFFSET($F242,(($I$1-1)*-1),0)))</f>
        <v>200.30833333333337</v>
      </c>
      <c r="J242" s="6">
        <f ca="1">IF(ROW($J242)-1&lt;$K$1,$F242,AVERAGE($F242:OFFSET($F242,(($K$1-1)*-1),0)))</f>
        <v>195.06607142857143</v>
      </c>
      <c r="L242" s="7">
        <f t="shared" ca="1" si="18"/>
        <v>1</v>
      </c>
      <c r="M242" s="7" t="str">
        <f t="shared" ca="1" si="19"/>
        <v/>
      </c>
      <c r="N242" s="6" t="str">
        <f t="shared" ca="1" si="20"/>
        <v/>
      </c>
      <c r="O242" s="6">
        <f t="shared" si="21"/>
        <v>-0.5</v>
      </c>
      <c r="Q242" s="6">
        <v>6.4499999999999886</v>
      </c>
      <c r="R242" s="9">
        <f t="shared" si="22"/>
        <v>2418.7499999999959</v>
      </c>
      <c r="S242" s="7">
        <f t="shared" si="23"/>
        <v>-5681.2500000000227</v>
      </c>
    </row>
    <row r="243" spans="1:19" x14ac:dyDescent="0.25">
      <c r="A243" s="4">
        <f>Sheet1!A243</f>
        <v>39434</v>
      </c>
      <c r="B243" s="5">
        <f>Sheet1!B243</f>
        <v>0.58333333333333337</v>
      </c>
      <c r="C243" s="6">
        <f>Sheet1!C243</f>
        <v>201.05</v>
      </c>
      <c r="D243" s="6">
        <f>Sheet1!D243</f>
        <v>201.95</v>
      </c>
      <c r="E243" s="6">
        <f>Sheet1!E243</f>
        <v>200.75</v>
      </c>
      <c r="F243" s="6">
        <f>Sheet1!F243</f>
        <v>201.2</v>
      </c>
      <c r="H243" s="6">
        <f ca="1">IF(ROW($H243)-1&lt;$I$1,$F243,AVERAGE($F243:OFFSET($F243,(($I$1-1)*-1),0)))</f>
        <v>200.48333333333335</v>
      </c>
      <c r="J243" s="6">
        <f ca="1">IF(ROW($J243)-1&lt;$K$1,$F243,AVERAGE($F243:OFFSET($F243,(($K$1-1)*-1),0)))</f>
        <v>195.56071428571428</v>
      </c>
      <c r="L243" s="7">
        <f t="shared" ca="1" si="18"/>
        <v>1</v>
      </c>
      <c r="M243" s="7" t="str">
        <f t="shared" ca="1" si="19"/>
        <v/>
      </c>
      <c r="N243" s="6" t="str">
        <f t="shared" ca="1" si="20"/>
        <v/>
      </c>
      <c r="O243" s="6">
        <f t="shared" si="21"/>
        <v>1.0999999999999943</v>
      </c>
      <c r="Q243" s="6">
        <v>7.5499999999999829</v>
      </c>
      <c r="R243" s="9">
        <f t="shared" si="22"/>
        <v>2831.2499999999936</v>
      </c>
      <c r="S243" s="7">
        <f t="shared" si="23"/>
        <v>-5681.2500000000227</v>
      </c>
    </row>
    <row r="244" spans="1:19" x14ac:dyDescent="0.25">
      <c r="A244" s="4">
        <f>Sheet1!A244</f>
        <v>39435</v>
      </c>
      <c r="B244" s="5">
        <f>Sheet1!B244</f>
        <v>0.58333333333333337</v>
      </c>
      <c r="C244" s="6">
        <f>Sheet1!C244</f>
        <v>200.9</v>
      </c>
      <c r="D244" s="6">
        <f>Sheet1!D244</f>
        <v>202.65</v>
      </c>
      <c r="E244" s="6">
        <f>Sheet1!E244</f>
        <v>200.25</v>
      </c>
      <c r="F244" s="6">
        <f>Sheet1!F244</f>
        <v>201.15</v>
      </c>
      <c r="H244" s="6">
        <f ca="1">IF(ROW($H244)-1&lt;$I$1,$F244,AVERAGE($F244:OFFSET($F244,(($I$1-1)*-1),0)))</f>
        <v>200.65</v>
      </c>
      <c r="J244" s="6">
        <f ca="1">IF(ROW($J244)-1&lt;$K$1,$F244,AVERAGE($F244:OFFSET($F244,(($K$1-1)*-1),0)))</f>
        <v>196.0625</v>
      </c>
      <c r="L244" s="7">
        <f t="shared" ca="1" si="18"/>
        <v>1</v>
      </c>
      <c r="M244" s="7" t="str">
        <f t="shared" ca="1" si="19"/>
        <v/>
      </c>
      <c r="N244" s="6" t="str">
        <f t="shared" ca="1" si="20"/>
        <v/>
      </c>
      <c r="O244" s="6">
        <f t="shared" si="21"/>
        <v>-4.9999999999982947E-2</v>
      </c>
      <c r="Q244" s="6">
        <v>7.5</v>
      </c>
      <c r="R244" s="9">
        <f t="shared" si="22"/>
        <v>2812.5</v>
      </c>
      <c r="S244" s="7">
        <f t="shared" si="23"/>
        <v>-5681.2500000000227</v>
      </c>
    </row>
    <row r="245" spans="1:19" x14ac:dyDescent="0.25">
      <c r="A245" s="4">
        <f>Sheet1!A245</f>
        <v>39436</v>
      </c>
      <c r="B245" s="5">
        <f>Sheet1!B245</f>
        <v>0.58333333333333337</v>
      </c>
      <c r="C245" s="6">
        <f>Sheet1!C245</f>
        <v>201.15</v>
      </c>
      <c r="D245" s="6">
        <f>Sheet1!D245</f>
        <v>201.35</v>
      </c>
      <c r="E245" s="6">
        <f>Sheet1!E245</f>
        <v>199.6</v>
      </c>
      <c r="F245" s="6">
        <f>Sheet1!F245</f>
        <v>200.35</v>
      </c>
      <c r="H245" s="6">
        <f ca="1">IF(ROW($H245)-1&lt;$I$1,$F245,AVERAGE($F245:OFFSET($F245,(($I$1-1)*-1),0)))</f>
        <v>200.57500000000002</v>
      </c>
      <c r="J245" s="6">
        <f ca="1">IF(ROW($J245)-1&lt;$K$1,$F245,AVERAGE($F245:OFFSET($F245,(($K$1-1)*-1),0)))</f>
        <v>196.48392857142858</v>
      </c>
      <c r="L245" s="7">
        <f t="shared" ca="1" si="18"/>
        <v>1</v>
      </c>
      <c r="M245" s="7" t="str">
        <f t="shared" ca="1" si="19"/>
        <v/>
      </c>
      <c r="N245" s="6" t="str">
        <f t="shared" ca="1" si="20"/>
        <v/>
      </c>
      <c r="O245" s="6">
        <f t="shared" si="21"/>
        <v>-0.80000000000001137</v>
      </c>
      <c r="Q245" s="6">
        <v>6.6999999999999886</v>
      </c>
      <c r="R245" s="9">
        <f t="shared" si="22"/>
        <v>2512.4999999999959</v>
      </c>
      <c r="S245" s="7">
        <f t="shared" si="23"/>
        <v>-5681.2500000000227</v>
      </c>
    </row>
    <row r="246" spans="1:19" x14ac:dyDescent="0.25">
      <c r="A246" s="4">
        <f>Sheet1!A246</f>
        <v>39437</v>
      </c>
      <c r="B246" s="5">
        <f>Sheet1!B246</f>
        <v>0.58333333333333337</v>
      </c>
      <c r="C246" s="6">
        <f>Sheet1!C246</f>
        <v>200.4</v>
      </c>
      <c r="D246" s="6">
        <f>Sheet1!D246</f>
        <v>201</v>
      </c>
      <c r="E246" s="6">
        <f>Sheet1!E246</f>
        <v>200.4</v>
      </c>
      <c r="F246" s="6">
        <f>Sheet1!F246</f>
        <v>200.85</v>
      </c>
      <c r="H246" s="6">
        <f ca="1">IF(ROW($H246)-1&lt;$I$1,$F246,AVERAGE($F246:OFFSET($F246,(($I$1-1)*-1),0)))</f>
        <v>200.70833333333334</v>
      </c>
      <c r="J246" s="6">
        <f ca="1">IF(ROW($J246)-1&lt;$K$1,$F246,AVERAGE($F246:OFFSET($F246,(($K$1-1)*-1),0)))</f>
        <v>196.92857142857147</v>
      </c>
      <c r="L246" s="7">
        <f t="shared" ca="1" si="18"/>
        <v>1</v>
      </c>
      <c r="M246" s="7" t="str">
        <f t="shared" ca="1" si="19"/>
        <v/>
      </c>
      <c r="N246" s="6" t="str">
        <f t="shared" ca="1" si="20"/>
        <v/>
      </c>
      <c r="O246" s="6">
        <f t="shared" si="21"/>
        <v>0.5</v>
      </c>
      <c r="Q246" s="6">
        <v>7.1999999999999886</v>
      </c>
      <c r="R246" s="9">
        <f t="shared" si="22"/>
        <v>2699.9999999999959</v>
      </c>
      <c r="S246" s="7">
        <f t="shared" si="23"/>
        <v>-5681.2500000000227</v>
      </c>
    </row>
    <row r="247" spans="1:19" x14ac:dyDescent="0.25">
      <c r="A247" s="4">
        <f>Sheet1!A247</f>
        <v>39442</v>
      </c>
      <c r="B247" s="5">
        <f>Sheet1!B247</f>
        <v>0.58333333333333337</v>
      </c>
      <c r="C247" s="6">
        <f>Sheet1!C247</f>
        <v>201.25</v>
      </c>
      <c r="D247" s="6">
        <f>Sheet1!D247</f>
        <v>201.6</v>
      </c>
      <c r="E247" s="6">
        <f>Sheet1!E247</f>
        <v>196.15</v>
      </c>
      <c r="F247" s="6">
        <f>Sheet1!F247</f>
        <v>200.3</v>
      </c>
      <c r="H247" s="6">
        <f ca="1">IF(ROW($H247)-1&lt;$I$1,$F247,AVERAGE($F247:OFFSET($F247,(($I$1-1)*-1),0)))</f>
        <v>200.65833333333333</v>
      </c>
      <c r="J247" s="6">
        <f ca="1">IF(ROW($J247)-1&lt;$K$1,$F247,AVERAGE($F247:OFFSET($F247,(($K$1-1)*-1),0)))</f>
        <v>197.2053571428572</v>
      </c>
      <c r="L247" s="7">
        <f t="shared" ca="1" si="18"/>
        <v>1</v>
      </c>
      <c r="M247" s="7" t="str">
        <f t="shared" ca="1" si="19"/>
        <v/>
      </c>
      <c r="N247" s="6" t="str">
        <f t="shared" ca="1" si="20"/>
        <v/>
      </c>
      <c r="O247" s="6">
        <f t="shared" si="21"/>
        <v>-0.54999999999998295</v>
      </c>
      <c r="Q247" s="6">
        <v>6.6500000000000057</v>
      </c>
      <c r="R247" s="9">
        <f t="shared" si="22"/>
        <v>2493.7500000000023</v>
      </c>
      <c r="S247" s="7">
        <f t="shared" si="23"/>
        <v>-5681.2500000000227</v>
      </c>
    </row>
    <row r="248" spans="1:19" x14ac:dyDescent="0.25">
      <c r="A248" s="4">
        <f>Sheet1!A248</f>
        <v>39443</v>
      </c>
      <c r="B248" s="5">
        <f>Sheet1!B248</f>
        <v>0.58333333333333337</v>
      </c>
      <c r="C248" s="6">
        <f>Sheet1!C248</f>
        <v>199.65</v>
      </c>
      <c r="D248" s="6">
        <f>Sheet1!D248</f>
        <v>199.85</v>
      </c>
      <c r="E248" s="6">
        <f>Sheet1!E248</f>
        <v>198.05</v>
      </c>
      <c r="F248" s="6">
        <f>Sheet1!F248</f>
        <v>198.45</v>
      </c>
      <c r="H248" s="6">
        <f ca="1">IF(ROW($H248)-1&lt;$I$1,$F248,AVERAGE($F248:OFFSET($F248,(($I$1-1)*-1),0)))</f>
        <v>200.38333333333335</v>
      </c>
      <c r="J248" s="6">
        <f ca="1">IF(ROW($J248)-1&lt;$K$1,$F248,AVERAGE($F248:OFFSET($F248,(($K$1-1)*-1),0)))</f>
        <v>197.38571428571433</v>
      </c>
      <c r="L248" s="7">
        <f t="shared" ca="1" si="18"/>
        <v>1</v>
      </c>
      <c r="M248" s="7" t="str">
        <f t="shared" ca="1" si="19"/>
        <v/>
      </c>
      <c r="N248" s="6" t="str">
        <f t="shared" ca="1" si="20"/>
        <v/>
      </c>
      <c r="O248" s="6">
        <f t="shared" si="21"/>
        <v>-1.8500000000000227</v>
      </c>
      <c r="Q248" s="6">
        <v>4.7999999999999829</v>
      </c>
      <c r="R248" s="9">
        <f t="shared" si="22"/>
        <v>1799.9999999999936</v>
      </c>
      <c r="S248" s="7">
        <f t="shared" si="23"/>
        <v>-5681.2500000000227</v>
      </c>
    </row>
    <row r="249" spans="1:19" x14ac:dyDescent="0.25">
      <c r="A249" s="4">
        <f>Sheet1!A249</f>
        <v>39444</v>
      </c>
      <c r="B249" s="5">
        <f>Sheet1!B249</f>
        <v>0.58333333333333337</v>
      </c>
      <c r="C249" s="6">
        <f>Sheet1!C249</f>
        <v>200.05</v>
      </c>
      <c r="D249" s="6">
        <f>Sheet1!D249</f>
        <v>200.15</v>
      </c>
      <c r="E249" s="6">
        <f>Sheet1!E249</f>
        <v>199.25</v>
      </c>
      <c r="F249" s="6">
        <f>Sheet1!F249</f>
        <v>199.75</v>
      </c>
      <c r="H249" s="6">
        <f ca="1">IF(ROW($H249)-1&lt;$I$1,$F249,AVERAGE($F249:OFFSET($F249,(($I$1-1)*-1),0)))</f>
        <v>200.14166666666668</v>
      </c>
      <c r="J249" s="6">
        <f ca="1">IF(ROW($J249)-1&lt;$K$1,$F249,AVERAGE($F249:OFFSET($F249,(($K$1-1)*-1),0)))</f>
        <v>197.55714285714291</v>
      </c>
      <c r="L249" s="7">
        <f t="shared" ca="1" si="18"/>
        <v>1</v>
      </c>
      <c r="M249" s="7" t="str">
        <f t="shared" ca="1" si="19"/>
        <v/>
      </c>
      <c r="N249" s="6" t="str">
        <f t="shared" ca="1" si="20"/>
        <v/>
      </c>
      <c r="O249" s="6">
        <f t="shared" si="21"/>
        <v>1.3000000000000114</v>
      </c>
      <c r="Q249" s="6">
        <v>6.0999999999999943</v>
      </c>
      <c r="R249" s="9">
        <f t="shared" si="22"/>
        <v>2287.4999999999977</v>
      </c>
      <c r="S249" s="7">
        <f t="shared" si="23"/>
        <v>-5681.2500000000227</v>
      </c>
    </row>
    <row r="250" spans="1:19" x14ac:dyDescent="0.25">
      <c r="A250" s="4">
        <f>Sheet1!A250</f>
        <v>39447</v>
      </c>
      <c r="B250" s="5">
        <f>Sheet1!B250</f>
        <v>0.58333333333333337</v>
      </c>
      <c r="C250" s="6">
        <f>Sheet1!C250</f>
        <v>201.35</v>
      </c>
      <c r="D250" s="6">
        <f>Sheet1!D250</f>
        <v>203.65</v>
      </c>
      <c r="E250" s="6">
        <f>Sheet1!E250</f>
        <v>201.25</v>
      </c>
      <c r="F250" s="6">
        <f>Sheet1!F250</f>
        <v>202.85</v>
      </c>
      <c r="H250" s="6">
        <f ca="1">IF(ROW($H250)-1&lt;$I$1,$F250,AVERAGE($F250:OFFSET($F250,(($I$1-1)*-1),0)))</f>
        <v>200.42499999999998</v>
      </c>
      <c r="J250" s="6">
        <f ca="1">IF(ROW($J250)-1&lt;$K$1,$F250,AVERAGE($F250:OFFSET($F250,(($K$1-1)*-1),0)))</f>
        <v>197.81785714285715</v>
      </c>
      <c r="L250" s="7">
        <f t="shared" ca="1" si="18"/>
        <v>1</v>
      </c>
      <c r="M250" s="7" t="str">
        <f t="shared" ca="1" si="19"/>
        <v/>
      </c>
      <c r="N250" s="6" t="str">
        <f t="shared" ca="1" si="20"/>
        <v/>
      </c>
      <c r="O250" s="6">
        <f t="shared" si="21"/>
        <v>3.0999999999999943</v>
      </c>
      <c r="Q250" s="6">
        <v>9.1999999999999886</v>
      </c>
      <c r="R250" s="9">
        <f t="shared" si="22"/>
        <v>3449.9999999999959</v>
      </c>
      <c r="S250" s="7">
        <f t="shared" si="23"/>
        <v>-5681.2500000000227</v>
      </c>
    </row>
    <row r="251" spans="1:19" x14ac:dyDescent="0.25">
      <c r="A251" s="4">
        <f>Sheet1!A251</f>
        <v>39449</v>
      </c>
      <c r="B251" s="5">
        <f>Sheet1!B251</f>
        <v>0.58333333333333337</v>
      </c>
      <c r="C251" s="6">
        <f>Sheet1!C251</f>
        <v>203.25</v>
      </c>
      <c r="D251" s="6">
        <f>Sheet1!D251</f>
        <v>203.65</v>
      </c>
      <c r="E251" s="6">
        <f>Sheet1!E251</f>
        <v>199.45</v>
      </c>
      <c r="F251" s="6">
        <f>Sheet1!F251</f>
        <v>200.65</v>
      </c>
      <c r="H251" s="6">
        <f ca="1">IF(ROW($H251)-1&lt;$I$1,$F251,AVERAGE($F251:OFFSET($F251,(($I$1-1)*-1),0)))</f>
        <v>200.47499999999999</v>
      </c>
      <c r="J251" s="6">
        <f ca="1">IF(ROW($J251)-1&lt;$K$1,$F251,AVERAGE($F251:OFFSET($F251,(($K$1-1)*-1),0)))</f>
        <v>197.99464285714288</v>
      </c>
      <c r="L251" s="7">
        <f t="shared" ca="1" si="18"/>
        <v>1</v>
      </c>
      <c r="M251" s="7" t="str">
        <f t="shared" ca="1" si="19"/>
        <v/>
      </c>
      <c r="N251" s="6" t="str">
        <f t="shared" ca="1" si="20"/>
        <v/>
      </c>
      <c r="O251" s="6">
        <f t="shared" si="21"/>
        <v>-2.1999999999999886</v>
      </c>
      <c r="Q251" s="6">
        <v>7</v>
      </c>
      <c r="R251" s="9">
        <f t="shared" si="22"/>
        <v>2625</v>
      </c>
      <c r="S251" s="7">
        <f t="shared" si="23"/>
        <v>-5681.2500000000227</v>
      </c>
    </row>
    <row r="252" spans="1:19" x14ac:dyDescent="0.25">
      <c r="A252" s="4">
        <f>Sheet1!A252</f>
        <v>39450</v>
      </c>
      <c r="B252" s="5">
        <f>Sheet1!B252</f>
        <v>0.58333333333333337</v>
      </c>
      <c r="C252" s="6">
        <f>Sheet1!C252</f>
        <v>202.05</v>
      </c>
      <c r="D252" s="6">
        <f>Sheet1!D252</f>
        <v>203.15</v>
      </c>
      <c r="E252" s="6">
        <f>Sheet1!E252</f>
        <v>201.35</v>
      </c>
      <c r="F252" s="6">
        <f>Sheet1!F252</f>
        <v>201.85</v>
      </c>
      <c r="H252" s="6">
        <f ca="1">IF(ROW($H252)-1&lt;$I$1,$F252,AVERAGE($F252:OFFSET($F252,(($I$1-1)*-1),0)))</f>
        <v>200.64166666666665</v>
      </c>
      <c r="J252" s="6">
        <f ca="1">IF(ROW($J252)-1&lt;$K$1,$F252,AVERAGE($F252:OFFSET($F252,(($K$1-1)*-1),0)))</f>
        <v>198.32857142857145</v>
      </c>
      <c r="L252" s="7">
        <f t="shared" ca="1" si="18"/>
        <v>1</v>
      </c>
      <c r="M252" s="7" t="str">
        <f t="shared" ca="1" si="19"/>
        <v/>
      </c>
      <c r="N252" s="6" t="str">
        <f t="shared" ca="1" si="20"/>
        <v/>
      </c>
      <c r="O252" s="6">
        <f t="shared" si="21"/>
        <v>1.1999999999999886</v>
      </c>
      <c r="Q252" s="6">
        <v>8.1999999999999886</v>
      </c>
      <c r="R252" s="9">
        <f t="shared" si="22"/>
        <v>3074.9999999999959</v>
      </c>
      <c r="S252" s="7">
        <f t="shared" si="23"/>
        <v>-5681.2500000000227</v>
      </c>
    </row>
    <row r="253" spans="1:19" x14ac:dyDescent="0.25">
      <c r="A253" s="4">
        <f>Sheet1!A253</f>
        <v>39451</v>
      </c>
      <c r="B253" s="5">
        <f>Sheet1!B253</f>
        <v>0.58333333333333337</v>
      </c>
      <c r="C253" s="6">
        <f>Sheet1!C253</f>
        <v>200.15</v>
      </c>
      <c r="D253" s="6">
        <f>Sheet1!D253</f>
        <v>200.45</v>
      </c>
      <c r="E253" s="6">
        <f>Sheet1!E253</f>
        <v>196.95</v>
      </c>
      <c r="F253" s="6">
        <f>Sheet1!F253</f>
        <v>199.35</v>
      </c>
      <c r="H253" s="6">
        <f ca="1">IF(ROW($H253)-1&lt;$I$1,$F253,AVERAGE($F253:OFFSET($F253,(($I$1-1)*-1),0)))</f>
        <v>200.48333333333332</v>
      </c>
      <c r="J253" s="6">
        <f ca="1">IF(ROW($J253)-1&lt;$K$1,$F253,AVERAGE($F253:OFFSET($F253,(($K$1-1)*-1),0)))</f>
        <v>198.50535714285715</v>
      </c>
      <c r="L253" s="7">
        <f t="shared" ca="1" si="18"/>
        <v>1</v>
      </c>
      <c r="M253" s="7" t="str">
        <f t="shared" ca="1" si="19"/>
        <v/>
      </c>
      <c r="N253" s="6" t="str">
        <f t="shared" ca="1" si="20"/>
        <v/>
      </c>
      <c r="O253" s="6">
        <f t="shared" si="21"/>
        <v>-2.5</v>
      </c>
      <c r="Q253" s="6">
        <v>5.6999999999999886</v>
      </c>
      <c r="R253" s="9">
        <f t="shared" si="22"/>
        <v>2137.4999999999959</v>
      </c>
      <c r="S253" s="7">
        <f t="shared" si="23"/>
        <v>-5681.2500000000227</v>
      </c>
    </row>
    <row r="254" spans="1:19" x14ac:dyDescent="0.25">
      <c r="A254" s="4">
        <f>Sheet1!A254</f>
        <v>39454</v>
      </c>
      <c r="B254" s="5">
        <f>Sheet1!B254</f>
        <v>0.58333333333333337</v>
      </c>
      <c r="C254" s="6">
        <f>Sheet1!C254</f>
        <v>197.25</v>
      </c>
      <c r="D254" s="6">
        <f>Sheet1!D254</f>
        <v>199.3</v>
      </c>
      <c r="E254" s="6">
        <f>Sheet1!E254</f>
        <v>197.25</v>
      </c>
      <c r="F254" s="6">
        <f>Sheet1!F254</f>
        <v>198.05</v>
      </c>
      <c r="H254" s="6">
        <f ca="1">IF(ROW($H254)-1&lt;$I$1,$F254,AVERAGE($F254:OFFSET($F254,(($I$1-1)*-1),0)))</f>
        <v>200.41666666666666</v>
      </c>
      <c r="J254" s="6">
        <f ca="1">IF(ROW($J254)-1&lt;$K$1,$F254,AVERAGE($F254:OFFSET($F254,(($K$1-1)*-1),0)))</f>
        <v>198.67678571428573</v>
      </c>
      <c r="L254" s="7">
        <f t="shared" ca="1" si="18"/>
        <v>1</v>
      </c>
      <c r="M254" s="7" t="str">
        <f t="shared" ca="1" si="19"/>
        <v/>
      </c>
      <c r="N254" s="6" t="str">
        <f t="shared" ca="1" si="20"/>
        <v/>
      </c>
      <c r="O254" s="6">
        <f t="shared" si="21"/>
        <v>-1.2999999999999829</v>
      </c>
      <c r="Q254" s="6">
        <v>4.4000000000000057</v>
      </c>
      <c r="R254" s="9">
        <f t="shared" si="22"/>
        <v>1650.000000000002</v>
      </c>
      <c r="S254" s="7">
        <f t="shared" si="23"/>
        <v>-5681.2500000000227</v>
      </c>
    </row>
    <row r="255" spans="1:19" x14ac:dyDescent="0.25">
      <c r="A255" s="4">
        <f>Sheet1!A255</f>
        <v>39455</v>
      </c>
      <c r="B255" s="5">
        <f>Sheet1!B255</f>
        <v>0.58333333333333337</v>
      </c>
      <c r="C255" s="6">
        <f>Sheet1!C255</f>
        <v>199.35</v>
      </c>
      <c r="D255" s="6">
        <f>Sheet1!D255</f>
        <v>202.65</v>
      </c>
      <c r="E255" s="6">
        <f>Sheet1!E255</f>
        <v>199.35</v>
      </c>
      <c r="F255" s="6">
        <f>Sheet1!F255</f>
        <v>202.1</v>
      </c>
      <c r="H255" s="6">
        <f ca="1">IF(ROW($H255)-1&lt;$I$1,$F255,AVERAGE($F255:OFFSET($F255,(($I$1-1)*-1),0)))</f>
        <v>200.80833333333331</v>
      </c>
      <c r="J255" s="6">
        <f ca="1">IF(ROW($J255)-1&lt;$K$1,$F255,AVERAGE($F255:OFFSET($F255,(($K$1-1)*-1),0)))</f>
        <v>199.02857142857147</v>
      </c>
      <c r="L255" s="7">
        <f t="shared" ca="1" si="18"/>
        <v>1</v>
      </c>
      <c r="M255" s="7" t="str">
        <f t="shared" ca="1" si="19"/>
        <v/>
      </c>
      <c r="N255" s="6" t="str">
        <f t="shared" ca="1" si="20"/>
        <v/>
      </c>
      <c r="O255" s="6">
        <f t="shared" si="21"/>
        <v>4.0499999999999829</v>
      </c>
      <c r="Q255" s="6">
        <v>8.4499999999999886</v>
      </c>
      <c r="R255" s="9">
        <f t="shared" si="22"/>
        <v>3168.7499999999959</v>
      </c>
      <c r="S255" s="7">
        <f t="shared" si="23"/>
        <v>-5681.2500000000227</v>
      </c>
    </row>
    <row r="256" spans="1:19" x14ac:dyDescent="0.25">
      <c r="A256" s="4">
        <f>Sheet1!A256</f>
        <v>39456</v>
      </c>
      <c r="B256" s="5">
        <f>Sheet1!B256</f>
        <v>0.58333333333333337</v>
      </c>
      <c r="C256" s="6">
        <f>Sheet1!C256</f>
        <v>200.95</v>
      </c>
      <c r="D256" s="6">
        <f>Sheet1!D256</f>
        <v>202.35</v>
      </c>
      <c r="E256" s="6">
        <f>Sheet1!E256</f>
        <v>200.95</v>
      </c>
      <c r="F256" s="6">
        <f>Sheet1!F256</f>
        <v>202.25</v>
      </c>
      <c r="H256" s="6">
        <f ca="1">IF(ROW($H256)-1&lt;$I$1,$F256,AVERAGE($F256:OFFSET($F256,(($I$1-1)*-1),0)))</f>
        <v>200.70833333333334</v>
      </c>
      <c r="J256" s="6">
        <f ca="1">IF(ROW($J256)-1&lt;$K$1,$F256,AVERAGE($F256:OFFSET($F256,(($K$1-1)*-1),0)))</f>
        <v>199.38571428571433</v>
      </c>
      <c r="L256" s="7">
        <f t="shared" ca="1" si="18"/>
        <v>1</v>
      </c>
      <c r="M256" s="7" t="str">
        <f t="shared" ca="1" si="19"/>
        <v/>
      </c>
      <c r="N256" s="6" t="str">
        <f t="shared" ca="1" si="20"/>
        <v/>
      </c>
      <c r="O256" s="6">
        <f t="shared" si="21"/>
        <v>0.15000000000000568</v>
      </c>
      <c r="Q256" s="6">
        <v>8.5999999999999943</v>
      </c>
      <c r="R256" s="9">
        <f t="shared" si="22"/>
        <v>3224.9999999999977</v>
      </c>
      <c r="S256" s="7">
        <f t="shared" si="23"/>
        <v>-5681.2500000000227</v>
      </c>
    </row>
    <row r="257" spans="1:19" x14ac:dyDescent="0.25">
      <c r="A257" s="4">
        <f>Sheet1!A257</f>
        <v>39457</v>
      </c>
      <c r="B257" s="5">
        <f>Sheet1!B257</f>
        <v>0.58333333333333337</v>
      </c>
      <c r="C257" s="6">
        <f>Sheet1!C257</f>
        <v>202.25</v>
      </c>
      <c r="D257" s="6">
        <f>Sheet1!D257</f>
        <v>203.65</v>
      </c>
      <c r="E257" s="6">
        <f>Sheet1!E257</f>
        <v>201.65</v>
      </c>
      <c r="F257" s="6">
        <f>Sheet1!F257</f>
        <v>203.3</v>
      </c>
      <c r="H257" s="6">
        <f ca="1">IF(ROW($H257)-1&lt;$I$1,$F257,AVERAGE($F257:OFFSET($F257,(($I$1-1)*-1),0)))</f>
        <v>201.15</v>
      </c>
      <c r="J257" s="6">
        <f ca="1">IF(ROW($J257)-1&lt;$K$1,$F257,AVERAGE($F257:OFFSET($F257,(($K$1-1)*-1),0)))</f>
        <v>199.66071428571431</v>
      </c>
      <c r="L257" s="7">
        <f t="shared" ca="1" si="18"/>
        <v>1</v>
      </c>
      <c r="M257" s="7" t="str">
        <f t="shared" ca="1" si="19"/>
        <v/>
      </c>
      <c r="N257" s="6" t="str">
        <f t="shared" ca="1" si="20"/>
        <v/>
      </c>
      <c r="O257" s="6">
        <f t="shared" si="21"/>
        <v>1.0500000000000114</v>
      </c>
      <c r="Q257" s="6">
        <v>9.6500000000000057</v>
      </c>
      <c r="R257" s="9">
        <f t="shared" si="22"/>
        <v>3618.7500000000023</v>
      </c>
      <c r="S257" s="7">
        <f t="shared" si="23"/>
        <v>-5681.2500000000227</v>
      </c>
    </row>
    <row r="258" spans="1:19" x14ac:dyDescent="0.25">
      <c r="A258" s="4">
        <f>Sheet1!A258</f>
        <v>39458</v>
      </c>
      <c r="B258" s="5">
        <f>Sheet1!B258</f>
        <v>0.58333333333333337</v>
      </c>
      <c r="C258" s="6">
        <f>Sheet1!C258</f>
        <v>203.3</v>
      </c>
      <c r="D258" s="6">
        <f>Sheet1!D258</f>
        <v>204.05</v>
      </c>
      <c r="E258" s="6">
        <f>Sheet1!E258</f>
        <v>201.75</v>
      </c>
      <c r="F258" s="6">
        <f>Sheet1!F258</f>
        <v>202.95</v>
      </c>
      <c r="H258" s="6">
        <f ca="1">IF(ROW($H258)-1&lt;$I$1,$F258,AVERAGE($F258:OFFSET($F258,(($I$1-1)*-1),0)))</f>
        <v>201.33333333333334</v>
      </c>
      <c r="J258" s="6">
        <f ca="1">IF(ROW($J258)-1&lt;$K$1,$F258,AVERAGE($F258:OFFSET($F258,(($K$1-1)*-1),0)))</f>
        <v>199.93750000000003</v>
      </c>
      <c r="L258" s="7">
        <f t="shared" ca="1" si="18"/>
        <v>1</v>
      </c>
      <c r="M258" s="7" t="str">
        <f t="shared" ca="1" si="19"/>
        <v/>
      </c>
      <c r="N258" s="6" t="str">
        <f t="shared" ca="1" si="20"/>
        <v/>
      </c>
      <c r="O258" s="6">
        <f t="shared" si="21"/>
        <v>-0.35000000000002274</v>
      </c>
      <c r="Q258" s="6">
        <v>9.2999999999999829</v>
      </c>
      <c r="R258" s="9">
        <f t="shared" si="22"/>
        <v>3487.4999999999936</v>
      </c>
      <c r="S258" s="7">
        <f t="shared" si="23"/>
        <v>-5681.2500000000227</v>
      </c>
    </row>
    <row r="259" spans="1:19" x14ac:dyDescent="0.25">
      <c r="A259" s="4">
        <f>Sheet1!A259</f>
        <v>39461</v>
      </c>
      <c r="B259" s="5">
        <f>Sheet1!B259</f>
        <v>0.58333333333333337</v>
      </c>
      <c r="C259" s="6">
        <f>Sheet1!C259</f>
        <v>202.75</v>
      </c>
      <c r="D259" s="6">
        <f>Sheet1!D259</f>
        <v>204.45</v>
      </c>
      <c r="E259" s="6">
        <f>Sheet1!E259</f>
        <v>200.75</v>
      </c>
      <c r="F259" s="6">
        <f>Sheet1!F259</f>
        <v>204.2</v>
      </c>
      <c r="H259" s="6">
        <f ca="1">IF(ROW($H259)-1&lt;$I$1,$F259,AVERAGE($F259:OFFSET($F259,(($I$1-1)*-1),0)))</f>
        <v>202.14166666666668</v>
      </c>
      <c r="J259" s="6">
        <f ca="1">IF(ROW($J259)-1&lt;$K$1,$F259,AVERAGE($F259:OFFSET($F259,(($K$1-1)*-1),0)))</f>
        <v>200.23571428571429</v>
      </c>
      <c r="L259" s="7">
        <f t="shared" ref="L259:L322" ca="1" si="24">IF(ROW($L259)&gt;($K$1),IF($H259&gt;$J259,1,IF($H259&lt;$J259,-1,$L258*-1)),0)</f>
        <v>1</v>
      </c>
      <c r="M259" s="7" t="str">
        <f t="shared" ca="1" si="19"/>
        <v/>
      </c>
      <c r="N259" s="6" t="str">
        <f t="shared" ca="1" si="20"/>
        <v/>
      </c>
      <c r="O259" s="6">
        <f t="shared" si="21"/>
        <v>1.25</v>
      </c>
      <c r="Q259" s="6">
        <v>10.549999999999983</v>
      </c>
      <c r="R259" s="9">
        <f t="shared" si="22"/>
        <v>3956.2499999999936</v>
      </c>
      <c r="S259" s="7">
        <f t="shared" si="23"/>
        <v>-5681.2500000000227</v>
      </c>
    </row>
    <row r="260" spans="1:19" x14ac:dyDescent="0.25">
      <c r="A260" s="4">
        <f>Sheet1!A260</f>
        <v>39462</v>
      </c>
      <c r="B260" s="5">
        <f>Sheet1!B260</f>
        <v>0.58333333333333337</v>
      </c>
      <c r="C260" s="6">
        <f>Sheet1!C260</f>
        <v>203.9</v>
      </c>
      <c r="D260" s="6">
        <f>Sheet1!D260</f>
        <v>206.05</v>
      </c>
      <c r="E260" s="6">
        <f>Sheet1!E260</f>
        <v>202.35</v>
      </c>
      <c r="F260" s="6">
        <f>Sheet1!F260</f>
        <v>203.5</v>
      </c>
      <c r="H260" s="6">
        <f ca="1">IF(ROW($H260)-1&lt;$I$1,$F260,AVERAGE($F260:OFFSET($F260,(($I$1-1)*-1),0)))</f>
        <v>203.05000000000004</v>
      </c>
      <c r="J260" s="6">
        <f ca="1">IF(ROW($J260)-1&lt;$K$1,$F260,AVERAGE($F260:OFFSET($F260,(($K$1-1)*-1),0)))</f>
        <v>200.48214285714286</v>
      </c>
      <c r="L260" s="7">
        <f t="shared" ca="1" si="24"/>
        <v>1</v>
      </c>
      <c r="M260" s="7" t="str">
        <f t="shared" ref="M260:M323" ca="1" si="25">IF(L260&lt;&gt;L259,L260,"")</f>
        <v/>
      </c>
      <c r="N260" s="6" t="str">
        <f t="shared" ref="N260:N323" ca="1" si="26">IF(M259&lt;&gt;"",C260,"")</f>
        <v/>
      </c>
      <c r="O260" s="6">
        <f t="shared" ref="O260:O323" si="27">F260-F259</f>
        <v>-0.69999999999998863</v>
      </c>
      <c r="Q260" s="6">
        <v>9.8499999999999943</v>
      </c>
      <c r="R260" s="9">
        <f t="shared" ref="R260:R323" si="28">IF(Q260="","",Q260*375)</f>
        <v>3693.7499999999977</v>
      </c>
      <c r="S260" s="7">
        <f t="shared" si="23"/>
        <v>-5681.2500000000227</v>
      </c>
    </row>
    <row r="261" spans="1:19" x14ac:dyDescent="0.25">
      <c r="A261" s="4">
        <f>Sheet1!A261</f>
        <v>39463</v>
      </c>
      <c r="B261" s="5">
        <f>Sheet1!B261</f>
        <v>0.58333333333333337</v>
      </c>
      <c r="C261" s="6">
        <f>Sheet1!C261</f>
        <v>202.35</v>
      </c>
      <c r="D261" s="6">
        <f>Sheet1!D261</f>
        <v>202.7</v>
      </c>
      <c r="E261" s="6">
        <f>Sheet1!E261</f>
        <v>200.15</v>
      </c>
      <c r="F261" s="6">
        <f>Sheet1!F261</f>
        <v>201.55</v>
      </c>
      <c r="H261" s="6">
        <f ca="1">IF(ROW($H261)-1&lt;$I$1,$F261,AVERAGE($F261:OFFSET($F261,(($I$1-1)*-1),0)))</f>
        <v>202.95833333333334</v>
      </c>
      <c r="J261" s="6">
        <f ca="1">IF(ROW($J261)-1&lt;$K$1,$F261,AVERAGE($F261:OFFSET($F261,(($K$1-1)*-1),0)))</f>
        <v>200.63571428571427</v>
      </c>
      <c r="L261" s="7">
        <f t="shared" ca="1" si="24"/>
        <v>1</v>
      </c>
      <c r="M261" s="7" t="str">
        <f t="shared" ca="1" si="25"/>
        <v/>
      </c>
      <c r="N261" s="6" t="str">
        <f t="shared" ca="1" si="26"/>
        <v/>
      </c>
      <c r="O261" s="6">
        <f t="shared" si="27"/>
        <v>-1.9499999999999886</v>
      </c>
      <c r="Q261" s="6">
        <v>7.9000000000000057</v>
      </c>
      <c r="R261" s="9">
        <f t="shared" si="28"/>
        <v>2962.5000000000023</v>
      </c>
      <c r="S261" s="7">
        <f t="shared" si="23"/>
        <v>-5681.2500000000227</v>
      </c>
    </row>
    <row r="262" spans="1:19" x14ac:dyDescent="0.25">
      <c r="A262" s="4">
        <f>Sheet1!A262</f>
        <v>39464</v>
      </c>
      <c r="B262" s="5">
        <f>Sheet1!B262</f>
        <v>0.58333333333333337</v>
      </c>
      <c r="C262" s="6">
        <f>Sheet1!C262</f>
        <v>200.55</v>
      </c>
      <c r="D262" s="6">
        <f>Sheet1!D262</f>
        <v>202.15</v>
      </c>
      <c r="E262" s="6">
        <f>Sheet1!E262</f>
        <v>199.95</v>
      </c>
      <c r="F262" s="6">
        <f>Sheet1!F262</f>
        <v>201.05</v>
      </c>
      <c r="H262" s="6">
        <f ca="1">IF(ROW($H262)-1&lt;$I$1,$F262,AVERAGE($F262:OFFSET($F262,(($I$1-1)*-1),0)))</f>
        <v>202.75833333333333</v>
      </c>
      <c r="J262" s="6">
        <f ca="1">IF(ROW($J262)-1&lt;$K$1,$F262,AVERAGE($F262:OFFSET($F262,(($K$1-1)*-1),0)))</f>
        <v>200.75178571428572</v>
      </c>
      <c r="L262" s="7">
        <f t="shared" ca="1" si="24"/>
        <v>1</v>
      </c>
      <c r="M262" s="7" t="str">
        <f t="shared" ca="1" si="25"/>
        <v/>
      </c>
      <c r="N262" s="6" t="str">
        <f t="shared" ca="1" si="26"/>
        <v/>
      </c>
      <c r="O262" s="6">
        <f t="shared" si="27"/>
        <v>-0.5</v>
      </c>
      <c r="Q262" s="6">
        <v>7.4000000000000057</v>
      </c>
      <c r="R262" s="9">
        <f t="shared" si="28"/>
        <v>2775.0000000000023</v>
      </c>
      <c r="S262" s="7">
        <f t="shared" si="23"/>
        <v>-5681.2500000000227</v>
      </c>
    </row>
    <row r="263" spans="1:19" x14ac:dyDescent="0.25">
      <c r="A263" s="4">
        <f>Sheet1!A263</f>
        <v>39465</v>
      </c>
      <c r="B263" s="5">
        <f>Sheet1!B263</f>
        <v>0.58333333333333337</v>
      </c>
      <c r="C263" s="6">
        <f>Sheet1!C263</f>
        <v>200.15</v>
      </c>
      <c r="D263" s="6">
        <f>Sheet1!D263</f>
        <v>200.55</v>
      </c>
      <c r="E263" s="6">
        <f>Sheet1!E263</f>
        <v>199.4</v>
      </c>
      <c r="F263" s="6">
        <f>Sheet1!F263</f>
        <v>199.75</v>
      </c>
      <c r="H263" s="6">
        <f ca="1">IF(ROW($H263)-1&lt;$I$1,$F263,AVERAGE($F263:OFFSET($F263,(($I$1-1)*-1),0)))</f>
        <v>202.16666666666666</v>
      </c>
      <c r="J263" s="6">
        <f ca="1">IF(ROW($J263)-1&lt;$K$1,$F263,AVERAGE($F263:OFFSET($F263,(($K$1-1)*-1),0)))</f>
        <v>200.89642857142854</v>
      </c>
      <c r="L263" s="7">
        <f t="shared" ca="1" si="24"/>
        <v>1</v>
      </c>
      <c r="M263" s="7" t="str">
        <f t="shared" ca="1" si="25"/>
        <v/>
      </c>
      <c r="N263" s="6" t="str">
        <f t="shared" ca="1" si="26"/>
        <v/>
      </c>
      <c r="O263" s="6">
        <f t="shared" si="27"/>
        <v>-1.3000000000000114</v>
      </c>
      <c r="Q263" s="6">
        <v>6.0999999999999943</v>
      </c>
      <c r="R263" s="9">
        <f t="shared" si="28"/>
        <v>2287.4999999999977</v>
      </c>
      <c r="S263" s="7">
        <f t="shared" si="23"/>
        <v>-5681.2500000000227</v>
      </c>
    </row>
    <row r="264" spans="1:19" x14ac:dyDescent="0.25">
      <c r="A264" s="4">
        <f>Sheet1!A264</f>
        <v>39469</v>
      </c>
      <c r="B264" s="5">
        <f>Sheet1!B264</f>
        <v>0.58333333333333337</v>
      </c>
      <c r="C264" s="6">
        <f>Sheet1!C264</f>
        <v>196.85</v>
      </c>
      <c r="D264" s="6">
        <f>Sheet1!D264</f>
        <v>201.95</v>
      </c>
      <c r="E264" s="6">
        <f>Sheet1!E264</f>
        <v>196.35</v>
      </c>
      <c r="F264" s="6">
        <f>Sheet1!F264</f>
        <v>201.65</v>
      </c>
      <c r="H264" s="6">
        <f ca="1">IF(ROW($H264)-1&lt;$I$1,$F264,AVERAGE($F264:OFFSET($F264,(($I$1-1)*-1),0)))</f>
        <v>201.95000000000002</v>
      </c>
      <c r="J264" s="6">
        <f ca="1">IF(ROW($J264)-1&lt;$K$1,$F264,AVERAGE($F264:OFFSET($F264,(($K$1-1)*-1),0)))</f>
        <v>201.03392857142856</v>
      </c>
      <c r="L264" s="7">
        <f t="shared" ca="1" si="24"/>
        <v>1</v>
      </c>
      <c r="M264" s="7" t="str">
        <f t="shared" ca="1" si="25"/>
        <v/>
      </c>
      <c r="N264" s="6" t="str">
        <f t="shared" ca="1" si="26"/>
        <v/>
      </c>
      <c r="O264" s="6">
        <f t="shared" si="27"/>
        <v>1.9000000000000057</v>
      </c>
      <c r="Q264" s="6">
        <v>8</v>
      </c>
      <c r="R264" s="9">
        <f t="shared" si="28"/>
        <v>3000</v>
      </c>
      <c r="S264" s="7">
        <f t="shared" si="23"/>
        <v>-5681.2500000000227</v>
      </c>
    </row>
    <row r="265" spans="1:19" x14ac:dyDescent="0.25">
      <c r="A265" s="4">
        <f>Sheet1!A265</f>
        <v>39470</v>
      </c>
      <c r="B265" s="5">
        <f>Sheet1!B265</f>
        <v>0.58333333333333337</v>
      </c>
      <c r="C265" s="6">
        <f>Sheet1!C265</f>
        <v>201.15</v>
      </c>
      <c r="D265" s="6">
        <f>Sheet1!D265</f>
        <v>201.9</v>
      </c>
      <c r="E265" s="6">
        <f>Sheet1!E265</f>
        <v>197.75</v>
      </c>
      <c r="F265" s="6">
        <f>Sheet1!F265</f>
        <v>197.95</v>
      </c>
      <c r="H265" s="6">
        <f ca="1">IF(ROW($H265)-1&lt;$I$1,$F265,AVERAGE($F265:OFFSET($F265,(($I$1-1)*-1),0)))</f>
        <v>200.90833333333333</v>
      </c>
      <c r="J265" s="6">
        <f ca="1">IF(ROW($J265)-1&lt;$K$1,$F265,AVERAGE($F265:OFFSET($F265,(($K$1-1)*-1),0)))</f>
        <v>200.95535714285714</v>
      </c>
      <c r="L265" s="7">
        <f t="shared" ca="1" si="24"/>
        <v>-1</v>
      </c>
      <c r="M265" s="7">
        <f t="shared" ca="1" si="25"/>
        <v>-1</v>
      </c>
      <c r="N265" s="6" t="str">
        <f t="shared" ca="1" si="26"/>
        <v/>
      </c>
      <c r="O265" s="6">
        <f t="shared" si="27"/>
        <v>-3.7000000000000171</v>
      </c>
      <c r="Q265" s="6">
        <v>4.2999999999999829</v>
      </c>
      <c r="R265" s="9">
        <f t="shared" si="28"/>
        <v>1612.4999999999936</v>
      </c>
      <c r="S265" s="7">
        <f t="shared" si="23"/>
        <v>-5681.2500000000227</v>
      </c>
    </row>
    <row r="266" spans="1:19" x14ac:dyDescent="0.25">
      <c r="A266" s="4">
        <f>Sheet1!A266</f>
        <v>39471</v>
      </c>
      <c r="B266" s="5">
        <f>Sheet1!B266</f>
        <v>0.58333333333333337</v>
      </c>
      <c r="C266" s="6">
        <f>Sheet1!C266</f>
        <v>198.05</v>
      </c>
      <c r="D266" s="6">
        <f>Sheet1!D266</f>
        <v>199.15</v>
      </c>
      <c r="E266" s="6">
        <f>Sheet1!E266</f>
        <v>197.15</v>
      </c>
      <c r="F266" s="6">
        <f>Sheet1!F266</f>
        <v>199</v>
      </c>
      <c r="H266" s="6">
        <f ca="1">IF(ROW($H266)-1&lt;$I$1,$F266,AVERAGE($F266:OFFSET($F266,(($I$1-1)*-1),0)))</f>
        <v>200.15833333333333</v>
      </c>
      <c r="J266" s="6">
        <f ca="1">IF(ROW($J266)-1&lt;$K$1,$F266,AVERAGE($F266:OFFSET($F266,(($K$1-1)*-1),0)))</f>
        <v>200.91428571428568</v>
      </c>
      <c r="L266" s="7">
        <f t="shared" ca="1" si="24"/>
        <v>-1</v>
      </c>
      <c r="M266" s="7" t="str">
        <f t="shared" ca="1" si="25"/>
        <v/>
      </c>
      <c r="N266" s="6">
        <f t="shared" ca="1" si="26"/>
        <v>198.05</v>
      </c>
      <c r="O266" s="6">
        <f t="shared" si="27"/>
        <v>1.0500000000000114</v>
      </c>
      <c r="P266" s="6">
        <v>4.4000000000000057</v>
      </c>
      <c r="Q266" s="6">
        <v>-0.94999999999998863</v>
      </c>
      <c r="R266" s="9">
        <f t="shared" si="28"/>
        <v>-356.24999999999574</v>
      </c>
      <c r="S266" s="7">
        <f t="shared" si="23"/>
        <v>-4031.2500000000209</v>
      </c>
    </row>
    <row r="267" spans="1:19" x14ac:dyDescent="0.25">
      <c r="A267" s="4">
        <f>Sheet1!A267</f>
        <v>39472</v>
      </c>
      <c r="B267" s="5">
        <f>Sheet1!B267</f>
        <v>0.58333333333333337</v>
      </c>
      <c r="C267" s="6">
        <f>Sheet1!C267</f>
        <v>198.65</v>
      </c>
      <c r="D267" s="6">
        <f>Sheet1!D267</f>
        <v>199.55</v>
      </c>
      <c r="E267" s="6">
        <f>Sheet1!E267</f>
        <v>197.9</v>
      </c>
      <c r="F267" s="6">
        <f>Sheet1!F267</f>
        <v>198.1</v>
      </c>
      <c r="H267" s="6">
        <f ca="1">IF(ROW($H267)-1&lt;$I$1,$F267,AVERAGE($F267:OFFSET($F267,(($I$1-1)*-1),0)))</f>
        <v>199.58333333333334</v>
      </c>
      <c r="J267" s="6">
        <f ca="1">IF(ROW($J267)-1&lt;$K$1,$F267,AVERAGE($F267:OFFSET($F267,(($K$1-1)*-1),0)))</f>
        <v>200.81785714285715</v>
      </c>
      <c r="L267" s="7">
        <f t="shared" ca="1" si="24"/>
        <v>-1</v>
      </c>
      <c r="M267" s="7" t="str">
        <f t="shared" ca="1" si="25"/>
        <v/>
      </c>
      <c r="N267" s="6" t="str">
        <f t="shared" ca="1" si="26"/>
        <v/>
      </c>
      <c r="O267" s="6">
        <f t="shared" si="27"/>
        <v>-0.90000000000000568</v>
      </c>
      <c r="Q267" s="6">
        <v>-4.9999999999982947E-2</v>
      </c>
      <c r="R267" s="9">
        <f t="shared" si="28"/>
        <v>-18.749999999993605</v>
      </c>
      <c r="S267" s="7">
        <f t="shared" si="23"/>
        <v>-4031.2500000000209</v>
      </c>
    </row>
    <row r="268" spans="1:19" x14ac:dyDescent="0.25">
      <c r="A268" s="4">
        <f>Sheet1!A268</f>
        <v>39475</v>
      </c>
      <c r="B268" s="5">
        <f>Sheet1!B268</f>
        <v>0.58333333333333337</v>
      </c>
      <c r="C268" s="6">
        <f>Sheet1!C268</f>
        <v>197.8</v>
      </c>
      <c r="D268" s="6">
        <f>Sheet1!D268</f>
        <v>201.25</v>
      </c>
      <c r="E268" s="6">
        <f>Sheet1!E268</f>
        <v>197.65</v>
      </c>
      <c r="F268" s="6">
        <f>Sheet1!F268</f>
        <v>200.85</v>
      </c>
      <c r="H268" s="6">
        <f ca="1">IF(ROW($H268)-1&lt;$I$1,$F268,AVERAGE($F268:OFFSET($F268,(($I$1-1)*-1),0)))</f>
        <v>199.54999999999998</v>
      </c>
      <c r="J268" s="6">
        <f ca="1">IF(ROW($J268)-1&lt;$K$1,$F268,AVERAGE($F268:OFFSET($F268,(($K$1-1)*-1),0)))</f>
        <v>200.84642857142856</v>
      </c>
      <c r="L268" s="7">
        <f t="shared" ca="1" si="24"/>
        <v>-1</v>
      </c>
      <c r="M268" s="7" t="str">
        <f t="shared" ca="1" si="25"/>
        <v/>
      </c>
      <c r="N268" s="6" t="str">
        <f t="shared" ca="1" si="26"/>
        <v/>
      </c>
      <c r="O268" s="6">
        <f t="shared" si="27"/>
        <v>2.75</v>
      </c>
      <c r="Q268" s="6">
        <v>-2.7999999999999829</v>
      </c>
      <c r="R268" s="9">
        <f t="shared" si="28"/>
        <v>-1049.9999999999936</v>
      </c>
      <c r="S268" s="7">
        <f t="shared" si="23"/>
        <v>-4031.2500000000209</v>
      </c>
    </row>
    <row r="269" spans="1:19" x14ac:dyDescent="0.25">
      <c r="A269" s="4">
        <f>Sheet1!A269</f>
        <v>39476</v>
      </c>
      <c r="B269" s="5">
        <f>Sheet1!B269</f>
        <v>0.58333333333333337</v>
      </c>
      <c r="C269" s="6">
        <f>Sheet1!C269</f>
        <v>201.15</v>
      </c>
      <c r="D269" s="6">
        <f>Sheet1!D269</f>
        <v>201.55</v>
      </c>
      <c r="E269" s="6">
        <f>Sheet1!E269</f>
        <v>200.05</v>
      </c>
      <c r="F269" s="6">
        <f>Sheet1!F269</f>
        <v>200.35</v>
      </c>
      <c r="H269" s="6">
        <f ca="1">IF(ROW($H269)-1&lt;$I$1,$F269,AVERAGE($F269:OFFSET($F269,(($I$1-1)*-1),0)))</f>
        <v>199.65</v>
      </c>
      <c r="J269" s="6">
        <f ca="1">IF(ROW($J269)-1&lt;$K$1,$F269,AVERAGE($F269:OFFSET($F269,(($K$1-1)*-1),0)))</f>
        <v>200.83750000000003</v>
      </c>
      <c r="L269" s="7">
        <f t="shared" ca="1" si="24"/>
        <v>-1</v>
      </c>
      <c r="M269" s="7" t="str">
        <f t="shared" ca="1" si="25"/>
        <v/>
      </c>
      <c r="N269" s="6" t="str">
        <f t="shared" ca="1" si="26"/>
        <v/>
      </c>
      <c r="O269" s="6">
        <f t="shared" si="27"/>
        <v>-0.5</v>
      </c>
      <c r="Q269" s="6">
        <v>-2.2999999999999829</v>
      </c>
      <c r="R269" s="9">
        <f t="shared" si="28"/>
        <v>-862.49999999999363</v>
      </c>
      <c r="S269" s="7">
        <f t="shared" si="23"/>
        <v>-4031.2500000000209</v>
      </c>
    </row>
    <row r="270" spans="1:19" x14ac:dyDescent="0.25">
      <c r="A270" s="4">
        <f>Sheet1!A270</f>
        <v>39477</v>
      </c>
      <c r="B270" s="5">
        <f>Sheet1!B270</f>
        <v>0.58333333333333337</v>
      </c>
      <c r="C270" s="6">
        <f>Sheet1!C270</f>
        <v>200.75</v>
      </c>
      <c r="D270" s="6">
        <f>Sheet1!D270</f>
        <v>203.85</v>
      </c>
      <c r="E270" s="6">
        <f>Sheet1!E270</f>
        <v>200.75</v>
      </c>
      <c r="F270" s="6">
        <f>Sheet1!F270</f>
        <v>203.2</v>
      </c>
      <c r="H270" s="6">
        <f ca="1">IF(ROW($H270)-1&lt;$I$1,$F270,AVERAGE($F270:OFFSET($F270,(($I$1-1)*-1),0)))</f>
        <v>199.90833333333333</v>
      </c>
      <c r="J270" s="6">
        <f ca="1">IF(ROW($J270)-1&lt;$K$1,$F270,AVERAGE($F270:OFFSET($F270,(($K$1-1)*-1),0)))</f>
        <v>200.94821428571433</v>
      </c>
      <c r="L270" s="7">
        <f t="shared" ca="1" si="24"/>
        <v>-1</v>
      </c>
      <c r="M270" s="7" t="str">
        <f t="shared" ca="1" si="25"/>
        <v/>
      </c>
      <c r="N270" s="6" t="str">
        <f t="shared" ca="1" si="26"/>
        <v/>
      </c>
      <c r="O270" s="6">
        <f t="shared" si="27"/>
        <v>2.8499999999999943</v>
      </c>
      <c r="Q270" s="6">
        <v>-5.1499999999999773</v>
      </c>
      <c r="R270" s="9">
        <f t="shared" si="28"/>
        <v>-1931.2499999999914</v>
      </c>
      <c r="S270" s="7">
        <f t="shared" si="23"/>
        <v>-4031.2500000000209</v>
      </c>
    </row>
    <row r="271" spans="1:19" x14ac:dyDescent="0.25">
      <c r="A271" s="4">
        <f>Sheet1!A271</f>
        <v>39478</v>
      </c>
      <c r="B271" s="5">
        <f>Sheet1!B271</f>
        <v>0.58333333333333337</v>
      </c>
      <c r="C271" s="6">
        <f>Sheet1!C271</f>
        <v>203.9</v>
      </c>
      <c r="D271" s="6">
        <f>Sheet1!D271</f>
        <v>205.15</v>
      </c>
      <c r="E271" s="6">
        <f>Sheet1!E271</f>
        <v>203.25</v>
      </c>
      <c r="F271" s="6">
        <f>Sheet1!F271</f>
        <v>204.8</v>
      </c>
      <c r="H271" s="6">
        <f ca="1">IF(ROW($H271)-1&lt;$I$1,$F271,AVERAGE($F271:OFFSET($F271,(($I$1-1)*-1),0)))</f>
        <v>201.04999999999998</v>
      </c>
      <c r="J271" s="6">
        <f ca="1">IF(ROW($J271)-1&lt;$K$1,$F271,AVERAGE($F271:OFFSET($F271,(($K$1-1)*-1),0)))</f>
        <v>201.07678571428573</v>
      </c>
      <c r="L271" s="7">
        <f t="shared" ca="1" si="24"/>
        <v>-1</v>
      </c>
      <c r="M271" s="7" t="str">
        <f t="shared" ca="1" si="25"/>
        <v/>
      </c>
      <c r="N271" s="6" t="str">
        <f t="shared" ca="1" si="26"/>
        <v/>
      </c>
      <c r="O271" s="6">
        <f t="shared" si="27"/>
        <v>1.6000000000000227</v>
      </c>
      <c r="Q271" s="6">
        <v>-6.75</v>
      </c>
      <c r="R271" s="9">
        <f t="shared" si="28"/>
        <v>-2531.25</v>
      </c>
      <c r="S271" s="7">
        <f t="shared" si="23"/>
        <v>-4031.2500000000209</v>
      </c>
    </row>
    <row r="272" spans="1:19" x14ac:dyDescent="0.25">
      <c r="A272" s="4">
        <f>Sheet1!A272</f>
        <v>39479</v>
      </c>
      <c r="B272" s="5">
        <f>Sheet1!B272</f>
        <v>0.58333333333333337</v>
      </c>
      <c r="C272" s="6">
        <f>Sheet1!C272</f>
        <v>205.65</v>
      </c>
      <c r="D272" s="6">
        <f>Sheet1!D272</f>
        <v>206.15</v>
      </c>
      <c r="E272" s="6">
        <f>Sheet1!E272</f>
        <v>204.25</v>
      </c>
      <c r="F272" s="6">
        <f>Sheet1!F272</f>
        <v>205.75</v>
      </c>
      <c r="H272" s="6">
        <f ca="1">IF(ROW($H272)-1&lt;$I$1,$F272,AVERAGE($F272:OFFSET($F272,(($I$1-1)*-1),0)))</f>
        <v>202.17499999999998</v>
      </c>
      <c r="J272" s="6">
        <f ca="1">IF(ROW($J272)-1&lt;$K$1,$F272,AVERAGE($F272:OFFSET($F272,(($K$1-1)*-1),0)))</f>
        <v>201.24107142857147</v>
      </c>
      <c r="L272" s="7">
        <f t="shared" ca="1" si="24"/>
        <v>1</v>
      </c>
      <c r="M272" s="7">
        <f t="shared" ca="1" si="25"/>
        <v>1</v>
      </c>
      <c r="N272" s="6" t="str">
        <f t="shared" ca="1" si="26"/>
        <v/>
      </c>
      <c r="O272" s="6">
        <f t="shared" si="27"/>
        <v>0.94999999999998863</v>
      </c>
      <c r="Q272" s="6">
        <v>-7.6999999999999886</v>
      </c>
      <c r="R272" s="9">
        <f t="shared" si="28"/>
        <v>-2887.4999999999959</v>
      </c>
      <c r="S272" s="7">
        <f t="shared" ref="S272:S335" si="29">S271+(P272*375)</f>
        <v>-4031.2500000000209</v>
      </c>
    </row>
    <row r="273" spans="1:19" x14ac:dyDescent="0.25">
      <c r="A273" s="4">
        <f>Sheet1!A273</f>
        <v>39482</v>
      </c>
      <c r="B273" s="5">
        <f>Sheet1!B273</f>
        <v>0.58333333333333337</v>
      </c>
      <c r="C273" s="6">
        <f>Sheet1!C273</f>
        <v>206.55</v>
      </c>
      <c r="D273" s="6">
        <f>Sheet1!D273</f>
        <v>210.65</v>
      </c>
      <c r="E273" s="6">
        <f>Sheet1!E273</f>
        <v>205.95</v>
      </c>
      <c r="F273" s="6">
        <f>Sheet1!F273</f>
        <v>209.35</v>
      </c>
      <c r="H273" s="6">
        <f ca="1">IF(ROW($H273)-1&lt;$I$1,$F273,AVERAGE($F273:OFFSET($F273,(($I$1-1)*-1),0)))</f>
        <v>204.04999999999998</v>
      </c>
      <c r="J273" s="6">
        <f ca="1">IF(ROW($J273)-1&lt;$K$1,$F273,AVERAGE($F273:OFFSET($F273,(($K$1-1)*-1),0)))</f>
        <v>201.56250000000006</v>
      </c>
      <c r="L273" s="7">
        <f t="shared" ca="1" si="24"/>
        <v>1</v>
      </c>
      <c r="M273" s="7" t="str">
        <f t="shared" ca="1" si="25"/>
        <v/>
      </c>
      <c r="N273" s="6">
        <f t="shared" ca="1" si="26"/>
        <v>206.55</v>
      </c>
      <c r="O273" s="6">
        <f t="shared" si="27"/>
        <v>3.5999999999999943</v>
      </c>
      <c r="P273" s="6">
        <v>-8.5</v>
      </c>
      <c r="Q273" s="6">
        <v>2.7999999999999829</v>
      </c>
      <c r="R273" s="9">
        <f t="shared" si="28"/>
        <v>1049.9999999999936</v>
      </c>
      <c r="S273" s="7">
        <f t="shared" si="29"/>
        <v>-7218.7500000000209</v>
      </c>
    </row>
    <row r="274" spans="1:19" x14ac:dyDescent="0.25">
      <c r="A274" s="4">
        <f>Sheet1!A274</f>
        <v>39483</v>
      </c>
      <c r="B274" s="5">
        <f>Sheet1!B274</f>
        <v>0.58333333333333337</v>
      </c>
      <c r="C274" s="6">
        <f>Sheet1!C274</f>
        <v>209.05</v>
      </c>
      <c r="D274" s="6">
        <f>Sheet1!D274</f>
        <v>210.15</v>
      </c>
      <c r="E274" s="6">
        <f>Sheet1!E274</f>
        <v>207.9</v>
      </c>
      <c r="F274" s="6">
        <f>Sheet1!F274</f>
        <v>209.25</v>
      </c>
      <c r="H274" s="6">
        <f ca="1">IF(ROW($H274)-1&lt;$I$1,$F274,AVERAGE($F274:OFFSET($F274,(($I$1-1)*-1),0)))</f>
        <v>205.44999999999996</v>
      </c>
      <c r="J274" s="6">
        <f ca="1">IF(ROW($J274)-1&lt;$K$1,$F274,AVERAGE($F274:OFFSET($F274,(($K$1-1)*-1),0)))</f>
        <v>201.86250000000001</v>
      </c>
      <c r="L274" s="7">
        <f t="shared" ca="1" si="24"/>
        <v>1</v>
      </c>
      <c r="M274" s="7" t="str">
        <f t="shared" ca="1" si="25"/>
        <v/>
      </c>
      <c r="N274" s="6" t="str">
        <f t="shared" ca="1" si="26"/>
        <v/>
      </c>
      <c r="O274" s="6">
        <f t="shared" si="27"/>
        <v>-9.9999999999994316E-2</v>
      </c>
      <c r="Q274" s="6">
        <v>2.6999999999999886</v>
      </c>
      <c r="R274" s="9">
        <f t="shared" si="28"/>
        <v>1012.4999999999957</v>
      </c>
      <c r="S274" s="7">
        <f t="shared" si="29"/>
        <v>-7218.7500000000209</v>
      </c>
    </row>
    <row r="275" spans="1:19" x14ac:dyDescent="0.25">
      <c r="A275" s="4">
        <f>Sheet1!A275</f>
        <v>39484</v>
      </c>
      <c r="B275" s="5">
        <f>Sheet1!B275</f>
        <v>0.58333333333333337</v>
      </c>
      <c r="C275" s="6">
        <f>Sheet1!C275</f>
        <v>208.85</v>
      </c>
      <c r="D275" s="6">
        <f>Sheet1!D275</f>
        <v>209.95</v>
      </c>
      <c r="E275" s="6">
        <f>Sheet1!E275</f>
        <v>208.7</v>
      </c>
      <c r="F275" s="6">
        <f>Sheet1!F275</f>
        <v>209.8</v>
      </c>
      <c r="H275" s="6">
        <f ca="1">IF(ROW($H275)-1&lt;$I$1,$F275,AVERAGE($F275:OFFSET($F275,(($I$1-1)*-1),0)))</f>
        <v>207.02499999999998</v>
      </c>
      <c r="J275" s="6">
        <f ca="1">IF(ROW($J275)-1&lt;$K$1,$F275,AVERAGE($F275:OFFSET($F275,(($K$1-1)*-1),0)))</f>
        <v>202.20178571428573</v>
      </c>
      <c r="L275" s="7">
        <f t="shared" ca="1" si="24"/>
        <v>1</v>
      </c>
      <c r="M275" s="7" t="str">
        <f t="shared" ca="1" si="25"/>
        <v/>
      </c>
      <c r="N275" s="6" t="str">
        <f t="shared" ca="1" si="26"/>
        <v/>
      </c>
      <c r="O275" s="6">
        <f t="shared" si="27"/>
        <v>0.55000000000001137</v>
      </c>
      <c r="Q275" s="6">
        <v>3.25</v>
      </c>
      <c r="R275" s="9">
        <f t="shared" si="28"/>
        <v>1218.75</v>
      </c>
      <c r="S275" s="7">
        <f t="shared" si="29"/>
        <v>-7218.7500000000209</v>
      </c>
    </row>
    <row r="276" spans="1:19" x14ac:dyDescent="0.25">
      <c r="A276" s="4">
        <f>Sheet1!A276</f>
        <v>39485</v>
      </c>
      <c r="B276" s="5">
        <f>Sheet1!B276</f>
        <v>0.58333333333333337</v>
      </c>
      <c r="C276" s="6">
        <f>Sheet1!C276</f>
        <v>209.05</v>
      </c>
      <c r="D276" s="6">
        <f>Sheet1!D276</f>
        <v>210.15</v>
      </c>
      <c r="E276" s="6">
        <f>Sheet1!E276</f>
        <v>208.45</v>
      </c>
      <c r="F276" s="6">
        <f>Sheet1!F276</f>
        <v>209.95</v>
      </c>
      <c r="H276" s="6">
        <f ca="1">IF(ROW($H276)-1&lt;$I$1,$F276,AVERAGE($F276:OFFSET($F276,(($I$1-1)*-1),0)))</f>
        <v>208.15</v>
      </c>
      <c r="J276" s="6">
        <f ca="1">IF(ROW($J276)-1&lt;$K$1,$F276,AVERAGE($F276:OFFSET($F276,(($K$1-1)*-1),0)))</f>
        <v>202.61250000000001</v>
      </c>
      <c r="L276" s="7">
        <f t="shared" ca="1" si="24"/>
        <v>1</v>
      </c>
      <c r="M276" s="7" t="str">
        <f t="shared" ca="1" si="25"/>
        <v/>
      </c>
      <c r="N276" s="6" t="str">
        <f t="shared" ca="1" si="26"/>
        <v/>
      </c>
      <c r="O276" s="6">
        <f t="shared" si="27"/>
        <v>0.14999999999997726</v>
      </c>
      <c r="Q276" s="6">
        <v>3.3999999999999773</v>
      </c>
      <c r="R276" s="9">
        <f t="shared" si="28"/>
        <v>1274.9999999999914</v>
      </c>
      <c r="S276" s="7">
        <f t="shared" si="29"/>
        <v>-7218.7500000000209</v>
      </c>
    </row>
    <row r="277" spans="1:19" x14ac:dyDescent="0.25">
      <c r="A277" s="4">
        <f>Sheet1!A277</f>
        <v>39486</v>
      </c>
      <c r="B277" s="5">
        <f>Sheet1!B277</f>
        <v>0.58333333333333337</v>
      </c>
      <c r="C277" s="6">
        <f>Sheet1!C277</f>
        <v>209.15</v>
      </c>
      <c r="D277" s="6">
        <f>Sheet1!D277</f>
        <v>213.95</v>
      </c>
      <c r="E277" s="6">
        <f>Sheet1!E277</f>
        <v>209.05</v>
      </c>
      <c r="F277" s="6">
        <f>Sheet1!F277</f>
        <v>213.85</v>
      </c>
      <c r="H277" s="6">
        <f ca="1">IF(ROW($H277)-1&lt;$I$1,$F277,AVERAGE($F277:OFFSET($F277,(($I$1-1)*-1),0)))</f>
        <v>209.65833333333333</v>
      </c>
      <c r="J277" s="6">
        <f ca="1">IF(ROW($J277)-1&lt;$K$1,$F277,AVERAGE($F277:OFFSET($F277,(($K$1-1)*-1),0)))</f>
        <v>203.11607142857147</v>
      </c>
      <c r="L277" s="7">
        <f t="shared" ca="1" si="24"/>
        <v>1</v>
      </c>
      <c r="M277" s="7" t="str">
        <f t="shared" ca="1" si="25"/>
        <v/>
      </c>
      <c r="N277" s="6" t="str">
        <f t="shared" ca="1" si="26"/>
        <v/>
      </c>
      <c r="O277" s="6">
        <f t="shared" si="27"/>
        <v>3.9000000000000057</v>
      </c>
      <c r="Q277" s="6">
        <v>7.2999999999999829</v>
      </c>
      <c r="R277" s="9">
        <f t="shared" si="28"/>
        <v>2737.4999999999936</v>
      </c>
      <c r="S277" s="7">
        <f t="shared" si="29"/>
        <v>-7218.7500000000209</v>
      </c>
    </row>
    <row r="278" spans="1:19" x14ac:dyDescent="0.25">
      <c r="A278" s="4">
        <f>Sheet1!A278</f>
        <v>39489</v>
      </c>
      <c r="B278" s="5">
        <f>Sheet1!B278</f>
        <v>0.58333333333333337</v>
      </c>
      <c r="C278" s="6">
        <f>Sheet1!C278</f>
        <v>214.8</v>
      </c>
      <c r="D278" s="6">
        <f>Sheet1!D278</f>
        <v>215.25</v>
      </c>
      <c r="E278" s="6">
        <f>Sheet1!E278</f>
        <v>212.55</v>
      </c>
      <c r="F278" s="6">
        <f>Sheet1!F278</f>
        <v>214.55</v>
      </c>
      <c r="H278" s="6">
        <f ca="1">IF(ROW($H278)-1&lt;$I$1,$F278,AVERAGE($F278:OFFSET($F278,(($I$1-1)*-1),0)))</f>
        <v>211.125</v>
      </c>
      <c r="J278" s="6">
        <f ca="1">IF(ROW($J278)-1&lt;$K$1,$F278,AVERAGE($F278:OFFSET($F278,(($K$1-1)*-1),0)))</f>
        <v>203.53392857142859</v>
      </c>
      <c r="L278" s="7">
        <f t="shared" ca="1" si="24"/>
        <v>1</v>
      </c>
      <c r="M278" s="7" t="str">
        <f t="shared" ca="1" si="25"/>
        <v/>
      </c>
      <c r="N278" s="6" t="str">
        <f t="shared" ca="1" si="26"/>
        <v/>
      </c>
      <c r="O278" s="6">
        <f t="shared" si="27"/>
        <v>0.70000000000001705</v>
      </c>
      <c r="Q278" s="6">
        <v>8</v>
      </c>
      <c r="R278" s="9">
        <f t="shared" si="28"/>
        <v>3000</v>
      </c>
      <c r="S278" s="7">
        <f t="shared" si="29"/>
        <v>-7218.7500000000209</v>
      </c>
    </row>
    <row r="279" spans="1:19" x14ac:dyDescent="0.25">
      <c r="A279" s="4">
        <f>Sheet1!A279</f>
        <v>39490</v>
      </c>
      <c r="B279" s="5">
        <f>Sheet1!B279</f>
        <v>0.58333333333333337</v>
      </c>
      <c r="C279" s="6">
        <f>Sheet1!C279</f>
        <v>213.75</v>
      </c>
      <c r="D279" s="6">
        <f>Sheet1!D279</f>
        <v>215.05</v>
      </c>
      <c r="E279" s="6">
        <f>Sheet1!E279</f>
        <v>213.75</v>
      </c>
      <c r="F279" s="6">
        <f>Sheet1!F279</f>
        <v>214.6</v>
      </c>
      <c r="H279" s="6">
        <f ca="1">IF(ROW($H279)-1&lt;$I$1,$F279,AVERAGE($F279:OFFSET($F279,(($I$1-1)*-1),0)))</f>
        <v>212</v>
      </c>
      <c r="J279" s="6">
        <f ca="1">IF(ROW($J279)-1&lt;$K$1,$F279,AVERAGE($F279:OFFSET($F279,(($K$1-1)*-1),0)))</f>
        <v>204.03214285714287</v>
      </c>
      <c r="L279" s="7">
        <f t="shared" ca="1" si="24"/>
        <v>1</v>
      </c>
      <c r="M279" s="7" t="str">
        <f t="shared" ca="1" si="25"/>
        <v/>
      </c>
      <c r="N279" s="6" t="str">
        <f t="shared" ca="1" si="26"/>
        <v/>
      </c>
      <c r="O279" s="6">
        <f t="shared" si="27"/>
        <v>4.9999999999982947E-2</v>
      </c>
      <c r="Q279" s="6">
        <v>8.0499999999999829</v>
      </c>
      <c r="R279" s="9">
        <f t="shared" si="28"/>
        <v>3018.7499999999936</v>
      </c>
      <c r="S279" s="7">
        <f t="shared" si="29"/>
        <v>-7218.7500000000209</v>
      </c>
    </row>
    <row r="280" spans="1:19" x14ac:dyDescent="0.25">
      <c r="A280" s="4">
        <f>Sheet1!A280</f>
        <v>39491</v>
      </c>
      <c r="B280" s="5">
        <f>Sheet1!B280</f>
        <v>0.58333333333333337</v>
      </c>
      <c r="C280" s="6">
        <f>Sheet1!C280</f>
        <v>214.05</v>
      </c>
      <c r="D280" s="6">
        <f>Sheet1!D280</f>
        <v>216.95</v>
      </c>
      <c r="E280" s="6">
        <f>Sheet1!E280</f>
        <v>213.3</v>
      </c>
      <c r="F280" s="6">
        <f>Sheet1!F280</f>
        <v>216.2</v>
      </c>
      <c r="H280" s="6">
        <f ca="1">IF(ROW($H280)-1&lt;$I$1,$F280,AVERAGE($F280:OFFSET($F280,(($I$1-1)*-1),0)))</f>
        <v>213.15833333333333</v>
      </c>
      <c r="J280" s="6">
        <f ca="1">IF(ROW($J280)-1&lt;$K$1,$F280,AVERAGE($F280:OFFSET($F280,(($K$1-1)*-1),0)))</f>
        <v>204.54464285714289</v>
      </c>
      <c r="L280" s="7">
        <f t="shared" ca="1" si="24"/>
        <v>1</v>
      </c>
      <c r="M280" s="7" t="str">
        <f t="shared" ca="1" si="25"/>
        <v/>
      </c>
      <c r="N280" s="6" t="str">
        <f t="shared" ca="1" si="26"/>
        <v/>
      </c>
      <c r="O280" s="6">
        <f t="shared" si="27"/>
        <v>1.5999999999999943</v>
      </c>
      <c r="Q280" s="6">
        <v>9.6499999999999773</v>
      </c>
      <c r="R280" s="9">
        <f t="shared" si="28"/>
        <v>3618.7499999999914</v>
      </c>
      <c r="S280" s="7">
        <f t="shared" si="29"/>
        <v>-7218.7500000000209</v>
      </c>
    </row>
    <row r="281" spans="1:19" x14ac:dyDescent="0.25">
      <c r="A281" s="4">
        <f>Sheet1!A281</f>
        <v>39492</v>
      </c>
      <c r="B281" s="5">
        <f>Sheet1!B281</f>
        <v>0.58333333333333337</v>
      </c>
      <c r="C281" s="6">
        <f>Sheet1!C281</f>
        <v>217.65</v>
      </c>
      <c r="D281" s="6">
        <f>Sheet1!D281</f>
        <v>219.45</v>
      </c>
      <c r="E281" s="6">
        <f>Sheet1!E281</f>
        <v>216.65</v>
      </c>
      <c r="F281" s="6">
        <f>Sheet1!F281</f>
        <v>219.25</v>
      </c>
      <c r="H281" s="6">
        <f ca="1">IF(ROW($H281)-1&lt;$I$1,$F281,AVERAGE($F281:OFFSET($F281,(($I$1-1)*-1),0)))</f>
        <v>214.73333333333332</v>
      </c>
      <c r="J281" s="6">
        <f ca="1">IF(ROW($J281)-1&lt;$K$1,$F281,AVERAGE($F281:OFFSET($F281,(($K$1-1)*-1),0)))</f>
        <v>205.25535714285712</v>
      </c>
      <c r="L281" s="7">
        <f t="shared" ca="1" si="24"/>
        <v>1</v>
      </c>
      <c r="M281" s="7" t="str">
        <f t="shared" ca="1" si="25"/>
        <v/>
      </c>
      <c r="N281" s="6" t="str">
        <f t="shared" ca="1" si="26"/>
        <v/>
      </c>
      <c r="O281" s="6">
        <f t="shared" si="27"/>
        <v>3.0500000000000114</v>
      </c>
      <c r="Q281" s="6">
        <v>12.699999999999989</v>
      </c>
      <c r="R281" s="9">
        <f t="shared" si="28"/>
        <v>4762.4999999999955</v>
      </c>
      <c r="S281" s="7">
        <f t="shared" si="29"/>
        <v>-7218.7500000000209</v>
      </c>
    </row>
    <row r="282" spans="1:19" x14ac:dyDescent="0.25">
      <c r="A282" s="4">
        <f>Sheet1!A282</f>
        <v>39493</v>
      </c>
      <c r="B282" s="5">
        <f>Sheet1!B282</f>
        <v>0.58333333333333337</v>
      </c>
      <c r="C282" s="6">
        <f>Sheet1!C282</f>
        <v>222.05</v>
      </c>
      <c r="D282" s="6">
        <f>Sheet1!D282</f>
        <v>222.55</v>
      </c>
      <c r="E282" s="6">
        <f>Sheet1!E282</f>
        <v>216.4</v>
      </c>
      <c r="F282" s="6">
        <f>Sheet1!F282</f>
        <v>216.45</v>
      </c>
      <c r="H282" s="6">
        <f ca="1">IF(ROW($H282)-1&lt;$I$1,$F282,AVERAGE($F282:OFFSET($F282,(($I$1-1)*-1),0)))</f>
        <v>215.81666666666669</v>
      </c>
      <c r="J282" s="6">
        <f ca="1">IF(ROW($J282)-1&lt;$K$1,$F282,AVERAGE($F282:OFFSET($F282,(($K$1-1)*-1),0)))</f>
        <v>205.91249999999999</v>
      </c>
      <c r="L282" s="7">
        <f t="shared" ca="1" si="24"/>
        <v>1</v>
      </c>
      <c r="M282" s="7" t="str">
        <f t="shared" ca="1" si="25"/>
        <v/>
      </c>
      <c r="N282" s="6" t="str">
        <f t="shared" ca="1" si="26"/>
        <v/>
      </c>
      <c r="O282" s="6">
        <f t="shared" si="27"/>
        <v>-2.8000000000000114</v>
      </c>
      <c r="Q282" s="6">
        <v>9.8999999999999773</v>
      </c>
      <c r="R282" s="9">
        <f t="shared" si="28"/>
        <v>3712.4999999999914</v>
      </c>
      <c r="S282" s="7">
        <f t="shared" si="29"/>
        <v>-7218.7500000000209</v>
      </c>
    </row>
    <row r="283" spans="1:19" x14ac:dyDescent="0.25">
      <c r="A283" s="4">
        <f>Sheet1!A283</f>
        <v>39497</v>
      </c>
      <c r="B283" s="5">
        <f>Sheet1!B283</f>
        <v>0.58333333333333337</v>
      </c>
      <c r="C283" s="6">
        <f>Sheet1!C283</f>
        <v>218.35</v>
      </c>
      <c r="D283" s="6">
        <f>Sheet1!D283</f>
        <v>222.25</v>
      </c>
      <c r="E283" s="6">
        <f>Sheet1!E283</f>
        <v>218.35</v>
      </c>
      <c r="F283" s="6">
        <f>Sheet1!F283</f>
        <v>221.8</v>
      </c>
      <c r="H283" s="6">
        <f ca="1">IF(ROW($H283)-1&lt;$I$1,$F283,AVERAGE($F283:OFFSET($F283,(($I$1-1)*-1),0)))</f>
        <v>217.14166666666665</v>
      </c>
      <c r="J283" s="6">
        <f ca="1">IF(ROW($J283)-1&lt;$K$1,$F283,AVERAGE($F283:OFFSET($F283,(($K$1-1)*-1),0)))</f>
        <v>206.61607142857147</v>
      </c>
      <c r="L283" s="7">
        <f t="shared" ca="1" si="24"/>
        <v>1</v>
      </c>
      <c r="M283" s="7" t="str">
        <f t="shared" ca="1" si="25"/>
        <v/>
      </c>
      <c r="N283" s="6" t="str">
        <f t="shared" ca="1" si="26"/>
        <v/>
      </c>
      <c r="O283" s="6">
        <f t="shared" si="27"/>
        <v>5.3500000000000227</v>
      </c>
      <c r="Q283" s="6">
        <v>15.25</v>
      </c>
      <c r="R283" s="9">
        <f t="shared" si="28"/>
        <v>5718.75</v>
      </c>
      <c r="S283" s="7">
        <f t="shared" si="29"/>
        <v>-7218.7500000000209</v>
      </c>
    </row>
    <row r="284" spans="1:19" x14ac:dyDescent="0.25">
      <c r="A284" s="4">
        <f>Sheet1!A284</f>
        <v>39498</v>
      </c>
      <c r="B284" s="5">
        <f>Sheet1!B284</f>
        <v>0.58333333333333337</v>
      </c>
      <c r="C284" s="6">
        <f>Sheet1!C284</f>
        <v>219.55</v>
      </c>
      <c r="D284" s="6">
        <f>Sheet1!D284</f>
        <v>221.75</v>
      </c>
      <c r="E284" s="6">
        <f>Sheet1!E284</f>
        <v>219.55</v>
      </c>
      <c r="F284" s="6">
        <f>Sheet1!F284</f>
        <v>221.5</v>
      </c>
      <c r="H284" s="6">
        <f ca="1">IF(ROW($H284)-1&lt;$I$1,$F284,AVERAGE($F284:OFFSET($F284,(($I$1-1)*-1),0)))</f>
        <v>218.29999999999998</v>
      </c>
      <c r="J284" s="6">
        <f ca="1">IF(ROW($J284)-1&lt;$K$1,$F284,AVERAGE($F284:OFFSET($F284,(($K$1-1)*-1),0)))</f>
        <v>207.30357142857142</v>
      </c>
      <c r="L284" s="7">
        <f t="shared" ca="1" si="24"/>
        <v>1</v>
      </c>
      <c r="M284" s="7" t="str">
        <f t="shared" ca="1" si="25"/>
        <v/>
      </c>
      <c r="N284" s="6" t="str">
        <f t="shared" ca="1" si="26"/>
        <v/>
      </c>
      <c r="O284" s="6">
        <f t="shared" si="27"/>
        <v>-0.30000000000001137</v>
      </c>
      <c r="Q284" s="6">
        <v>14.949999999999989</v>
      </c>
      <c r="R284" s="9">
        <f t="shared" si="28"/>
        <v>5606.2499999999955</v>
      </c>
      <c r="S284" s="7">
        <f t="shared" si="29"/>
        <v>-7218.7500000000209</v>
      </c>
    </row>
    <row r="285" spans="1:19" x14ac:dyDescent="0.25">
      <c r="A285" s="4">
        <f>Sheet1!A285</f>
        <v>39499</v>
      </c>
      <c r="B285" s="5">
        <f>Sheet1!B285</f>
        <v>0.58333333333333337</v>
      </c>
      <c r="C285" s="6">
        <f>Sheet1!C285</f>
        <v>221.55</v>
      </c>
      <c r="D285" s="6">
        <f>Sheet1!D285</f>
        <v>224.45</v>
      </c>
      <c r="E285" s="6">
        <f>Sheet1!E285</f>
        <v>221.55</v>
      </c>
      <c r="F285" s="6">
        <f>Sheet1!F285</f>
        <v>223.05</v>
      </c>
      <c r="H285" s="6">
        <f ca="1">IF(ROW($H285)-1&lt;$I$1,$F285,AVERAGE($F285:OFFSET($F285,(($I$1-1)*-1),0)))</f>
        <v>219.70833333333334</v>
      </c>
      <c r="J285" s="6">
        <f ca="1">IF(ROW($J285)-1&lt;$K$1,$F285,AVERAGE($F285:OFFSET($F285,(($K$1-1)*-1),0)))</f>
        <v>208.00892857142858</v>
      </c>
      <c r="L285" s="7">
        <f t="shared" ca="1" si="24"/>
        <v>1</v>
      </c>
      <c r="M285" s="7" t="str">
        <f t="shared" ca="1" si="25"/>
        <v/>
      </c>
      <c r="N285" s="6" t="str">
        <f t="shared" ca="1" si="26"/>
        <v/>
      </c>
      <c r="O285" s="6">
        <f t="shared" si="27"/>
        <v>1.5500000000000114</v>
      </c>
      <c r="Q285" s="6">
        <v>16.5</v>
      </c>
      <c r="R285" s="9">
        <f t="shared" si="28"/>
        <v>6187.5</v>
      </c>
      <c r="S285" s="7">
        <f t="shared" si="29"/>
        <v>-7218.7500000000209</v>
      </c>
    </row>
    <row r="286" spans="1:19" x14ac:dyDescent="0.25">
      <c r="A286" s="4">
        <f>Sheet1!A286</f>
        <v>39500</v>
      </c>
      <c r="B286" s="5">
        <f>Sheet1!B286</f>
        <v>0.58333333333333337</v>
      </c>
      <c r="C286" s="6">
        <f>Sheet1!C286</f>
        <v>223.2</v>
      </c>
      <c r="D286" s="6">
        <f>Sheet1!D286</f>
        <v>226.55</v>
      </c>
      <c r="E286" s="6">
        <f>Sheet1!E286</f>
        <v>223.2</v>
      </c>
      <c r="F286" s="6">
        <f>Sheet1!F286</f>
        <v>226.45</v>
      </c>
      <c r="H286" s="6">
        <f ca="1">IF(ROW($H286)-1&lt;$I$1,$F286,AVERAGE($F286:OFFSET($F286,(($I$1-1)*-1),0)))</f>
        <v>221.41666666666666</v>
      </c>
      <c r="J286" s="6">
        <f ca="1">IF(ROW($J286)-1&lt;$K$1,$F286,AVERAGE($F286:OFFSET($F286,(($K$1-1)*-1),0)))</f>
        <v>208.84821428571428</v>
      </c>
      <c r="L286" s="7">
        <f t="shared" ca="1" si="24"/>
        <v>1</v>
      </c>
      <c r="M286" s="7" t="str">
        <f t="shared" ca="1" si="25"/>
        <v/>
      </c>
      <c r="N286" s="6" t="str">
        <f t="shared" ca="1" si="26"/>
        <v/>
      </c>
      <c r="O286" s="6">
        <f t="shared" si="27"/>
        <v>3.3999999999999773</v>
      </c>
      <c r="Q286" s="6">
        <v>19.899999999999977</v>
      </c>
      <c r="R286" s="9">
        <f t="shared" si="28"/>
        <v>7462.4999999999918</v>
      </c>
      <c r="S286" s="7">
        <f t="shared" si="29"/>
        <v>-7218.7500000000209</v>
      </c>
    </row>
    <row r="287" spans="1:19" x14ac:dyDescent="0.25">
      <c r="A287" s="4">
        <f>Sheet1!A287</f>
        <v>39503</v>
      </c>
      <c r="B287" s="5">
        <f>Sheet1!B287</f>
        <v>0.58333333333333337</v>
      </c>
      <c r="C287" s="6">
        <f>Sheet1!C287</f>
        <v>226.05</v>
      </c>
      <c r="D287" s="6">
        <f>Sheet1!D287</f>
        <v>229.15</v>
      </c>
      <c r="E287" s="6">
        <f>Sheet1!E287</f>
        <v>225.65</v>
      </c>
      <c r="F287" s="6">
        <f>Sheet1!F287</f>
        <v>228.05</v>
      </c>
      <c r="H287" s="6">
        <f ca="1">IF(ROW($H287)-1&lt;$I$1,$F287,AVERAGE($F287:OFFSET($F287,(($I$1-1)*-1),0)))</f>
        <v>222.88333333333333</v>
      </c>
      <c r="J287" s="6">
        <f ca="1">IF(ROW($J287)-1&lt;$K$1,$F287,AVERAGE($F287:OFFSET($F287,(($K$1-1)*-1),0)))</f>
        <v>209.70000000000002</v>
      </c>
      <c r="L287" s="7">
        <f t="shared" ca="1" si="24"/>
        <v>1</v>
      </c>
      <c r="M287" s="7" t="str">
        <f t="shared" ca="1" si="25"/>
        <v/>
      </c>
      <c r="N287" s="6" t="str">
        <f t="shared" ca="1" si="26"/>
        <v/>
      </c>
      <c r="O287" s="6">
        <f t="shared" si="27"/>
        <v>1.6000000000000227</v>
      </c>
      <c r="Q287" s="6">
        <v>21.5</v>
      </c>
      <c r="R287" s="9">
        <f t="shared" si="28"/>
        <v>8062.5</v>
      </c>
      <c r="S287" s="7">
        <f t="shared" si="29"/>
        <v>-7218.7500000000209</v>
      </c>
    </row>
    <row r="288" spans="1:19" x14ac:dyDescent="0.25">
      <c r="A288" s="4">
        <f>Sheet1!A288</f>
        <v>39504</v>
      </c>
      <c r="B288" s="5">
        <f>Sheet1!B288</f>
        <v>0.58333333333333337</v>
      </c>
      <c r="C288" s="6">
        <f>Sheet1!C288</f>
        <v>227</v>
      </c>
      <c r="D288" s="6">
        <f>Sheet1!D288</f>
        <v>227.25</v>
      </c>
      <c r="E288" s="6">
        <f>Sheet1!E288</f>
        <v>223.75</v>
      </c>
      <c r="F288" s="6">
        <f>Sheet1!F288</f>
        <v>224.35</v>
      </c>
      <c r="H288" s="6">
        <f ca="1">IF(ROW($H288)-1&lt;$I$1,$F288,AVERAGE($F288:OFFSET($F288,(($I$1-1)*-1),0)))</f>
        <v>224.19999999999996</v>
      </c>
      <c r="J288" s="6">
        <f ca="1">IF(ROW($J288)-1&lt;$K$1,$F288,AVERAGE($F288:OFFSET($F288,(($K$1-1)*-1),0)))</f>
        <v>210.4446428571429</v>
      </c>
      <c r="L288" s="7">
        <f t="shared" ca="1" si="24"/>
        <v>1</v>
      </c>
      <c r="M288" s="7" t="str">
        <f t="shared" ca="1" si="25"/>
        <v/>
      </c>
      <c r="N288" s="6" t="str">
        <f t="shared" ca="1" si="26"/>
        <v/>
      </c>
      <c r="O288" s="6">
        <f t="shared" si="27"/>
        <v>-3.7000000000000171</v>
      </c>
      <c r="Q288" s="6">
        <v>17.799999999999983</v>
      </c>
      <c r="R288" s="9">
        <f t="shared" si="28"/>
        <v>6674.9999999999936</v>
      </c>
      <c r="S288" s="7">
        <f t="shared" si="29"/>
        <v>-7218.7500000000209</v>
      </c>
    </row>
    <row r="289" spans="1:19" x14ac:dyDescent="0.25">
      <c r="A289" s="4">
        <f>Sheet1!A289</f>
        <v>39505</v>
      </c>
      <c r="B289" s="5">
        <f>Sheet1!B289</f>
        <v>0.58333333333333337</v>
      </c>
      <c r="C289" s="6">
        <f>Sheet1!C289</f>
        <v>226.85</v>
      </c>
      <c r="D289" s="6">
        <f>Sheet1!D289</f>
        <v>228.45</v>
      </c>
      <c r="E289" s="6">
        <f>Sheet1!E289</f>
        <v>226.35</v>
      </c>
      <c r="F289" s="6">
        <f>Sheet1!F289</f>
        <v>228.15</v>
      </c>
      <c r="H289" s="6">
        <f ca="1">IF(ROW($H289)-1&lt;$I$1,$F289,AVERAGE($F289:OFFSET($F289,(($I$1-1)*-1),0)))</f>
        <v>225.25833333333333</v>
      </c>
      <c r="J289" s="6">
        <f ca="1">IF(ROW($J289)-1&lt;$K$1,$F289,AVERAGE($F289:OFFSET($F289,(($K$1-1)*-1),0)))</f>
        <v>211.39464285714286</v>
      </c>
      <c r="L289" s="7">
        <f t="shared" ca="1" si="24"/>
        <v>1</v>
      </c>
      <c r="M289" s="7" t="str">
        <f t="shared" ca="1" si="25"/>
        <v/>
      </c>
      <c r="N289" s="6" t="str">
        <f t="shared" ca="1" si="26"/>
        <v/>
      </c>
      <c r="O289" s="6">
        <f t="shared" si="27"/>
        <v>3.8000000000000114</v>
      </c>
      <c r="Q289" s="6">
        <v>21.599999999999994</v>
      </c>
      <c r="R289" s="9">
        <f t="shared" si="28"/>
        <v>8099.9999999999982</v>
      </c>
      <c r="S289" s="7">
        <f t="shared" si="29"/>
        <v>-7218.7500000000209</v>
      </c>
    </row>
    <row r="290" spans="1:19" x14ac:dyDescent="0.25">
      <c r="A290" s="4">
        <f>Sheet1!A290</f>
        <v>39506</v>
      </c>
      <c r="B290" s="5">
        <f>Sheet1!B290</f>
        <v>0.58333333333333337</v>
      </c>
      <c r="C290" s="6">
        <f>Sheet1!C290</f>
        <v>225.65</v>
      </c>
      <c r="D290" s="6">
        <f>Sheet1!D290</f>
        <v>231.75</v>
      </c>
      <c r="E290" s="6">
        <f>Sheet1!E290</f>
        <v>225.35</v>
      </c>
      <c r="F290" s="6">
        <f>Sheet1!F290</f>
        <v>231.55</v>
      </c>
      <c r="H290" s="6">
        <f ca="1">IF(ROW($H290)-1&lt;$I$1,$F290,AVERAGE($F290:OFFSET($F290,(($I$1-1)*-1),0)))</f>
        <v>226.93333333333331</v>
      </c>
      <c r="J290" s="6">
        <f ca="1">IF(ROW($J290)-1&lt;$K$1,$F290,AVERAGE($F290:OFFSET($F290,(($K$1-1)*-1),0)))</f>
        <v>212.48392857142858</v>
      </c>
      <c r="L290" s="7">
        <f t="shared" ca="1" si="24"/>
        <v>1</v>
      </c>
      <c r="M290" s="7" t="str">
        <f t="shared" ca="1" si="25"/>
        <v/>
      </c>
      <c r="N290" s="6" t="str">
        <f t="shared" ca="1" si="26"/>
        <v/>
      </c>
      <c r="O290" s="6">
        <f t="shared" si="27"/>
        <v>3.4000000000000057</v>
      </c>
      <c r="Q290" s="6">
        <v>25</v>
      </c>
      <c r="R290" s="9">
        <f t="shared" si="28"/>
        <v>9375</v>
      </c>
      <c r="S290" s="7">
        <f t="shared" si="29"/>
        <v>-7218.7500000000209</v>
      </c>
    </row>
    <row r="291" spans="1:19" x14ac:dyDescent="0.25">
      <c r="A291" s="4">
        <f>Sheet1!A291</f>
        <v>39507</v>
      </c>
      <c r="B291" s="5">
        <f>Sheet1!B291</f>
        <v>0.58333333333333337</v>
      </c>
      <c r="C291" s="6">
        <f>Sheet1!C291</f>
        <v>231.45</v>
      </c>
      <c r="D291" s="6">
        <f>Sheet1!D291</f>
        <v>235.65</v>
      </c>
      <c r="E291" s="6">
        <f>Sheet1!E291</f>
        <v>229.3</v>
      </c>
      <c r="F291" s="6">
        <f>Sheet1!F291</f>
        <v>230.85</v>
      </c>
      <c r="H291" s="6">
        <f ca="1">IF(ROW($H291)-1&lt;$I$1,$F291,AVERAGE($F291:OFFSET($F291,(($I$1-1)*-1),0)))</f>
        <v>228.23333333333332</v>
      </c>
      <c r="J291" s="6">
        <f ca="1">IF(ROW($J291)-1&lt;$K$1,$F291,AVERAGE($F291:OFFSET($F291,(($K$1-1)*-1),0)))</f>
        <v>213.59464285714287</v>
      </c>
      <c r="L291" s="7">
        <f t="shared" ca="1" si="24"/>
        <v>1</v>
      </c>
      <c r="M291" s="7" t="str">
        <f t="shared" ca="1" si="25"/>
        <v/>
      </c>
      <c r="N291" s="6" t="str">
        <f t="shared" ca="1" si="26"/>
        <v/>
      </c>
      <c r="O291" s="6">
        <f t="shared" si="27"/>
        <v>-0.70000000000001705</v>
      </c>
      <c r="Q291" s="6">
        <v>24.299999999999983</v>
      </c>
      <c r="R291" s="9">
        <f t="shared" si="28"/>
        <v>9112.4999999999927</v>
      </c>
      <c r="S291" s="7">
        <f t="shared" si="29"/>
        <v>-7218.7500000000209</v>
      </c>
    </row>
    <row r="292" spans="1:19" x14ac:dyDescent="0.25">
      <c r="A292" s="4">
        <f>Sheet1!A292</f>
        <v>39510</v>
      </c>
      <c r="B292" s="5">
        <f>Sheet1!B292</f>
        <v>0.58333333333333337</v>
      </c>
      <c r="C292" s="6">
        <f>Sheet1!C292</f>
        <v>231.6</v>
      </c>
      <c r="D292" s="6">
        <f>Sheet1!D292</f>
        <v>231.6</v>
      </c>
      <c r="E292" s="6">
        <f>Sheet1!E292</f>
        <v>231.6</v>
      </c>
      <c r="F292" s="6">
        <f>Sheet1!F292</f>
        <v>231.6</v>
      </c>
      <c r="H292" s="6">
        <f ca="1">IF(ROW($H292)-1&lt;$I$1,$F292,AVERAGE($F292:OFFSET($F292,(($I$1-1)*-1),0)))</f>
        <v>229.09166666666661</v>
      </c>
      <c r="J292" s="6">
        <f ca="1">IF(ROW($J292)-1&lt;$K$1,$F292,AVERAGE($F292:OFFSET($F292,(($K$1-1)*-1),0)))</f>
        <v>214.66428571428574</v>
      </c>
      <c r="L292" s="7">
        <f t="shared" ca="1" si="24"/>
        <v>1</v>
      </c>
      <c r="M292" s="7" t="str">
        <f t="shared" ca="1" si="25"/>
        <v/>
      </c>
      <c r="N292" s="6" t="str">
        <f t="shared" ca="1" si="26"/>
        <v/>
      </c>
      <c r="O292" s="6">
        <f t="shared" si="27"/>
        <v>0.75</v>
      </c>
      <c r="Q292" s="6">
        <v>25.049999999999983</v>
      </c>
      <c r="R292" s="9">
        <f t="shared" si="28"/>
        <v>9393.7499999999927</v>
      </c>
      <c r="S292" s="7">
        <f t="shared" si="29"/>
        <v>-7218.7500000000209</v>
      </c>
    </row>
    <row r="293" spans="1:19" x14ac:dyDescent="0.25">
      <c r="A293" s="4">
        <f>Sheet1!A293</f>
        <v>39511</v>
      </c>
      <c r="B293" s="5">
        <f>Sheet1!B293</f>
        <v>0.58333333333333337</v>
      </c>
      <c r="C293" s="6">
        <f>Sheet1!C293</f>
        <v>230.95</v>
      </c>
      <c r="D293" s="6">
        <f>Sheet1!D293</f>
        <v>232.9</v>
      </c>
      <c r="E293" s="6">
        <f>Sheet1!E293</f>
        <v>227.05</v>
      </c>
      <c r="F293" s="6">
        <f>Sheet1!F293</f>
        <v>227.1</v>
      </c>
      <c r="H293" s="6">
        <f ca="1">IF(ROW($H293)-1&lt;$I$1,$F293,AVERAGE($F293:OFFSET($F293,(($I$1-1)*-1),0)))</f>
        <v>228.93333333333331</v>
      </c>
      <c r="J293" s="6">
        <f ca="1">IF(ROW($J293)-1&lt;$K$1,$F293,AVERAGE($F293:OFFSET($F293,(($K$1-1)*-1),0)))</f>
        <v>215.70535714285717</v>
      </c>
      <c r="L293" s="7">
        <f t="shared" ca="1" si="24"/>
        <v>1</v>
      </c>
      <c r="M293" s="7" t="str">
        <f t="shared" ca="1" si="25"/>
        <v/>
      </c>
      <c r="N293" s="6" t="str">
        <f t="shared" ca="1" si="26"/>
        <v/>
      </c>
      <c r="O293" s="6">
        <f t="shared" si="27"/>
        <v>-4.5</v>
      </c>
      <c r="Q293" s="6">
        <v>20.549999999999983</v>
      </c>
      <c r="R293" s="9">
        <f t="shared" si="28"/>
        <v>7706.2499999999936</v>
      </c>
      <c r="S293" s="7">
        <f t="shared" si="29"/>
        <v>-7218.7500000000209</v>
      </c>
    </row>
    <row r="294" spans="1:19" x14ac:dyDescent="0.25">
      <c r="A294" s="4">
        <f>Sheet1!A294</f>
        <v>39512</v>
      </c>
      <c r="B294" s="5">
        <f>Sheet1!B294</f>
        <v>0.58333333333333337</v>
      </c>
      <c r="C294" s="6">
        <f>Sheet1!C294</f>
        <v>227.75</v>
      </c>
      <c r="D294" s="6">
        <f>Sheet1!D294</f>
        <v>229.55</v>
      </c>
      <c r="E294" s="6">
        <f>Sheet1!E294</f>
        <v>225.6</v>
      </c>
      <c r="F294" s="6">
        <f>Sheet1!F294</f>
        <v>227.95</v>
      </c>
      <c r="H294" s="6">
        <f ca="1">IF(ROW($H294)-1&lt;$I$1,$F294,AVERAGE($F294:OFFSET($F294,(($I$1-1)*-1),0)))</f>
        <v>229.53333333333333</v>
      </c>
      <c r="J294" s="6">
        <f ca="1">IF(ROW($J294)-1&lt;$K$1,$F294,AVERAGE($F294:OFFSET($F294,(($K$1-1)*-1),0)))</f>
        <v>216.73928571428573</v>
      </c>
      <c r="L294" s="7">
        <f t="shared" ca="1" si="24"/>
        <v>1</v>
      </c>
      <c r="M294" s="7" t="str">
        <f t="shared" ca="1" si="25"/>
        <v/>
      </c>
      <c r="N294" s="6" t="str">
        <f t="shared" ca="1" si="26"/>
        <v/>
      </c>
      <c r="O294" s="6">
        <f t="shared" si="27"/>
        <v>0.84999999999999432</v>
      </c>
      <c r="Q294" s="6">
        <v>21.399999999999977</v>
      </c>
      <c r="R294" s="9">
        <f t="shared" si="28"/>
        <v>8024.9999999999918</v>
      </c>
      <c r="S294" s="7">
        <f t="shared" si="29"/>
        <v>-7218.7500000000209</v>
      </c>
    </row>
    <row r="295" spans="1:19" x14ac:dyDescent="0.25">
      <c r="A295" s="4">
        <f>Sheet1!A295</f>
        <v>39513</v>
      </c>
      <c r="B295" s="5">
        <f>Sheet1!B295</f>
        <v>0.58333333333333337</v>
      </c>
      <c r="C295" s="6">
        <f>Sheet1!C295</f>
        <v>226.25</v>
      </c>
      <c r="D295" s="6">
        <f>Sheet1!D295</f>
        <v>230</v>
      </c>
      <c r="E295" s="6">
        <f>Sheet1!E295</f>
        <v>216.95</v>
      </c>
      <c r="F295" s="6">
        <f>Sheet1!F295</f>
        <v>218.35</v>
      </c>
      <c r="H295" s="6">
        <f ca="1">IF(ROW($H295)-1&lt;$I$1,$F295,AVERAGE($F295:OFFSET($F295,(($I$1-1)*-1),0)))</f>
        <v>227.89999999999998</v>
      </c>
      <c r="J295" s="6">
        <f ca="1">IF(ROW($J295)-1&lt;$K$1,$F295,AVERAGE($F295:OFFSET($F295,(($K$1-1)*-1),0)))</f>
        <v>217.46250000000006</v>
      </c>
      <c r="L295" s="7">
        <f t="shared" ca="1" si="24"/>
        <v>1</v>
      </c>
      <c r="M295" s="7" t="str">
        <f t="shared" ca="1" si="25"/>
        <v/>
      </c>
      <c r="N295" s="6" t="str">
        <f t="shared" ca="1" si="26"/>
        <v/>
      </c>
      <c r="O295" s="6">
        <f t="shared" si="27"/>
        <v>-9.5999999999999943</v>
      </c>
      <c r="Q295" s="6">
        <v>11.799999999999983</v>
      </c>
      <c r="R295" s="9">
        <f t="shared" si="28"/>
        <v>4424.9999999999936</v>
      </c>
      <c r="S295" s="7">
        <f t="shared" si="29"/>
        <v>-7218.7500000000209</v>
      </c>
    </row>
    <row r="296" spans="1:19" x14ac:dyDescent="0.25">
      <c r="A296" s="4">
        <f>Sheet1!A296</f>
        <v>39514</v>
      </c>
      <c r="B296" s="5">
        <f>Sheet1!B296</f>
        <v>0.58333333333333337</v>
      </c>
      <c r="C296" s="6">
        <f>Sheet1!C296</f>
        <v>219.05</v>
      </c>
      <c r="D296" s="6">
        <f>Sheet1!D296</f>
        <v>220.75</v>
      </c>
      <c r="E296" s="6">
        <f>Sheet1!E296</f>
        <v>211</v>
      </c>
      <c r="F296" s="6">
        <f>Sheet1!F296</f>
        <v>214.45</v>
      </c>
      <c r="H296" s="6">
        <f ca="1">IF(ROW($H296)-1&lt;$I$1,$F296,AVERAGE($F296:OFFSET($F296,(($I$1-1)*-1),0)))</f>
        <v>225.04999999999998</v>
      </c>
      <c r="J296" s="6">
        <f ca="1">IF(ROW($J296)-1&lt;$K$1,$F296,AVERAGE($F296:OFFSET($F296,(($K$1-1)*-1),0)))</f>
        <v>217.94821428571433</v>
      </c>
      <c r="L296" s="7">
        <f t="shared" ca="1" si="24"/>
        <v>1</v>
      </c>
      <c r="M296" s="7" t="str">
        <f t="shared" ca="1" si="25"/>
        <v/>
      </c>
      <c r="N296" s="6" t="str">
        <f t="shared" ca="1" si="26"/>
        <v/>
      </c>
      <c r="O296" s="6">
        <f t="shared" si="27"/>
        <v>-3.9000000000000057</v>
      </c>
      <c r="Q296" s="6">
        <v>7.8999999999999773</v>
      </c>
      <c r="R296" s="9">
        <f t="shared" si="28"/>
        <v>2962.4999999999914</v>
      </c>
      <c r="S296" s="7">
        <f t="shared" si="29"/>
        <v>-7218.7500000000209</v>
      </c>
    </row>
    <row r="297" spans="1:19" x14ac:dyDescent="0.25">
      <c r="A297" s="4">
        <f>Sheet1!A297</f>
        <v>39517</v>
      </c>
      <c r="B297" s="5">
        <f>Sheet1!B297</f>
        <v>0.58333333333333337</v>
      </c>
      <c r="C297" s="6">
        <f>Sheet1!C297</f>
        <v>214.45</v>
      </c>
      <c r="D297" s="6">
        <f>Sheet1!D297</f>
        <v>215.55</v>
      </c>
      <c r="E297" s="6">
        <f>Sheet1!E297</f>
        <v>211.7</v>
      </c>
      <c r="F297" s="6">
        <f>Sheet1!F297</f>
        <v>215.35</v>
      </c>
      <c r="H297" s="6">
        <f ca="1">IF(ROW($H297)-1&lt;$I$1,$F297,AVERAGE($F297:OFFSET($F297,(($I$1-1)*-1),0)))</f>
        <v>222.46666666666667</v>
      </c>
      <c r="J297" s="6">
        <f ca="1">IF(ROW($J297)-1&lt;$K$1,$F297,AVERAGE($F297:OFFSET($F297,(($K$1-1)*-1),0)))</f>
        <v>218.48392857142861</v>
      </c>
      <c r="L297" s="7">
        <f t="shared" ca="1" si="24"/>
        <v>1</v>
      </c>
      <c r="M297" s="7" t="str">
        <f t="shared" ca="1" si="25"/>
        <v/>
      </c>
      <c r="N297" s="6" t="str">
        <f t="shared" ca="1" si="26"/>
        <v/>
      </c>
      <c r="O297" s="6">
        <f t="shared" si="27"/>
        <v>0.90000000000000568</v>
      </c>
      <c r="Q297" s="6">
        <v>8.7999999999999829</v>
      </c>
      <c r="R297" s="9">
        <f t="shared" si="28"/>
        <v>3299.9999999999936</v>
      </c>
      <c r="S297" s="7">
        <f t="shared" si="29"/>
        <v>-7218.7500000000209</v>
      </c>
    </row>
    <row r="298" spans="1:19" x14ac:dyDescent="0.25">
      <c r="A298" s="4">
        <f>Sheet1!A298</f>
        <v>39518</v>
      </c>
      <c r="B298" s="5">
        <f>Sheet1!B298</f>
        <v>0.58333333333333337</v>
      </c>
      <c r="C298" s="6">
        <f>Sheet1!C298</f>
        <v>214.65</v>
      </c>
      <c r="D298" s="6">
        <f>Sheet1!D298</f>
        <v>218.2</v>
      </c>
      <c r="E298" s="6">
        <f>Sheet1!E298</f>
        <v>213.35</v>
      </c>
      <c r="F298" s="6">
        <f>Sheet1!F298</f>
        <v>217.25</v>
      </c>
      <c r="H298" s="6">
        <f ca="1">IF(ROW($H298)-1&lt;$I$1,$F298,AVERAGE($F298:OFFSET($F298,(($I$1-1)*-1),0)))</f>
        <v>220.07499999999996</v>
      </c>
      <c r="J298" s="6">
        <f ca="1">IF(ROW($J298)-1&lt;$K$1,$F298,AVERAGE($F298:OFFSET($F298,(($K$1-1)*-1),0)))</f>
        <v>218.98571428571432</v>
      </c>
      <c r="L298" s="7">
        <f t="shared" ca="1" si="24"/>
        <v>1</v>
      </c>
      <c r="M298" s="7" t="str">
        <f t="shared" ca="1" si="25"/>
        <v/>
      </c>
      <c r="N298" s="6" t="str">
        <f t="shared" ca="1" si="26"/>
        <v/>
      </c>
      <c r="O298" s="6">
        <f t="shared" si="27"/>
        <v>1.9000000000000057</v>
      </c>
      <c r="Q298" s="6">
        <v>10.699999999999989</v>
      </c>
      <c r="R298" s="9">
        <f t="shared" si="28"/>
        <v>4012.4999999999959</v>
      </c>
      <c r="S298" s="7">
        <f t="shared" si="29"/>
        <v>-7218.7500000000209</v>
      </c>
    </row>
    <row r="299" spans="1:19" x14ac:dyDescent="0.25">
      <c r="A299" s="4">
        <f>Sheet1!A299</f>
        <v>39519</v>
      </c>
      <c r="B299" s="5">
        <f>Sheet1!B299</f>
        <v>0.58333333333333337</v>
      </c>
      <c r="C299" s="6">
        <f>Sheet1!C299</f>
        <v>217.25</v>
      </c>
      <c r="D299" s="6">
        <f>Sheet1!D299</f>
        <v>219.2</v>
      </c>
      <c r="E299" s="6">
        <f>Sheet1!E299</f>
        <v>216.5</v>
      </c>
      <c r="F299" s="6">
        <f>Sheet1!F299</f>
        <v>219.05</v>
      </c>
      <c r="H299" s="6">
        <f ca="1">IF(ROW($H299)-1&lt;$I$1,$F299,AVERAGE($F299:OFFSET($F299,(($I$1-1)*-1),0)))</f>
        <v>218.73333333333332</v>
      </c>
      <c r="J299" s="6">
        <f ca="1">IF(ROW($J299)-1&lt;$K$1,$F299,AVERAGE($F299:OFFSET($F299,(($K$1-1)*-1),0)))</f>
        <v>219.49464285714294</v>
      </c>
      <c r="L299" s="7">
        <f t="shared" ca="1" si="24"/>
        <v>-1</v>
      </c>
      <c r="M299" s="7">
        <f t="shared" ca="1" si="25"/>
        <v>-1</v>
      </c>
      <c r="N299" s="6" t="str">
        <f t="shared" ca="1" si="26"/>
        <v/>
      </c>
      <c r="O299" s="6">
        <f t="shared" si="27"/>
        <v>1.8000000000000114</v>
      </c>
      <c r="Q299" s="6">
        <v>12.5</v>
      </c>
      <c r="R299" s="9">
        <f t="shared" si="28"/>
        <v>4687.5</v>
      </c>
      <c r="S299" s="7">
        <f t="shared" si="29"/>
        <v>-7218.7500000000209</v>
      </c>
    </row>
    <row r="300" spans="1:19" x14ac:dyDescent="0.25">
      <c r="A300" s="4">
        <f>Sheet1!A300</f>
        <v>39520</v>
      </c>
      <c r="B300" s="5">
        <f>Sheet1!B300</f>
        <v>0.58333333333333337</v>
      </c>
      <c r="C300" s="6">
        <f>Sheet1!C300</f>
        <v>219.25</v>
      </c>
      <c r="D300" s="6">
        <f>Sheet1!D300</f>
        <v>223.15</v>
      </c>
      <c r="E300" s="6">
        <f>Sheet1!E300</f>
        <v>218.55</v>
      </c>
      <c r="F300" s="6">
        <f>Sheet1!F300</f>
        <v>223</v>
      </c>
      <c r="H300" s="6">
        <f ca="1">IF(ROW($H300)-1&lt;$I$1,$F300,AVERAGE($F300:OFFSET($F300,(($I$1-1)*-1),0)))</f>
        <v>217.90833333333333</v>
      </c>
      <c r="J300" s="6">
        <f ca="1">IF(ROW($J300)-1&lt;$K$1,$F300,AVERAGE($F300:OFFSET($F300,(($K$1-1)*-1),0)))</f>
        <v>220.11071428571435</v>
      </c>
      <c r="L300" s="7">
        <f t="shared" ca="1" si="24"/>
        <v>-1</v>
      </c>
      <c r="M300" s="7" t="str">
        <f t="shared" ca="1" si="25"/>
        <v/>
      </c>
      <c r="N300" s="6">
        <f t="shared" ca="1" si="26"/>
        <v>219.25</v>
      </c>
      <c r="O300" s="6">
        <f t="shared" si="27"/>
        <v>3.9499999999999886</v>
      </c>
      <c r="P300" s="6">
        <v>12.699999999999989</v>
      </c>
      <c r="Q300" s="6">
        <v>-3.75</v>
      </c>
      <c r="R300" s="9">
        <f t="shared" si="28"/>
        <v>-1406.25</v>
      </c>
      <c r="S300" s="7">
        <f t="shared" si="29"/>
        <v>-2456.2500000000255</v>
      </c>
    </row>
    <row r="301" spans="1:19" x14ac:dyDescent="0.25">
      <c r="A301" s="4">
        <f>Sheet1!A301</f>
        <v>39521</v>
      </c>
      <c r="B301" s="5">
        <f>Sheet1!B301</f>
        <v>0.58333333333333337</v>
      </c>
      <c r="C301" s="6">
        <f>Sheet1!C301</f>
        <v>223.05</v>
      </c>
      <c r="D301" s="6">
        <f>Sheet1!D301</f>
        <v>223.95</v>
      </c>
      <c r="E301" s="6">
        <f>Sheet1!E301</f>
        <v>212.35</v>
      </c>
      <c r="F301" s="6">
        <f>Sheet1!F301</f>
        <v>212.55</v>
      </c>
      <c r="H301" s="6">
        <f ca="1">IF(ROW($H301)-1&lt;$I$1,$F301,AVERAGE($F301:OFFSET($F301,(($I$1-1)*-1),0)))</f>
        <v>216.94166666666663</v>
      </c>
      <c r="J301" s="6">
        <f ca="1">IF(ROW($J301)-1&lt;$K$1,$F301,AVERAGE($F301:OFFSET($F301,(($K$1-1)*-1),0)))</f>
        <v>220.22500000000008</v>
      </c>
      <c r="L301" s="7">
        <f t="shared" ca="1" si="24"/>
        <v>-1</v>
      </c>
      <c r="M301" s="7" t="str">
        <f t="shared" ca="1" si="25"/>
        <v/>
      </c>
      <c r="N301" s="6" t="str">
        <f t="shared" ca="1" si="26"/>
        <v/>
      </c>
      <c r="O301" s="6">
        <f t="shared" si="27"/>
        <v>-10.449999999999989</v>
      </c>
      <c r="Q301" s="6">
        <v>6.6999999999999886</v>
      </c>
      <c r="R301" s="9">
        <f t="shared" si="28"/>
        <v>2512.4999999999959</v>
      </c>
      <c r="S301" s="7">
        <f t="shared" si="29"/>
        <v>-2456.2500000000255</v>
      </c>
    </row>
    <row r="302" spans="1:19" x14ac:dyDescent="0.25">
      <c r="A302" s="4">
        <f>Sheet1!A302</f>
        <v>39524</v>
      </c>
      <c r="B302" s="5">
        <f>Sheet1!B302</f>
        <v>0.58333333333333337</v>
      </c>
      <c r="C302" s="6">
        <f>Sheet1!C302</f>
        <v>213.35</v>
      </c>
      <c r="D302" s="6">
        <f>Sheet1!D302</f>
        <v>214.75</v>
      </c>
      <c r="E302" s="6">
        <f>Sheet1!E302</f>
        <v>198.55</v>
      </c>
      <c r="F302" s="6">
        <f>Sheet1!F302</f>
        <v>201.25</v>
      </c>
      <c r="H302" s="6">
        <f ca="1">IF(ROW($H302)-1&lt;$I$1,$F302,AVERAGE($F302:OFFSET($F302,(($I$1-1)*-1),0)))</f>
        <v>214.74166666666667</v>
      </c>
      <c r="J302" s="6">
        <f ca="1">IF(ROW($J302)-1&lt;$K$1,$F302,AVERAGE($F302:OFFSET($F302,(($K$1-1)*-1),0)))</f>
        <v>219.93928571428575</v>
      </c>
      <c r="L302" s="7">
        <f t="shared" ca="1" si="24"/>
        <v>-1</v>
      </c>
      <c r="M302" s="7" t="str">
        <f t="shared" ca="1" si="25"/>
        <v/>
      </c>
      <c r="N302" s="6" t="str">
        <f t="shared" ca="1" si="26"/>
        <v/>
      </c>
      <c r="O302" s="6">
        <f t="shared" si="27"/>
        <v>-11.300000000000011</v>
      </c>
      <c r="Q302" s="6">
        <v>18</v>
      </c>
      <c r="R302" s="9">
        <f t="shared" si="28"/>
        <v>6750</v>
      </c>
      <c r="S302" s="7">
        <f t="shared" si="29"/>
        <v>-2456.2500000000255</v>
      </c>
    </row>
    <row r="303" spans="1:19" x14ac:dyDescent="0.25">
      <c r="A303" s="4">
        <f>Sheet1!A303</f>
        <v>39525</v>
      </c>
      <c r="B303" s="5">
        <f>Sheet1!B303</f>
        <v>0.58333333333333337</v>
      </c>
      <c r="C303" s="6">
        <f>Sheet1!C303</f>
        <v>201.55</v>
      </c>
      <c r="D303" s="6">
        <f>Sheet1!D303</f>
        <v>203.8</v>
      </c>
      <c r="E303" s="6">
        <f>Sheet1!E303</f>
        <v>198.45</v>
      </c>
      <c r="F303" s="6">
        <f>Sheet1!F303</f>
        <v>201.85</v>
      </c>
      <c r="H303" s="6">
        <f ca="1">IF(ROW($H303)-1&lt;$I$1,$F303,AVERAGE($F303:OFFSET($F303,(($I$1-1)*-1),0)))</f>
        <v>212.49166666666665</v>
      </c>
      <c r="J303" s="6">
        <f ca="1">IF(ROW($J303)-1&lt;$K$1,$F303,AVERAGE($F303:OFFSET($F303,(($K$1-1)*-1),0)))</f>
        <v>219.65535714285718</v>
      </c>
      <c r="L303" s="7">
        <f t="shared" ca="1" si="24"/>
        <v>-1</v>
      </c>
      <c r="M303" s="7" t="str">
        <f t="shared" ca="1" si="25"/>
        <v/>
      </c>
      <c r="N303" s="6" t="str">
        <f t="shared" ca="1" si="26"/>
        <v/>
      </c>
      <c r="O303" s="6">
        <f t="shared" si="27"/>
        <v>0.59999999999999432</v>
      </c>
      <c r="Q303" s="6">
        <v>17.400000000000006</v>
      </c>
      <c r="R303" s="9">
        <f t="shared" si="28"/>
        <v>6525.0000000000018</v>
      </c>
      <c r="S303" s="7">
        <f t="shared" si="29"/>
        <v>-2456.2500000000255</v>
      </c>
    </row>
    <row r="304" spans="1:19" x14ac:dyDescent="0.25">
      <c r="A304" s="4">
        <f>Sheet1!A304</f>
        <v>39526</v>
      </c>
      <c r="B304" s="5">
        <f>Sheet1!B304</f>
        <v>0.58333333333333337</v>
      </c>
      <c r="C304" s="6">
        <f>Sheet1!C304</f>
        <v>202.1</v>
      </c>
      <c r="D304" s="6">
        <f>Sheet1!D304</f>
        <v>203.25</v>
      </c>
      <c r="E304" s="6">
        <f>Sheet1!E304</f>
        <v>194.65</v>
      </c>
      <c r="F304" s="6">
        <f>Sheet1!F304</f>
        <v>196.8</v>
      </c>
      <c r="H304" s="6">
        <f ca="1">IF(ROW($H304)-1&lt;$I$1,$F304,AVERAGE($F304:OFFSET($F304,(($I$1-1)*-1),0)))</f>
        <v>209.08333333333334</v>
      </c>
      <c r="J304" s="6">
        <f ca="1">IF(ROW($J304)-1&lt;$K$1,$F304,AVERAGE($F304:OFFSET($F304,(($K$1-1)*-1),0)))</f>
        <v>219.18571428571431</v>
      </c>
      <c r="L304" s="7">
        <f t="shared" ca="1" si="24"/>
        <v>-1</v>
      </c>
      <c r="M304" s="7" t="str">
        <f t="shared" ca="1" si="25"/>
        <v/>
      </c>
      <c r="N304" s="6" t="str">
        <f t="shared" ca="1" si="26"/>
        <v/>
      </c>
      <c r="O304" s="6">
        <f t="shared" si="27"/>
        <v>-5.0499999999999829</v>
      </c>
      <c r="Q304" s="6">
        <v>22.449999999999989</v>
      </c>
      <c r="R304" s="9">
        <f t="shared" si="28"/>
        <v>8418.7499999999964</v>
      </c>
      <c r="S304" s="7">
        <f t="shared" si="29"/>
        <v>-2456.2500000000255</v>
      </c>
    </row>
    <row r="305" spans="1:19" x14ac:dyDescent="0.25">
      <c r="A305" s="4">
        <f>Sheet1!A305</f>
        <v>39527</v>
      </c>
      <c r="B305" s="5">
        <f>Sheet1!B305</f>
        <v>0.58333333333333337</v>
      </c>
      <c r="C305" s="6">
        <f>Sheet1!C305</f>
        <v>196.85</v>
      </c>
      <c r="D305" s="6">
        <f>Sheet1!D305</f>
        <v>198.05</v>
      </c>
      <c r="E305" s="6">
        <f>Sheet1!E305</f>
        <v>189.9</v>
      </c>
      <c r="F305" s="6">
        <f>Sheet1!F305</f>
        <v>195.7</v>
      </c>
      <c r="H305" s="6">
        <f ca="1">IF(ROW($H305)-1&lt;$I$1,$F305,AVERAGE($F305:OFFSET($F305,(($I$1-1)*-1),0)))</f>
        <v>205.19166666666669</v>
      </c>
      <c r="J305" s="6">
        <f ca="1">IF(ROW($J305)-1&lt;$K$1,$F305,AVERAGE($F305:OFFSET($F305,(($K$1-1)*-1),0)))</f>
        <v>218.53750000000005</v>
      </c>
      <c r="L305" s="7">
        <f t="shared" ca="1" si="24"/>
        <v>-1</v>
      </c>
      <c r="M305" s="7" t="str">
        <f t="shared" ca="1" si="25"/>
        <v/>
      </c>
      <c r="N305" s="6" t="str">
        <f t="shared" ca="1" si="26"/>
        <v/>
      </c>
      <c r="O305" s="6">
        <f t="shared" si="27"/>
        <v>-1.1000000000000227</v>
      </c>
      <c r="Q305" s="6">
        <v>23.550000000000011</v>
      </c>
      <c r="R305" s="9">
        <f t="shared" si="28"/>
        <v>8831.2500000000036</v>
      </c>
      <c r="S305" s="7">
        <f t="shared" si="29"/>
        <v>-2456.2500000000255</v>
      </c>
    </row>
    <row r="306" spans="1:19" x14ac:dyDescent="0.25">
      <c r="A306" s="4">
        <f>Sheet1!A306</f>
        <v>39531</v>
      </c>
      <c r="B306" s="5">
        <f>Sheet1!B306</f>
        <v>0.58333333333333337</v>
      </c>
      <c r="C306" s="6">
        <f>Sheet1!C306</f>
        <v>195.7</v>
      </c>
      <c r="D306" s="6">
        <f>Sheet1!D306</f>
        <v>197.25</v>
      </c>
      <c r="E306" s="6">
        <f>Sheet1!E306</f>
        <v>192.1</v>
      </c>
      <c r="F306" s="6">
        <f>Sheet1!F306</f>
        <v>193.75</v>
      </c>
      <c r="H306" s="6">
        <f ca="1">IF(ROW($H306)-1&lt;$I$1,$F306,AVERAGE($F306:OFFSET($F306,(($I$1-1)*-1),0)))</f>
        <v>200.31666666666669</v>
      </c>
      <c r="J306" s="6">
        <f ca="1">IF(ROW($J306)-1&lt;$K$1,$F306,AVERAGE($F306:OFFSET($F306,(($K$1-1)*-1),0)))</f>
        <v>217.79464285714286</v>
      </c>
      <c r="L306" s="7">
        <f t="shared" ca="1" si="24"/>
        <v>-1</v>
      </c>
      <c r="M306" s="7" t="str">
        <f t="shared" ca="1" si="25"/>
        <v/>
      </c>
      <c r="N306" s="6" t="str">
        <f t="shared" ca="1" si="26"/>
        <v/>
      </c>
      <c r="O306" s="6">
        <f t="shared" si="27"/>
        <v>-1.9499999999999886</v>
      </c>
      <c r="Q306" s="6">
        <v>25.5</v>
      </c>
      <c r="R306" s="9">
        <f t="shared" si="28"/>
        <v>9562.5</v>
      </c>
      <c r="S306" s="7">
        <f t="shared" si="29"/>
        <v>-2456.2500000000255</v>
      </c>
    </row>
    <row r="307" spans="1:19" x14ac:dyDescent="0.25">
      <c r="A307" s="4">
        <f>Sheet1!A307</f>
        <v>39532</v>
      </c>
      <c r="B307" s="5">
        <f>Sheet1!B307</f>
        <v>0.58333333333333337</v>
      </c>
      <c r="C307" s="6">
        <f>Sheet1!C307</f>
        <v>194.05</v>
      </c>
      <c r="D307" s="6">
        <f>Sheet1!D307</f>
        <v>197.8</v>
      </c>
      <c r="E307" s="6">
        <f>Sheet1!E307</f>
        <v>193.7</v>
      </c>
      <c r="F307" s="6">
        <f>Sheet1!F307</f>
        <v>197.7</v>
      </c>
      <c r="H307" s="6">
        <f ca="1">IF(ROW($H307)-1&lt;$I$1,$F307,AVERAGE($F307:OFFSET($F307,(($I$1-1)*-1),0)))</f>
        <v>197.8416666666667</v>
      </c>
      <c r="J307" s="6">
        <f ca="1">IF(ROW($J307)-1&lt;$K$1,$F307,AVERAGE($F307:OFFSET($F307,(($K$1-1)*-1),0)))</f>
        <v>217.19107142857141</v>
      </c>
      <c r="L307" s="7">
        <f t="shared" ca="1" si="24"/>
        <v>-1</v>
      </c>
      <c r="M307" s="7" t="str">
        <f t="shared" ca="1" si="25"/>
        <v/>
      </c>
      <c r="N307" s="6" t="str">
        <f t="shared" ca="1" si="26"/>
        <v/>
      </c>
      <c r="O307" s="6">
        <f t="shared" si="27"/>
        <v>3.9499999999999886</v>
      </c>
      <c r="Q307" s="6">
        <v>21.550000000000011</v>
      </c>
      <c r="R307" s="9">
        <f t="shared" si="28"/>
        <v>8081.2500000000045</v>
      </c>
      <c r="S307" s="7">
        <f t="shared" si="29"/>
        <v>-2456.2500000000255</v>
      </c>
    </row>
    <row r="308" spans="1:19" x14ac:dyDescent="0.25">
      <c r="A308" s="4">
        <f>Sheet1!A308</f>
        <v>39533</v>
      </c>
      <c r="B308" s="5">
        <f>Sheet1!B308</f>
        <v>0.58333333333333337</v>
      </c>
      <c r="C308" s="6">
        <f>Sheet1!C308</f>
        <v>196.75</v>
      </c>
      <c r="D308" s="6">
        <f>Sheet1!D308</f>
        <v>199.4</v>
      </c>
      <c r="E308" s="6">
        <f>Sheet1!E308</f>
        <v>194.65</v>
      </c>
      <c r="F308" s="6">
        <f>Sheet1!F308</f>
        <v>196.6</v>
      </c>
      <c r="H308" s="6">
        <f ca="1">IF(ROW($H308)-1&lt;$I$1,$F308,AVERAGE($F308:OFFSET($F308,(($I$1-1)*-1),0)))</f>
        <v>197.06666666666663</v>
      </c>
      <c r="J308" s="6">
        <f ca="1">IF(ROW($J308)-1&lt;$K$1,$F308,AVERAGE($F308:OFFSET($F308,(($K$1-1)*-1),0)))</f>
        <v>216.49107142857142</v>
      </c>
      <c r="L308" s="7">
        <f t="shared" ca="1" si="24"/>
        <v>-1</v>
      </c>
      <c r="M308" s="7" t="str">
        <f t="shared" ca="1" si="25"/>
        <v/>
      </c>
      <c r="N308" s="6" t="str">
        <f t="shared" ca="1" si="26"/>
        <v/>
      </c>
      <c r="O308" s="6">
        <f t="shared" si="27"/>
        <v>-1.0999999999999943</v>
      </c>
      <c r="Q308" s="6">
        <v>22.650000000000006</v>
      </c>
      <c r="R308" s="9">
        <f t="shared" si="28"/>
        <v>8493.7500000000018</v>
      </c>
      <c r="S308" s="7">
        <f t="shared" si="29"/>
        <v>-2456.2500000000255</v>
      </c>
    </row>
    <row r="309" spans="1:19" x14ac:dyDescent="0.25">
      <c r="A309" s="4">
        <f>Sheet1!A309</f>
        <v>39534</v>
      </c>
      <c r="B309" s="5">
        <f>Sheet1!B309</f>
        <v>0.58333333333333337</v>
      </c>
      <c r="C309" s="6">
        <f>Sheet1!C309</f>
        <v>196.7</v>
      </c>
      <c r="D309" s="6">
        <f>Sheet1!D309</f>
        <v>197.55</v>
      </c>
      <c r="E309" s="6">
        <f>Sheet1!E309</f>
        <v>193.7</v>
      </c>
      <c r="F309" s="6">
        <f>Sheet1!F309</f>
        <v>197.2</v>
      </c>
      <c r="H309" s="6">
        <f ca="1">IF(ROW($H309)-1&lt;$I$1,$F309,AVERAGE($F309:OFFSET($F309,(($I$1-1)*-1),0)))</f>
        <v>196.29166666666666</v>
      </c>
      <c r="J309" s="6">
        <f ca="1">IF(ROW($J309)-1&lt;$K$1,$F309,AVERAGE($F309:OFFSET($F309,(($K$1-1)*-1),0)))</f>
        <v>215.70357142857142</v>
      </c>
      <c r="L309" s="7">
        <f t="shared" ca="1" si="24"/>
        <v>-1</v>
      </c>
      <c r="M309" s="7" t="str">
        <f t="shared" ca="1" si="25"/>
        <v/>
      </c>
      <c r="N309" s="6" t="str">
        <f t="shared" ca="1" si="26"/>
        <v/>
      </c>
      <c r="O309" s="6">
        <f t="shared" si="27"/>
        <v>0.59999999999999432</v>
      </c>
      <c r="Q309" s="6">
        <v>22.050000000000011</v>
      </c>
      <c r="R309" s="9">
        <f t="shared" si="28"/>
        <v>8268.7500000000036</v>
      </c>
      <c r="S309" s="7">
        <f t="shared" si="29"/>
        <v>-2456.2500000000255</v>
      </c>
    </row>
    <row r="310" spans="1:19" x14ac:dyDescent="0.25">
      <c r="A310" s="4">
        <f>Sheet1!A310</f>
        <v>39535</v>
      </c>
      <c r="B310" s="5">
        <f>Sheet1!B310</f>
        <v>0.58333333333333337</v>
      </c>
      <c r="C310" s="6">
        <f>Sheet1!C310</f>
        <v>197.2</v>
      </c>
      <c r="D310" s="6">
        <f>Sheet1!D310</f>
        <v>197.35</v>
      </c>
      <c r="E310" s="6">
        <f>Sheet1!E310</f>
        <v>193.5</v>
      </c>
      <c r="F310" s="6">
        <f>Sheet1!F310</f>
        <v>194.05</v>
      </c>
      <c r="H310" s="6">
        <f ca="1">IF(ROW($H310)-1&lt;$I$1,$F310,AVERAGE($F310:OFFSET($F310,(($I$1-1)*-1),0)))</f>
        <v>195.83333333333334</v>
      </c>
      <c r="J310" s="6">
        <f ca="1">IF(ROW($J310)-1&lt;$K$1,$F310,AVERAGE($F310:OFFSET($F310,(($K$1-1)*-1),0)))</f>
        <v>214.90357142857144</v>
      </c>
      <c r="L310" s="7">
        <f t="shared" ca="1" si="24"/>
        <v>-1</v>
      </c>
      <c r="M310" s="7" t="str">
        <f t="shared" ca="1" si="25"/>
        <v/>
      </c>
      <c r="N310" s="6" t="str">
        <f t="shared" ca="1" si="26"/>
        <v/>
      </c>
      <c r="O310" s="6">
        <f t="shared" si="27"/>
        <v>-3.1499999999999773</v>
      </c>
      <c r="Q310" s="6">
        <v>25.199999999999989</v>
      </c>
      <c r="R310" s="9">
        <f t="shared" si="28"/>
        <v>9449.9999999999964</v>
      </c>
      <c r="S310" s="7">
        <f t="shared" si="29"/>
        <v>-2456.2500000000255</v>
      </c>
    </row>
    <row r="311" spans="1:19" x14ac:dyDescent="0.25">
      <c r="A311" s="4">
        <f>Sheet1!A311</f>
        <v>39538</v>
      </c>
      <c r="B311" s="5">
        <f>Sheet1!B311</f>
        <v>0.58333333333333337</v>
      </c>
      <c r="C311" s="6">
        <f>Sheet1!C311</f>
        <v>194.05</v>
      </c>
      <c r="D311" s="6">
        <f>Sheet1!D311</f>
        <v>195.55</v>
      </c>
      <c r="E311" s="6">
        <f>Sheet1!E311</f>
        <v>191</v>
      </c>
      <c r="F311" s="6">
        <f>Sheet1!F311</f>
        <v>191.1</v>
      </c>
      <c r="H311" s="6">
        <f ca="1">IF(ROW($H311)-1&lt;$I$1,$F311,AVERAGE($F311:OFFSET($F311,(($I$1-1)*-1),0)))</f>
        <v>195.06666666666663</v>
      </c>
      <c r="J311" s="6">
        <f ca="1">IF(ROW($J311)-1&lt;$K$1,$F311,AVERAGE($F311:OFFSET($F311,(($K$1-1)*-1),0)))</f>
        <v>213.80714285714288</v>
      </c>
      <c r="L311" s="7">
        <f t="shared" ca="1" si="24"/>
        <v>-1</v>
      </c>
      <c r="M311" s="7" t="str">
        <f t="shared" ca="1" si="25"/>
        <v/>
      </c>
      <c r="N311" s="6" t="str">
        <f t="shared" ca="1" si="26"/>
        <v/>
      </c>
      <c r="O311" s="6">
        <f t="shared" si="27"/>
        <v>-2.9500000000000171</v>
      </c>
      <c r="Q311" s="6">
        <v>28.150000000000006</v>
      </c>
      <c r="R311" s="9">
        <f t="shared" si="28"/>
        <v>10556.250000000002</v>
      </c>
      <c r="S311" s="7">
        <f t="shared" si="29"/>
        <v>-2456.2500000000255</v>
      </c>
    </row>
    <row r="312" spans="1:19" x14ac:dyDescent="0.25">
      <c r="A312" s="4">
        <f>Sheet1!A312</f>
        <v>39539</v>
      </c>
      <c r="B312" s="5">
        <f>Sheet1!B312</f>
        <v>0.58333333333333337</v>
      </c>
      <c r="C312" s="6">
        <f>Sheet1!C312</f>
        <v>191.05</v>
      </c>
      <c r="D312" s="6">
        <f>Sheet1!D312</f>
        <v>194.3</v>
      </c>
      <c r="E312" s="6">
        <f>Sheet1!E312</f>
        <v>190.25</v>
      </c>
      <c r="F312" s="6">
        <f>Sheet1!F312</f>
        <v>193.7</v>
      </c>
      <c r="H312" s="6">
        <f ca="1">IF(ROW($H312)-1&lt;$I$1,$F312,AVERAGE($F312:OFFSET($F312,(($I$1-1)*-1),0)))</f>
        <v>195.05833333333331</v>
      </c>
      <c r="J312" s="6">
        <f ca="1">IF(ROW($J312)-1&lt;$K$1,$F312,AVERAGE($F312:OFFSET($F312,(($K$1-1)*-1),0)))</f>
        <v>212.81428571428572</v>
      </c>
      <c r="L312" s="7">
        <f t="shared" ca="1" si="24"/>
        <v>-1</v>
      </c>
      <c r="M312" s="7" t="str">
        <f t="shared" ca="1" si="25"/>
        <v/>
      </c>
      <c r="N312" s="6" t="str">
        <f t="shared" ca="1" si="26"/>
        <v/>
      </c>
      <c r="O312" s="6">
        <f t="shared" si="27"/>
        <v>2.5999999999999943</v>
      </c>
      <c r="Q312" s="6">
        <v>25.550000000000011</v>
      </c>
      <c r="R312" s="9">
        <f t="shared" si="28"/>
        <v>9581.2500000000036</v>
      </c>
      <c r="S312" s="7">
        <f t="shared" si="29"/>
        <v>-2456.2500000000255</v>
      </c>
    </row>
    <row r="313" spans="1:19" x14ac:dyDescent="0.25">
      <c r="A313" s="4">
        <f>Sheet1!A313</f>
        <v>39540</v>
      </c>
      <c r="B313" s="5">
        <f>Sheet1!B313</f>
        <v>0.58333333333333337</v>
      </c>
      <c r="C313" s="6">
        <f>Sheet1!C313</f>
        <v>193.8</v>
      </c>
      <c r="D313" s="6">
        <f>Sheet1!D313</f>
        <v>195.5</v>
      </c>
      <c r="E313" s="6">
        <f>Sheet1!E313</f>
        <v>192.4</v>
      </c>
      <c r="F313" s="6">
        <f>Sheet1!F313</f>
        <v>193.75</v>
      </c>
      <c r="H313" s="6">
        <f ca="1">IF(ROW($H313)-1&lt;$I$1,$F313,AVERAGE($F313:OFFSET($F313,(($I$1-1)*-1),0)))</f>
        <v>194.39999999999998</v>
      </c>
      <c r="J313" s="6">
        <f ca="1">IF(ROW($J313)-1&lt;$K$1,$F313,AVERAGE($F313:OFFSET($F313,(($K$1-1)*-1),0)))</f>
        <v>211.76785714285714</v>
      </c>
      <c r="L313" s="7">
        <f t="shared" ca="1" si="24"/>
        <v>-1</v>
      </c>
      <c r="M313" s="7" t="str">
        <f t="shared" ca="1" si="25"/>
        <v/>
      </c>
      <c r="N313" s="6" t="str">
        <f t="shared" ca="1" si="26"/>
        <v/>
      </c>
      <c r="O313" s="6">
        <f t="shared" si="27"/>
        <v>5.0000000000011369E-2</v>
      </c>
      <c r="Q313" s="6">
        <v>25.5</v>
      </c>
      <c r="R313" s="9">
        <f t="shared" si="28"/>
        <v>9562.5</v>
      </c>
      <c r="S313" s="7">
        <f t="shared" si="29"/>
        <v>-2456.2500000000255</v>
      </c>
    </row>
    <row r="314" spans="1:19" x14ac:dyDescent="0.25">
      <c r="A314" s="4">
        <f>Sheet1!A314</f>
        <v>39541</v>
      </c>
      <c r="B314" s="5">
        <f>Sheet1!B314</f>
        <v>0.58333333333333337</v>
      </c>
      <c r="C314" s="6">
        <f>Sheet1!C314</f>
        <v>193.3</v>
      </c>
      <c r="D314" s="6">
        <f>Sheet1!D314</f>
        <v>196.75</v>
      </c>
      <c r="E314" s="6">
        <f>Sheet1!E314</f>
        <v>192.5</v>
      </c>
      <c r="F314" s="6">
        <f>Sheet1!F314</f>
        <v>196.2</v>
      </c>
      <c r="H314" s="6">
        <f ca="1">IF(ROW($H314)-1&lt;$I$1,$F314,AVERAGE($F314:OFFSET($F314,(($I$1-1)*-1),0)))</f>
        <v>194.33333333333334</v>
      </c>
      <c r="J314" s="6">
        <f ca="1">IF(ROW($J314)-1&lt;$K$1,$F314,AVERAGE($F314:OFFSET($F314,(($K$1-1)*-1),0)))</f>
        <v>210.6875</v>
      </c>
      <c r="L314" s="7">
        <f t="shared" ca="1" si="24"/>
        <v>-1</v>
      </c>
      <c r="M314" s="7" t="str">
        <f t="shared" ca="1" si="25"/>
        <v/>
      </c>
      <c r="N314" s="6" t="str">
        <f t="shared" ca="1" si="26"/>
        <v/>
      </c>
      <c r="O314" s="6">
        <f t="shared" si="27"/>
        <v>2.4499999999999886</v>
      </c>
      <c r="Q314" s="6">
        <v>23.050000000000011</v>
      </c>
      <c r="R314" s="9">
        <f t="shared" si="28"/>
        <v>8643.7500000000036</v>
      </c>
      <c r="S314" s="7">
        <f t="shared" si="29"/>
        <v>-2456.2500000000255</v>
      </c>
    </row>
    <row r="315" spans="1:19" x14ac:dyDescent="0.25">
      <c r="A315" s="4">
        <f>Sheet1!A315</f>
        <v>39542</v>
      </c>
      <c r="B315" s="5">
        <f>Sheet1!B315</f>
        <v>0.58333333333333337</v>
      </c>
      <c r="C315" s="6">
        <f>Sheet1!C315</f>
        <v>195.35</v>
      </c>
      <c r="D315" s="6">
        <f>Sheet1!D315</f>
        <v>196.5</v>
      </c>
      <c r="E315" s="6">
        <f>Sheet1!E315</f>
        <v>194.55</v>
      </c>
      <c r="F315" s="6">
        <f>Sheet1!F315</f>
        <v>196.15</v>
      </c>
      <c r="H315" s="6">
        <f ca="1">IF(ROW($H315)-1&lt;$I$1,$F315,AVERAGE($F315:OFFSET($F315,(($I$1-1)*-1),0)))</f>
        <v>194.15833333333333</v>
      </c>
      <c r="J315" s="6">
        <f ca="1">IF(ROW($J315)-1&lt;$K$1,$F315,AVERAGE($F315:OFFSET($F315,(($K$1-1)*-1),0)))</f>
        <v>209.54821428571427</v>
      </c>
      <c r="L315" s="7">
        <f t="shared" ca="1" si="24"/>
        <v>-1</v>
      </c>
      <c r="M315" s="7" t="str">
        <f t="shared" ca="1" si="25"/>
        <v/>
      </c>
      <c r="N315" s="6" t="str">
        <f t="shared" ca="1" si="26"/>
        <v/>
      </c>
      <c r="O315" s="6">
        <f t="shared" si="27"/>
        <v>-4.9999999999982947E-2</v>
      </c>
      <c r="Q315" s="6">
        <v>23.099999999999994</v>
      </c>
      <c r="R315" s="9">
        <f t="shared" si="28"/>
        <v>8662.4999999999982</v>
      </c>
      <c r="S315" s="7">
        <f t="shared" si="29"/>
        <v>-2456.2500000000255</v>
      </c>
    </row>
    <row r="316" spans="1:19" x14ac:dyDescent="0.25">
      <c r="A316" s="4">
        <f>Sheet1!A316</f>
        <v>39545</v>
      </c>
      <c r="B316" s="5">
        <f>Sheet1!B316</f>
        <v>0.58333333333333337</v>
      </c>
      <c r="C316" s="6">
        <f>Sheet1!C316</f>
        <v>196.25</v>
      </c>
      <c r="D316" s="6">
        <f>Sheet1!D316</f>
        <v>198.05</v>
      </c>
      <c r="E316" s="6">
        <f>Sheet1!E316</f>
        <v>195.8</v>
      </c>
      <c r="F316" s="6">
        <f>Sheet1!F316</f>
        <v>196.15</v>
      </c>
      <c r="H316" s="6">
        <f ca="1">IF(ROW($H316)-1&lt;$I$1,$F316,AVERAGE($F316:OFFSET($F316,(($I$1-1)*-1),0)))</f>
        <v>194.50833333333333</v>
      </c>
      <c r="J316" s="6">
        <f ca="1">IF(ROW($J316)-1&lt;$K$1,$F316,AVERAGE($F316:OFFSET($F316,(($K$1-1)*-1),0)))</f>
        <v>208.54107142857143</v>
      </c>
      <c r="L316" s="7">
        <f t="shared" ca="1" si="24"/>
        <v>-1</v>
      </c>
      <c r="M316" s="7" t="str">
        <f t="shared" ca="1" si="25"/>
        <v/>
      </c>
      <c r="N316" s="6" t="str">
        <f t="shared" ca="1" si="26"/>
        <v/>
      </c>
      <c r="O316" s="6">
        <f t="shared" si="27"/>
        <v>0</v>
      </c>
      <c r="Q316" s="6">
        <v>23.099999999999994</v>
      </c>
      <c r="R316" s="9">
        <f t="shared" si="28"/>
        <v>8662.4999999999982</v>
      </c>
      <c r="S316" s="7">
        <f t="shared" si="29"/>
        <v>-2456.2500000000255</v>
      </c>
    </row>
    <row r="317" spans="1:19" x14ac:dyDescent="0.25">
      <c r="A317" s="4">
        <f>Sheet1!A317</f>
        <v>39546</v>
      </c>
      <c r="B317" s="5">
        <f>Sheet1!B317</f>
        <v>0.58333333333333337</v>
      </c>
      <c r="C317" s="6">
        <f>Sheet1!C317</f>
        <v>197.8</v>
      </c>
      <c r="D317" s="6">
        <f>Sheet1!D317</f>
        <v>198.55</v>
      </c>
      <c r="E317" s="6">
        <f>Sheet1!E317</f>
        <v>196.85</v>
      </c>
      <c r="F317" s="6">
        <f>Sheet1!F317</f>
        <v>197</v>
      </c>
      <c r="H317" s="6">
        <f ca="1">IF(ROW($H317)-1&lt;$I$1,$F317,AVERAGE($F317:OFFSET($F317,(($I$1-1)*-1),0)))</f>
        <v>195.49166666666665</v>
      </c>
      <c r="J317" s="6">
        <f ca="1">IF(ROW($J317)-1&lt;$K$1,$F317,AVERAGE($F317:OFFSET($F317,(($K$1-1)*-1),0)))</f>
        <v>207.42857142857139</v>
      </c>
      <c r="L317" s="7">
        <f t="shared" ca="1" si="24"/>
        <v>-1</v>
      </c>
      <c r="M317" s="7" t="str">
        <f t="shared" ca="1" si="25"/>
        <v/>
      </c>
      <c r="N317" s="6" t="str">
        <f t="shared" ca="1" si="26"/>
        <v/>
      </c>
      <c r="O317" s="6">
        <f t="shared" si="27"/>
        <v>0.84999999999999432</v>
      </c>
      <c r="Q317" s="6">
        <v>22.25</v>
      </c>
      <c r="R317" s="9">
        <f t="shared" si="28"/>
        <v>8343.75</v>
      </c>
      <c r="S317" s="7">
        <f t="shared" si="29"/>
        <v>-2456.2500000000255</v>
      </c>
    </row>
    <row r="318" spans="1:19" x14ac:dyDescent="0.25">
      <c r="A318" s="4">
        <f>Sheet1!A318</f>
        <v>39547</v>
      </c>
      <c r="B318" s="5">
        <f>Sheet1!B318</f>
        <v>0.58333333333333337</v>
      </c>
      <c r="C318" s="6">
        <f>Sheet1!C318</f>
        <v>197.2</v>
      </c>
      <c r="D318" s="6">
        <f>Sheet1!D318</f>
        <v>201.55</v>
      </c>
      <c r="E318" s="6">
        <f>Sheet1!E318</f>
        <v>195.5</v>
      </c>
      <c r="F318" s="6">
        <f>Sheet1!F318</f>
        <v>200.85</v>
      </c>
      <c r="H318" s="6">
        <f ca="1">IF(ROW($H318)-1&lt;$I$1,$F318,AVERAGE($F318:OFFSET($F318,(($I$1-1)*-1),0)))</f>
        <v>196.68333333333331</v>
      </c>
      <c r="J318" s="6">
        <f ca="1">IF(ROW($J318)-1&lt;$K$1,$F318,AVERAGE($F318:OFFSET($F318,(($K$1-1)*-1),0)))</f>
        <v>206.33214285714283</v>
      </c>
      <c r="L318" s="7">
        <f t="shared" ca="1" si="24"/>
        <v>-1</v>
      </c>
      <c r="M318" s="7" t="str">
        <f t="shared" ca="1" si="25"/>
        <v/>
      </c>
      <c r="N318" s="6" t="str">
        <f t="shared" ca="1" si="26"/>
        <v/>
      </c>
      <c r="O318" s="6">
        <f t="shared" si="27"/>
        <v>3.8499999999999943</v>
      </c>
      <c r="Q318" s="6">
        <v>18.400000000000006</v>
      </c>
      <c r="R318" s="9">
        <f t="shared" si="28"/>
        <v>6900.0000000000018</v>
      </c>
      <c r="S318" s="7">
        <f t="shared" si="29"/>
        <v>-2456.2500000000255</v>
      </c>
    </row>
    <row r="319" spans="1:19" x14ac:dyDescent="0.25">
      <c r="A319" s="4">
        <f>Sheet1!A319</f>
        <v>39548</v>
      </c>
      <c r="B319" s="5">
        <f>Sheet1!B319</f>
        <v>0.58333333333333337</v>
      </c>
      <c r="C319" s="6">
        <f>Sheet1!C319</f>
        <v>201</v>
      </c>
      <c r="D319" s="6">
        <f>Sheet1!D319</f>
        <v>202</v>
      </c>
      <c r="E319" s="6">
        <f>Sheet1!E319</f>
        <v>194.05</v>
      </c>
      <c r="F319" s="6">
        <f>Sheet1!F319</f>
        <v>201.05</v>
      </c>
      <c r="H319" s="6">
        <f ca="1">IF(ROW($H319)-1&lt;$I$1,$F319,AVERAGE($F319:OFFSET($F319,(($I$1-1)*-1),0)))</f>
        <v>197.9</v>
      </c>
      <c r="J319" s="6">
        <f ca="1">IF(ROW($J319)-1&lt;$K$1,$F319,AVERAGE($F319:OFFSET($F319,(($K$1-1)*-1),0)))</f>
        <v>205.26785714285711</v>
      </c>
      <c r="L319" s="7">
        <f t="shared" ca="1" si="24"/>
        <v>-1</v>
      </c>
      <c r="M319" s="7" t="str">
        <f t="shared" ca="1" si="25"/>
        <v/>
      </c>
      <c r="N319" s="6" t="str">
        <f t="shared" ca="1" si="26"/>
        <v/>
      </c>
      <c r="O319" s="6">
        <f t="shared" si="27"/>
        <v>0.20000000000001705</v>
      </c>
      <c r="Q319" s="6">
        <v>18.199999999999989</v>
      </c>
      <c r="R319" s="9">
        <f t="shared" si="28"/>
        <v>6824.9999999999955</v>
      </c>
      <c r="S319" s="7">
        <f t="shared" si="29"/>
        <v>-2456.2500000000255</v>
      </c>
    </row>
    <row r="320" spans="1:19" x14ac:dyDescent="0.25">
      <c r="A320" s="4">
        <f>Sheet1!A320</f>
        <v>39549</v>
      </c>
      <c r="B320" s="5">
        <f>Sheet1!B320</f>
        <v>0.58333333333333337</v>
      </c>
      <c r="C320" s="6">
        <f>Sheet1!C320</f>
        <v>198.55</v>
      </c>
      <c r="D320" s="6">
        <f>Sheet1!D320</f>
        <v>199.85</v>
      </c>
      <c r="E320" s="6">
        <f>Sheet1!E320</f>
        <v>196.8</v>
      </c>
      <c r="F320" s="6">
        <f>Sheet1!F320</f>
        <v>197.35</v>
      </c>
      <c r="H320" s="6">
        <f ca="1">IF(ROW($H320)-1&lt;$I$1,$F320,AVERAGE($F320:OFFSET($F320,(($I$1-1)*-1),0)))</f>
        <v>198.09166666666667</v>
      </c>
      <c r="J320" s="6">
        <f ca="1">IF(ROW($J320)-1&lt;$K$1,$F320,AVERAGE($F320:OFFSET($F320,(($K$1-1)*-1),0)))</f>
        <v>204.04464285714283</v>
      </c>
      <c r="L320" s="7">
        <f t="shared" ca="1" si="24"/>
        <v>-1</v>
      </c>
      <c r="M320" s="7" t="str">
        <f t="shared" ca="1" si="25"/>
        <v/>
      </c>
      <c r="N320" s="6" t="str">
        <f t="shared" ca="1" si="26"/>
        <v/>
      </c>
      <c r="O320" s="6">
        <f t="shared" si="27"/>
        <v>-3.7000000000000171</v>
      </c>
      <c r="Q320" s="6">
        <v>21.900000000000006</v>
      </c>
      <c r="R320" s="9">
        <f t="shared" si="28"/>
        <v>8212.5000000000018</v>
      </c>
      <c r="S320" s="7">
        <f t="shared" si="29"/>
        <v>-2456.2500000000255</v>
      </c>
    </row>
    <row r="321" spans="1:19" x14ac:dyDescent="0.25">
      <c r="A321" s="4">
        <f>Sheet1!A321</f>
        <v>39552</v>
      </c>
      <c r="B321" s="5">
        <f>Sheet1!B321</f>
        <v>0.58333333333333337</v>
      </c>
      <c r="C321" s="6">
        <f>Sheet1!C321</f>
        <v>197.65</v>
      </c>
      <c r="D321" s="6">
        <f>Sheet1!D321</f>
        <v>198.75</v>
      </c>
      <c r="E321" s="6">
        <f>Sheet1!E321</f>
        <v>196.9</v>
      </c>
      <c r="F321" s="6">
        <f>Sheet1!F321</f>
        <v>197.1</v>
      </c>
      <c r="H321" s="6">
        <f ca="1">IF(ROW($H321)-1&lt;$I$1,$F321,AVERAGE($F321:OFFSET($F321,(($I$1-1)*-1),0)))</f>
        <v>198.25</v>
      </c>
      <c r="J321" s="6">
        <f ca="1">IF(ROW($J321)-1&lt;$K$1,$F321,AVERAGE($F321:OFFSET($F321,(($K$1-1)*-1),0)))</f>
        <v>202.97321428571428</v>
      </c>
      <c r="L321" s="7">
        <f t="shared" ca="1" si="24"/>
        <v>-1</v>
      </c>
      <c r="M321" s="7" t="str">
        <f t="shared" ca="1" si="25"/>
        <v/>
      </c>
      <c r="N321" s="6" t="str">
        <f t="shared" ca="1" si="26"/>
        <v/>
      </c>
      <c r="O321" s="6">
        <f t="shared" si="27"/>
        <v>-0.25</v>
      </c>
      <c r="Q321" s="6">
        <v>22.150000000000006</v>
      </c>
      <c r="R321" s="9">
        <f t="shared" si="28"/>
        <v>8306.2500000000018</v>
      </c>
      <c r="S321" s="7">
        <f t="shared" si="29"/>
        <v>-2456.2500000000255</v>
      </c>
    </row>
    <row r="322" spans="1:19" x14ac:dyDescent="0.25">
      <c r="A322" s="4">
        <f>Sheet1!A322</f>
        <v>39553</v>
      </c>
      <c r="B322" s="5">
        <f>Sheet1!B322</f>
        <v>0.58333333333333337</v>
      </c>
      <c r="C322" s="6">
        <f>Sheet1!C322</f>
        <v>197.05</v>
      </c>
      <c r="D322" s="6">
        <f>Sheet1!D322</f>
        <v>202.45</v>
      </c>
      <c r="E322" s="6">
        <f>Sheet1!E322</f>
        <v>197.05</v>
      </c>
      <c r="F322" s="6">
        <f>Sheet1!F322</f>
        <v>200</v>
      </c>
      <c r="H322" s="6">
        <f ca="1">IF(ROW($H322)-1&lt;$I$1,$F322,AVERAGE($F322:OFFSET($F322,(($I$1-1)*-1),0)))</f>
        <v>198.89166666666668</v>
      </c>
      <c r="J322" s="6">
        <f ca="1">IF(ROW($J322)-1&lt;$K$1,$F322,AVERAGE($F322:OFFSET($F322,(($K$1-1)*-1),0)))</f>
        <v>201.97499999999999</v>
      </c>
      <c r="L322" s="7">
        <f t="shared" ca="1" si="24"/>
        <v>-1</v>
      </c>
      <c r="M322" s="7" t="str">
        <f t="shared" ca="1" si="25"/>
        <v/>
      </c>
      <c r="N322" s="6" t="str">
        <f t="shared" ca="1" si="26"/>
        <v/>
      </c>
      <c r="O322" s="6">
        <f t="shared" si="27"/>
        <v>2.9000000000000057</v>
      </c>
      <c r="Q322" s="6">
        <v>19.25</v>
      </c>
      <c r="R322" s="9">
        <f t="shared" si="28"/>
        <v>7218.75</v>
      </c>
      <c r="S322" s="7">
        <f t="shared" si="29"/>
        <v>-2456.2500000000255</v>
      </c>
    </row>
    <row r="323" spans="1:19" x14ac:dyDescent="0.25">
      <c r="A323" s="4">
        <f>Sheet1!A323</f>
        <v>39554</v>
      </c>
      <c r="B323" s="5">
        <f>Sheet1!B323</f>
        <v>0.58333333333333337</v>
      </c>
      <c r="C323" s="6">
        <f>Sheet1!C323</f>
        <v>199.85</v>
      </c>
      <c r="D323" s="6">
        <f>Sheet1!D323</f>
        <v>203.25</v>
      </c>
      <c r="E323" s="6">
        <f>Sheet1!E323</f>
        <v>199.85</v>
      </c>
      <c r="F323" s="6">
        <f>Sheet1!F323</f>
        <v>201.05</v>
      </c>
      <c r="H323" s="6">
        <f ca="1">IF(ROW($H323)-1&lt;$I$1,$F323,AVERAGE($F323:OFFSET($F323,(($I$1-1)*-1),0)))</f>
        <v>199.56666666666669</v>
      </c>
      <c r="J323" s="6">
        <f ca="1">IF(ROW($J323)-1&lt;$K$1,$F323,AVERAGE($F323:OFFSET($F323,(($K$1-1)*-1),0)))</f>
        <v>201.35714285714286</v>
      </c>
      <c r="L323" s="7">
        <f t="shared" ref="L323:L386" ca="1" si="30">IF(ROW($L323)&gt;($K$1),IF($H323&gt;$J323,1,IF($H323&lt;$J323,-1,$L322*-1)),0)</f>
        <v>-1</v>
      </c>
      <c r="M323" s="7" t="str">
        <f t="shared" ca="1" si="25"/>
        <v/>
      </c>
      <c r="N323" s="6" t="str">
        <f t="shared" ca="1" si="26"/>
        <v/>
      </c>
      <c r="O323" s="6">
        <f t="shared" si="27"/>
        <v>1.0500000000000114</v>
      </c>
      <c r="Q323" s="6">
        <v>18.199999999999989</v>
      </c>
      <c r="R323" s="9">
        <f t="shared" si="28"/>
        <v>6824.9999999999955</v>
      </c>
      <c r="S323" s="7">
        <f t="shared" si="29"/>
        <v>-2456.2500000000255</v>
      </c>
    </row>
    <row r="324" spans="1:19" x14ac:dyDescent="0.25">
      <c r="A324" s="4">
        <f>Sheet1!A324</f>
        <v>39555</v>
      </c>
      <c r="B324" s="5">
        <f>Sheet1!B324</f>
        <v>0.58333333333333337</v>
      </c>
      <c r="C324" s="6">
        <f>Sheet1!C324</f>
        <v>201.35</v>
      </c>
      <c r="D324" s="6">
        <f>Sheet1!D324</f>
        <v>206.9</v>
      </c>
      <c r="E324" s="6">
        <f>Sheet1!E324</f>
        <v>201.15</v>
      </c>
      <c r="F324" s="6">
        <f>Sheet1!F324</f>
        <v>206.05</v>
      </c>
      <c r="H324" s="6">
        <f ca="1">IF(ROW($H324)-1&lt;$I$1,$F324,AVERAGE($F324:OFFSET($F324,(($I$1-1)*-1),0)))</f>
        <v>200.43333333333331</v>
      </c>
      <c r="J324" s="6">
        <f ca="1">IF(ROW($J324)-1&lt;$K$1,$F324,AVERAGE($F324:OFFSET($F324,(($K$1-1)*-1),0)))</f>
        <v>201.05714285714291</v>
      </c>
      <c r="L324" s="7">
        <f t="shared" ca="1" si="30"/>
        <v>-1</v>
      </c>
      <c r="M324" s="7" t="str">
        <f t="shared" ref="M324:M387" ca="1" si="31">IF(L324&lt;&gt;L323,L324,"")</f>
        <v/>
      </c>
      <c r="N324" s="6" t="str">
        <f t="shared" ref="N324:N387" ca="1" si="32">IF(M323&lt;&gt;"",C324,"")</f>
        <v/>
      </c>
      <c r="O324" s="6">
        <f t="shared" ref="O324:O387" si="33">F324-F323</f>
        <v>5</v>
      </c>
      <c r="Q324" s="6">
        <v>13.199999999999989</v>
      </c>
      <c r="R324" s="9">
        <f t="shared" ref="R324:R387" si="34">IF(Q324="","",Q324*375)</f>
        <v>4949.9999999999955</v>
      </c>
      <c r="S324" s="7">
        <f t="shared" si="29"/>
        <v>-2456.2500000000255</v>
      </c>
    </row>
    <row r="325" spans="1:19" x14ac:dyDescent="0.25">
      <c r="A325" s="4">
        <f>Sheet1!A325</f>
        <v>39556</v>
      </c>
      <c r="B325" s="5">
        <f>Sheet1!B325</f>
        <v>0.58333333333333337</v>
      </c>
      <c r="C325" s="6">
        <f>Sheet1!C325</f>
        <v>206.05</v>
      </c>
      <c r="D325" s="6">
        <f>Sheet1!D325</f>
        <v>206.05</v>
      </c>
      <c r="E325" s="6">
        <f>Sheet1!E325</f>
        <v>198.75</v>
      </c>
      <c r="F325" s="6">
        <f>Sheet1!F325</f>
        <v>201</v>
      </c>
      <c r="H325" s="6">
        <f ca="1">IF(ROW($H325)-1&lt;$I$1,$F325,AVERAGE($F325:OFFSET($F325,(($I$1-1)*-1),0)))</f>
        <v>200.42499999999998</v>
      </c>
      <c r="J325" s="6">
        <f ca="1">IF(ROW($J325)-1&lt;$K$1,$F325,AVERAGE($F325:OFFSET($F325,(($K$1-1)*-1),0)))</f>
        <v>200.54464285714289</v>
      </c>
      <c r="L325" s="7">
        <f t="shared" ca="1" si="30"/>
        <v>-1</v>
      </c>
      <c r="M325" s="7" t="str">
        <f t="shared" ca="1" si="31"/>
        <v/>
      </c>
      <c r="N325" s="6" t="str">
        <f t="shared" ca="1" si="32"/>
        <v/>
      </c>
      <c r="O325" s="6">
        <f t="shared" si="33"/>
        <v>-5.0500000000000114</v>
      </c>
      <c r="Q325" s="6">
        <v>18.25</v>
      </c>
      <c r="R325" s="9">
        <f t="shared" si="34"/>
        <v>6843.75</v>
      </c>
      <c r="S325" s="7">
        <f t="shared" si="29"/>
        <v>-2456.2500000000255</v>
      </c>
    </row>
    <row r="326" spans="1:19" x14ac:dyDescent="0.25">
      <c r="A326" s="4">
        <f>Sheet1!A326</f>
        <v>39559</v>
      </c>
      <c r="B326" s="5">
        <f>Sheet1!B326</f>
        <v>0.58333333333333337</v>
      </c>
      <c r="C326" s="6">
        <f>Sheet1!C326</f>
        <v>201.5</v>
      </c>
      <c r="D326" s="6">
        <f>Sheet1!D326</f>
        <v>203.3</v>
      </c>
      <c r="E326" s="6">
        <f>Sheet1!E326</f>
        <v>196.95</v>
      </c>
      <c r="F326" s="6">
        <f>Sheet1!F326</f>
        <v>197.5</v>
      </c>
      <c r="H326" s="6">
        <f ca="1">IF(ROW($H326)-1&lt;$I$1,$F326,AVERAGE($F326:OFFSET($F326,(($I$1-1)*-1),0)))</f>
        <v>200.45000000000002</v>
      </c>
      <c r="J326" s="6">
        <f ca="1">IF(ROW($J326)-1&lt;$K$1,$F326,AVERAGE($F326:OFFSET($F326,(($K$1-1)*-1),0)))</f>
        <v>199.83928571428575</v>
      </c>
      <c r="L326" s="7">
        <f t="shared" ca="1" si="30"/>
        <v>1</v>
      </c>
      <c r="M326" s="7">
        <f t="shared" ca="1" si="31"/>
        <v>1</v>
      </c>
      <c r="N326" s="6" t="str">
        <f t="shared" ca="1" si="32"/>
        <v/>
      </c>
      <c r="O326" s="6">
        <f t="shared" si="33"/>
        <v>-3.5</v>
      </c>
      <c r="Q326" s="6">
        <v>21.75</v>
      </c>
      <c r="R326" s="9">
        <f t="shared" si="34"/>
        <v>8156.25</v>
      </c>
      <c r="S326" s="7">
        <f t="shared" si="29"/>
        <v>-2456.2500000000255</v>
      </c>
    </row>
    <row r="327" spans="1:19" x14ac:dyDescent="0.25">
      <c r="A327" s="4">
        <f>Sheet1!A327</f>
        <v>39560</v>
      </c>
      <c r="B327" s="5">
        <f>Sheet1!B327</f>
        <v>0.58333333333333337</v>
      </c>
      <c r="C327" s="6">
        <f>Sheet1!C327</f>
        <v>197.75</v>
      </c>
      <c r="D327" s="6">
        <f>Sheet1!D327</f>
        <v>201.9</v>
      </c>
      <c r="E327" s="6">
        <f>Sheet1!E327</f>
        <v>197.6</v>
      </c>
      <c r="F327" s="6">
        <f>Sheet1!F327</f>
        <v>200.85</v>
      </c>
      <c r="H327" s="6">
        <f ca="1">IF(ROW($H327)-1&lt;$I$1,$F327,AVERAGE($F327:OFFSET($F327,(($I$1-1)*-1),0)))</f>
        <v>201.07500000000002</v>
      </c>
      <c r="J327" s="6">
        <f ca="1">IF(ROW($J327)-1&lt;$K$1,$F327,AVERAGE($F327:OFFSET($F327,(($K$1-1)*-1),0)))</f>
        <v>199.18928571428575</v>
      </c>
      <c r="L327" s="7">
        <f t="shared" ca="1" si="30"/>
        <v>1</v>
      </c>
      <c r="M327" s="7" t="str">
        <f t="shared" ca="1" si="31"/>
        <v/>
      </c>
      <c r="N327" s="6">
        <f t="shared" ca="1" si="32"/>
        <v>197.75</v>
      </c>
      <c r="O327" s="6">
        <f t="shared" si="33"/>
        <v>3.3499999999999943</v>
      </c>
      <c r="P327" s="6">
        <v>21.5</v>
      </c>
      <c r="Q327" s="6">
        <v>3.0999999999999943</v>
      </c>
      <c r="R327" s="9">
        <f t="shared" si="34"/>
        <v>1162.499999999998</v>
      </c>
      <c r="S327" s="7">
        <f t="shared" si="29"/>
        <v>5606.2499999999745</v>
      </c>
    </row>
    <row r="328" spans="1:19" x14ac:dyDescent="0.25">
      <c r="A328" s="4">
        <f>Sheet1!A328</f>
        <v>39561</v>
      </c>
      <c r="B328" s="5">
        <f>Sheet1!B328</f>
        <v>0.58333333333333337</v>
      </c>
      <c r="C328" s="6">
        <f>Sheet1!C328</f>
        <v>200.9</v>
      </c>
      <c r="D328" s="6">
        <f>Sheet1!D328</f>
        <v>201.35</v>
      </c>
      <c r="E328" s="6">
        <f>Sheet1!E328</f>
        <v>198.45</v>
      </c>
      <c r="F328" s="6">
        <f>Sheet1!F328</f>
        <v>200.2</v>
      </c>
      <c r="H328" s="6">
        <f ca="1">IF(ROW($H328)-1&lt;$I$1,$F328,AVERAGE($F328:OFFSET($F328,(($I$1-1)*-1),0)))</f>
        <v>201.10833333333335</v>
      </c>
      <c r="J328" s="6">
        <f ca="1">IF(ROW($J328)-1&lt;$K$1,$F328,AVERAGE($F328:OFFSET($F328,(($K$1-1)*-1),0)))</f>
        <v>198.37500000000003</v>
      </c>
      <c r="L328" s="7">
        <f t="shared" ca="1" si="30"/>
        <v>1</v>
      </c>
      <c r="M328" s="7" t="str">
        <f t="shared" ca="1" si="31"/>
        <v/>
      </c>
      <c r="N328" s="6" t="str">
        <f t="shared" ca="1" si="32"/>
        <v/>
      </c>
      <c r="O328" s="6">
        <f t="shared" si="33"/>
        <v>-0.65000000000000568</v>
      </c>
      <c r="Q328" s="6">
        <v>2.4499999999999886</v>
      </c>
      <c r="R328" s="9">
        <f t="shared" si="34"/>
        <v>918.74999999999568</v>
      </c>
      <c r="S328" s="7">
        <f t="shared" si="29"/>
        <v>5606.2499999999745</v>
      </c>
    </row>
    <row r="329" spans="1:19" x14ac:dyDescent="0.25">
      <c r="A329" s="4">
        <f>Sheet1!A329</f>
        <v>39562</v>
      </c>
      <c r="B329" s="5">
        <f>Sheet1!B329</f>
        <v>0.58333333333333337</v>
      </c>
      <c r="C329" s="6">
        <f>Sheet1!C329</f>
        <v>200.15</v>
      </c>
      <c r="D329" s="6">
        <f>Sheet1!D329</f>
        <v>200.7</v>
      </c>
      <c r="E329" s="6">
        <f>Sheet1!E329</f>
        <v>195.55</v>
      </c>
      <c r="F329" s="6">
        <f>Sheet1!F329</f>
        <v>196.15</v>
      </c>
      <c r="H329" s="6">
        <f ca="1">IF(ROW($H329)-1&lt;$I$1,$F329,AVERAGE($F329:OFFSET($F329,(($I$1-1)*-1),0)))</f>
        <v>200.29166666666666</v>
      </c>
      <c r="J329" s="6">
        <f ca="1">IF(ROW($J329)-1&lt;$K$1,$F329,AVERAGE($F329:OFFSET($F329,(($K$1-1)*-1),0)))</f>
        <v>197.78928571428568</v>
      </c>
      <c r="L329" s="7">
        <f t="shared" ca="1" si="30"/>
        <v>1</v>
      </c>
      <c r="M329" s="7" t="str">
        <f t="shared" ca="1" si="31"/>
        <v/>
      </c>
      <c r="N329" s="6" t="str">
        <f t="shared" ca="1" si="32"/>
        <v/>
      </c>
      <c r="O329" s="6">
        <f t="shared" si="33"/>
        <v>-4.0499999999999829</v>
      </c>
      <c r="Q329" s="6">
        <v>-1.5999999999999943</v>
      </c>
      <c r="R329" s="9">
        <f t="shared" si="34"/>
        <v>-599.99999999999784</v>
      </c>
      <c r="S329" s="7">
        <f t="shared" si="29"/>
        <v>5606.2499999999745</v>
      </c>
    </row>
    <row r="330" spans="1:19" x14ac:dyDescent="0.25">
      <c r="A330" s="4">
        <f>Sheet1!A330</f>
        <v>39563</v>
      </c>
      <c r="B330" s="5">
        <f>Sheet1!B330</f>
        <v>0.58333333333333337</v>
      </c>
      <c r="C330" s="6">
        <f>Sheet1!C330</f>
        <v>196.1</v>
      </c>
      <c r="D330" s="6">
        <f>Sheet1!D330</f>
        <v>196.7</v>
      </c>
      <c r="E330" s="6">
        <f>Sheet1!E330</f>
        <v>193.35</v>
      </c>
      <c r="F330" s="6">
        <f>Sheet1!F330</f>
        <v>195.8</v>
      </c>
      <c r="H330" s="6">
        <f ca="1">IF(ROW($H330)-1&lt;$I$1,$F330,AVERAGE($F330:OFFSET($F330,(($I$1-1)*-1),0)))</f>
        <v>198.58333333333334</v>
      </c>
      <c r="J330" s="6">
        <f ca="1">IF(ROW($J330)-1&lt;$K$1,$F330,AVERAGE($F330:OFFSET($F330,(($K$1-1)*-1),0)))</f>
        <v>197.59464285714284</v>
      </c>
      <c r="L330" s="7">
        <f t="shared" ca="1" si="30"/>
        <v>1</v>
      </c>
      <c r="M330" s="7" t="str">
        <f t="shared" ca="1" si="31"/>
        <v/>
      </c>
      <c r="N330" s="6" t="str">
        <f t="shared" ca="1" si="32"/>
        <v/>
      </c>
      <c r="O330" s="6">
        <f t="shared" si="33"/>
        <v>-0.34999999999999432</v>
      </c>
      <c r="Q330" s="6">
        <v>-1.9499999999999886</v>
      </c>
      <c r="R330" s="9">
        <f t="shared" si="34"/>
        <v>-731.24999999999568</v>
      </c>
      <c r="S330" s="7">
        <f t="shared" si="29"/>
        <v>5606.2499999999745</v>
      </c>
    </row>
    <row r="331" spans="1:19" x14ac:dyDescent="0.25">
      <c r="A331" s="4">
        <f>Sheet1!A331</f>
        <v>39566</v>
      </c>
      <c r="B331" s="5">
        <f>Sheet1!B331</f>
        <v>0.58333333333333337</v>
      </c>
      <c r="C331" s="6">
        <f>Sheet1!C331</f>
        <v>195.55</v>
      </c>
      <c r="D331" s="6">
        <f>Sheet1!D331</f>
        <v>200.15</v>
      </c>
      <c r="E331" s="6">
        <f>Sheet1!E331</f>
        <v>195.55</v>
      </c>
      <c r="F331" s="6">
        <f>Sheet1!F331</f>
        <v>198.5</v>
      </c>
      <c r="H331" s="6">
        <f ca="1">IF(ROW($H331)-1&lt;$I$1,$F331,AVERAGE($F331:OFFSET($F331,(($I$1-1)*-1),0)))</f>
        <v>198.16666666666666</v>
      </c>
      <c r="J331" s="6">
        <f ca="1">IF(ROW($J331)-1&lt;$K$1,$F331,AVERAGE($F331:OFFSET($F331,(($K$1-1)*-1),0)))</f>
        <v>197.47499999999999</v>
      </c>
      <c r="L331" s="7">
        <f t="shared" ca="1" si="30"/>
        <v>1</v>
      </c>
      <c r="M331" s="7" t="str">
        <f t="shared" ca="1" si="31"/>
        <v/>
      </c>
      <c r="N331" s="6" t="str">
        <f t="shared" ca="1" si="32"/>
        <v/>
      </c>
      <c r="O331" s="6">
        <f t="shared" si="33"/>
        <v>2.6999999999999886</v>
      </c>
      <c r="Q331" s="6">
        <v>0.75</v>
      </c>
      <c r="R331" s="9">
        <f t="shared" si="34"/>
        <v>281.25</v>
      </c>
      <c r="S331" s="7">
        <f t="shared" si="29"/>
        <v>5606.2499999999745</v>
      </c>
    </row>
    <row r="332" spans="1:19" x14ac:dyDescent="0.25">
      <c r="A332" s="4">
        <f>Sheet1!A332</f>
        <v>39567</v>
      </c>
      <c r="B332" s="5">
        <f>Sheet1!B332</f>
        <v>0.58333333333333337</v>
      </c>
      <c r="C332" s="6">
        <f>Sheet1!C332</f>
        <v>198.6</v>
      </c>
      <c r="D332" s="6">
        <f>Sheet1!D332</f>
        <v>199.95</v>
      </c>
      <c r="E332" s="6">
        <f>Sheet1!E332</f>
        <v>196.8</v>
      </c>
      <c r="F332" s="6">
        <f>Sheet1!F332</f>
        <v>199.45</v>
      </c>
      <c r="H332" s="6">
        <f ca="1">IF(ROW($H332)-1&lt;$I$1,$F332,AVERAGE($F332:OFFSET($F332,(($I$1-1)*-1),0)))</f>
        <v>198.49166666666667</v>
      </c>
      <c r="J332" s="6">
        <f ca="1">IF(ROW($J332)-1&lt;$K$1,$F332,AVERAGE($F332:OFFSET($F332,(($K$1-1)*-1),0)))</f>
        <v>197.56964285714284</v>
      </c>
      <c r="L332" s="7">
        <f t="shared" ca="1" si="30"/>
        <v>1</v>
      </c>
      <c r="M332" s="7" t="str">
        <f t="shared" ca="1" si="31"/>
        <v/>
      </c>
      <c r="N332" s="6" t="str">
        <f t="shared" ca="1" si="32"/>
        <v/>
      </c>
      <c r="O332" s="6">
        <f t="shared" si="33"/>
        <v>0.94999999999998863</v>
      </c>
      <c r="Q332" s="6">
        <v>1.6999999999999886</v>
      </c>
      <c r="R332" s="9">
        <f t="shared" si="34"/>
        <v>637.49999999999568</v>
      </c>
      <c r="S332" s="7">
        <f t="shared" si="29"/>
        <v>5606.2499999999745</v>
      </c>
    </row>
    <row r="333" spans="1:19" x14ac:dyDescent="0.25">
      <c r="A333" s="4">
        <f>Sheet1!A333</f>
        <v>39568</v>
      </c>
      <c r="B333" s="5">
        <f>Sheet1!B333</f>
        <v>0.58333333333333337</v>
      </c>
      <c r="C333" s="6">
        <f>Sheet1!C333</f>
        <v>199.35</v>
      </c>
      <c r="D333" s="6">
        <f>Sheet1!D333</f>
        <v>200.45</v>
      </c>
      <c r="E333" s="6">
        <f>Sheet1!E333</f>
        <v>198.35</v>
      </c>
      <c r="F333" s="6">
        <f>Sheet1!F333</f>
        <v>199.5</v>
      </c>
      <c r="H333" s="6">
        <f ca="1">IF(ROW($H333)-1&lt;$I$1,$F333,AVERAGE($F333:OFFSET($F333,(($I$1-1)*-1),0)))</f>
        <v>198.26666666666668</v>
      </c>
      <c r="J333" s="6">
        <f ca="1">IF(ROW($J333)-1&lt;$K$1,$F333,AVERAGE($F333:OFFSET($F333,(($K$1-1)*-1),0)))</f>
        <v>197.70535714285714</v>
      </c>
      <c r="L333" s="7">
        <f t="shared" ca="1" si="30"/>
        <v>1</v>
      </c>
      <c r="M333" s="7" t="str">
        <f t="shared" ca="1" si="31"/>
        <v/>
      </c>
      <c r="N333" s="6" t="str">
        <f t="shared" ca="1" si="32"/>
        <v/>
      </c>
      <c r="O333" s="6">
        <f t="shared" si="33"/>
        <v>5.0000000000011369E-2</v>
      </c>
      <c r="Q333" s="6">
        <v>1.75</v>
      </c>
      <c r="R333" s="9">
        <f t="shared" si="34"/>
        <v>656.25</v>
      </c>
      <c r="S333" s="7">
        <f t="shared" si="29"/>
        <v>5606.2499999999745</v>
      </c>
    </row>
    <row r="334" spans="1:19" x14ac:dyDescent="0.25">
      <c r="A334" s="4">
        <f>Sheet1!A334</f>
        <v>39569</v>
      </c>
      <c r="B334" s="5">
        <f>Sheet1!B334</f>
        <v>0.58333333333333337</v>
      </c>
      <c r="C334" s="6">
        <f>Sheet1!C334</f>
        <v>199.55</v>
      </c>
      <c r="D334" s="6">
        <f>Sheet1!D334</f>
        <v>199.55</v>
      </c>
      <c r="E334" s="6">
        <f>Sheet1!E334</f>
        <v>193.1</v>
      </c>
      <c r="F334" s="6">
        <f>Sheet1!F334</f>
        <v>193.9</v>
      </c>
      <c r="H334" s="6">
        <f ca="1">IF(ROW($H334)-1&lt;$I$1,$F334,AVERAGE($F334:OFFSET($F334,(($I$1-1)*-1),0)))</f>
        <v>197.2166666666667</v>
      </c>
      <c r="J334" s="6">
        <f ca="1">IF(ROW($J334)-1&lt;$K$1,$F334,AVERAGE($F334:OFFSET($F334,(($K$1-1)*-1),0)))</f>
        <v>197.71071428571426</v>
      </c>
      <c r="L334" s="7">
        <f t="shared" ca="1" si="30"/>
        <v>-1</v>
      </c>
      <c r="M334" s="7">
        <f t="shared" ca="1" si="31"/>
        <v>-1</v>
      </c>
      <c r="N334" s="6" t="str">
        <f t="shared" ca="1" si="32"/>
        <v/>
      </c>
      <c r="O334" s="6">
        <f t="shared" si="33"/>
        <v>-5.5999999999999943</v>
      </c>
      <c r="Q334" s="6">
        <v>-3.8499999999999943</v>
      </c>
      <c r="R334" s="9">
        <f t="shared" si="34"/>
        <v>-1443.749999999998</v>
      </c>
      <c r="S334" s="7">
        <f t="shared" si="29"/>
        <v>5606.2499999999745</v>
      </c>
    </row>
    <row r="335" spans="1:19" x14ac:dyDescent="0.25">
      <c r="A335" s="4">
        <f>Sheet1!A335</f>
        <v>39570</v>
      </c>
      <c r="B335" s="5">
        <f>Sheet1!B335</f>
        <v>0.58333333333333337</v>
      </c>
      <c r="C335" s="6">
        <f>Sheet1!C335</f>
        <v>194.5</v>
      </c>
      <c r="D335" s="6">
        <f>Sheet1!D335</f>
        <v>195.6</v>
      </c>
      <c r="E335" s="6">
        <f>Sheet1!E335</f>
        <v>192.85</v>
      </c>
      <c r="F335" s="6">
        <f>Sheet1!F335</f>
        <v>193.55</v>
      </c>
      <c r="H335" s="6">
        <f ca="1">IF(ROW($H335)-1&lt;$I$1,$F335,AVERAGE($F335:OFFSET($F335,(($I$1-1)*-1),0)))</f>
        <v>196.78333333333333</v>
      </c>
      <c r="J335" s="6">
        <f ca="1">IF(ROW($J335)-1&lt;$K$1,$F335,AVERAGE($F335:OFFSET($F335,(($K$1-1)*-1),0)))</f>
        <v>197.5625</v>
      </c>
      <c r="L335" s="7">
        <f t="shared" ca="1" si="30"/>
        <v>-1</v>
      </c>
      <c r="M335" s="7" t="str">
        <f t="shared" ca="1" si="31"/>
        <v/>
      </c>
      <c r="N335" s="6">
        <f t="shared" ca="1" si="32"/>
        <v>194.5</v>
      </c>
      <c r="O335" s="6">
        <f t="shared" si="33"/>
        <v>-0.34999999999999432</v>
      </c>
      <c r="P335" s="6">
        <v>-3.25</v>
      </c>
      <c r="Q335" s="6">
        <v>0.94999999999998863</v>
      </c>
      <c r="R335" s="9">
        <f t="shared" si="34"/>
        <v>356.24999999999574</v>
      </c>
      <c r="S335" s="7">
        <f t="shared" si="29"/>
        <v>4387.4999999999745</v>
      </c>
    </row>
    <row r="336" spans="1:19" x14ac:dyDescent="0.25">
      <c r="A336" s="4">
        <f>Sheet1!A336</f>
        <v>39573</v>
      </c>
      <c r="B336" s="5">
        <f>Sheet1!B336</f>
        <v>0.58333333333333337</v>
      </c>
      <c r="C336" s="6">
        <f>Sheet1!C336</f>
        <v>193.55</v>
      </c>
      <c r="D336" s="6">
        <f>Sheet1!D336</f>
        <v>197.75</v>
      </c>
      <c r="E336" s="6">
        <f>Sheet1!E336</f>
        <v>192.95</v>
      </c>
      <c r="F336" s="6">
        <f>Sheet1!F336</f>
        <v>196.65</v>
      </c>
      <c r="H336" s="6">
        <f ca="1">IF(ROW($H336)-1&lt;$I$1,$F336,AVERAGE($F336:OFFSET($F336,(($I$1-1)*-1),0)))</f>
        <v>196.92500000000004</v>
      </c>
      <c r="J336" s="6">
        <f ca="1">IF(ROW($J336)-1&lt;$K$1,$F336,AVERAGE($F336:OFFSET($F336,(($K$1-1)*-1),0)))</f>
        <v>197.56428571428569</v>
      </c>
      <c r="L336" s="7">
        <f t="shared" ca="1" si="30"/>
        <v>-1</v>
      </c>
      <c r="M336" s="7" t="str">
        <f t="shared" ca="1" si="31"/>
        <v/>
      </c>
      <c r="N336" s="6" t="str">
        <f t="shared" ca="1" si="32"/>
        <v/>
      </c>
      <c r="O336" s="6">
        <f t="shared" si="33"/>
        <v>3.0999999999999943</v>
      </c>
      <c r="Q336" s="6">
        <v>-2.1500000000000057</v>
      </c>
      <c r="R336" s="9">
        <f t="shared" si="34"/>
        <v>-806.25000000000216</v>
      </c>
      <c r="S336" s="7">
        <f t="shared" ref="S336:S399" si="35">S335+(P336*375)</f>
        <v>4387.4999999999745</v>
      </c>
    </row>
    <row r="337" spans="1:19" x14ac:dyDescent="0.25">
      <c r="A337" s="4">
        <f>Sheet1!A337</f>
        <v>39574</v>
      </c>
      <c r="B337" s="5">
        <f>Sheet1!B337</f>
        <v>0.58333333333333337</v>
      </c>
      <c r="C337" s="6">
        <f>Sheet1!C337</f>
        <v>196.8</v>
      </c>
      <c r="D337" s="6">
        <f>Sheet1!D337</f>
        <v>198.25</v>
      </c>
      <c r="E337" s="6">
        <f>Sheet1!E337</f>
        <v>195.65</v>
      </c>
      <c r="F337" s="6">
        <f>Sheet1!F337</f>
        <v>197.9</v>
      </c>
      <c r="H337" s="6">
        <f ca="1">IF(ROW($H337)-1&lt;$I$1,$F337,AVERAGE($F337:OFFSET($F337,(($I$1-1)*-1),0)))</f>
        <v>196.82500000000002</v>
      </c>
      <c r="J337" s="6">
        <f ca="1">IF(ROW($J337)-1&lt;$K$1,$F337,AVERAGE($F337:OFFSET($F337,(($K$1-1)*-1),0)))</f>
        <v>197.58928571428569</v>
      </c>
      <c r="L337" s="7">
        <f t="shared" ca="1" si="30"/>
        <v>-1</v>
      </c>
      <c r="M337" s="7" t="str">
        <f t="shared" ca="1" si="31"/>
        <v/>
      </c>
      <c r="N337" s="6" t="str">
        <f t="shared" ca="1" si="32"/>
        <v/>
      </c>
      <c r="O337" s="6">
        <f t="shared" si="33"/>
        <v>1.25</v>
      </c>
      <c r="Q337" s="6">
        <v>-3.4000000000000057</v>
      </c>
      <c r="R337" s="9">
        <f t="shared" si="34"/>
        <v>-1275.000000000002</v>
      </c>
      <c r="S337" s="7">
        <f t="shared" si="35"/>
        <v>4387.4999999999745</v>
      </c>
    </row>
    <row r="338" spans="1:19" x14ac:dyDescent="0.25">
      <c r="A338" s="4">
        <f>Sheet1!A338</f>
        <v>39575</v>
      </c>
      <c r="B338" s="5">
        <f>Sheet1!B338</f>
        <v>0.58333333333333337</v>
      </c>
      <c r="C338" s="6">
        <f>Sheet1!C338</f>
        <v>197.7</v>
      </c>
      <c r="D338" s="6">
        <f>Sheet1!D338</f>
        <v>197.95</v>
      </c>
      <c r="E338" s="6">
        <f>Sheet1!E338</f>
        <v>193.85</v>
      </c>
      <c r="F338" s="6">
        <f>Sheet1!F338</f>
        <v>197.9</v>
      </c>
      <c r="H338" s="6">
        <f ca="1">IF(ROW($H338)-1&lt;$I$1,$F338,AVERAGE($F338:OFFSET($F338,(($I$1-1)*-1),0)))</f>
        <v>196.56666666666669</v>
      </c>
      <c r="J338" s="6">
        <f ca="1">IF(ROW($J338)-1&lt;$K$1,$F338,AVERAGE($F338:OFFSET($F338,(($K$1-1)*-1),0)))</f>
        <v>197.72678571428565</v>
      </c>
      <c r="L338" s="7">
        <f t="shared" ca="1" si="30"/>
        <v>-1</v>
      </c>
      <c r="M338" s="7" t="str">
        <f t="shared" ca="1" si="31"/>
        <v/>
      </c>
      <c r="N338" s="6" t="str">
        <f t="shared" ca="1" si="32"/>
        <v/>
      </c>
      <c r="O338" s="6">
        <f t="shared" si="33"/>
        <v>0</v>
      </c>
      <c r="Q338" s="6">
        <v>-3.4000000000000057</v>
      </c>
      <c r="R338" s="9">
        <f t="shared" si="34"/>
        <v>-1275.000000000002</v>
      </c>
      <c r="S338" s="7">
        <f t="shared" si="35"/>
        <v>4387.4999999999745</v>
      </c>
    </row>
    <row r="339" spans="1:19" x14ac:dyDescent="0.25">
      <c r="A339" s="4">
        <f>Sheet1!A339</f>
        <v>39576</v>
      </c>
      <c r="B339" s="5">
        <f>Sheet1!B339</f>
        <v>0.58333333333333337</v>
      </c>
      <c r="C339" s="6">
        <f>Sheet1!C339</f>
        <v>194.55</v>
      </c>
      <c r="D339" s="6">
        <f>Sheet1!D339</f>
        <v>199.25</v>
      </c>
      <c r="E339" s="6">
        <f>Sheet1!E339</f>
        <v>194.55</v>
      </c>
      <c r="F339" s="6">
        <f>Sheet1!F339</f>
        <v>198.75</v>
      </c>
      <c r="H339" s="6">
        <f ca="1">IF(ROW($H339)-1&lt;$I$1,$F339,AVERAGE($F339:OFFSET($F339,(($I$1-1)*-1),0)))</f>
        <v>196.44166666666669</v>
      </c>
      <c r="J339" s="6">
        <f ca="1">IF(ROW($J339)-1&lt;$K$1,$F339,AVERAGE($F339:OFFSET($F339,(($K$1-1)*-1),0)))</f>
        <v>197.99999999999994</v>
      </c>
      <c r="L339" s="7">
        <f t="shared" ca="1" si="30"/>
        <v>-1</v>
      </c>
      <c r="M339" s="7" t="str">
        <f t="shared" ca="1" si="31"/>
        <v/>
      </c>
      <c r="N339" s="6" t="str">
        <f t="shared" ca="1" si="32"/>
        <v/>
      </c>
      <c r="O339" s="6">
        <f t="shared" si="33"/>
        <v>0.84999999999999432</v>
      </c>
      <c r="Q339" s="6">
        <v>-4.25</v>
      </c>
      <c r="R339" s="9">
        <f t="shared" si="34"/>
        <v>-1593.75</v>
      </c>
      <c r="S339" s="7">
        <f t="shared" si="35"/>
        <v>4387.4999999999745</v>
      </c>
    </row>
    <row r="340" spans="1:19" x14ac:dyDescent="0.25">
      <c r="A340" s="4">
        <f>Sheet1!A340</f>
        <v>39577</v>
      </c>
      <c r="B340" s="5">
        <f>Sheet1!B340</f>
        <v>0.58333333333333337</v>
      </c>
      <c r="C340" s="6">
        <f>Sheet1!C340</f>
        <v>198.6</v>
      </c>
      <c r="D340" s="6">
        <f>Sheet1!D340</f>
        <v>204.05</v>
      </c>
      <c r="E340" s="6">
        <f>Sheet1!E340</f>
        <v>198.5</v>
      </c>
      <c r="F340" s="6">
        <f>Sheet1!F340</f>
        <v>200.6</v>
      </c>
      <c r="H340" s="6">
        <f ca="1">IF(ROW($H340)-1&lt;$I$1,$F340,AVERAGE($F340:OFFSET($F340,(($I$1-1)*-1),0)))</f>
        <v>197.55833333333331</v>
      </c>
      <c r="J340" s="6">
        <f ca="1">IF(ROW($J340)-1&lt;$K$1,$F340,AVERAGE($F340:OFFSET($F340,(($K$1-1)*-1),0)))</f>
        <v>198.24642857142854</v>
      </c>
      <c r="L340" s="7">
        <f t="shared" ca="1" si="30"/>
        <v>-1</v>
      </c>
      <c r="M340" s="7" t="str">
        <f t="shared" ca="1" si="31"/>
        <v/>
      </c>
      <c r="N340" s="6" t="str">
        <f t="shared" ca="1" si="32"/>
        <v/>
      </c>
      <c r="O340" s="6">
        <f t="shared" si="33"/>
        <v>1.8499999999999943</v>
      </c>
      <c r="Q340" s="6">
        <v>-6.0999999999999943</v>
      </c>
      <c r="R340" s="9">
        <f t="shared" si="34"/>
        <v>-2287.4999999999977</v>
      </c>
      <c r="S340" s="7">
        <f t="shared" si="35"/>
        <v>4387.4999999999745</v>
      </c>
    </row>
    <row r="341" spans="1:19" x14ac:dyDescent="0.25">
      <c r="A341" s="4">
        <f>Sheet1!A341</f>
        <v>39580</v>
      </c>
      <c r="B341" s="5">
        <f>Sheet1!B341</f>
        <v>0.58333333333333337</v>
      </c>
      <c r="C341" s="6">
        <f>Sheet1!C341</f>
        <v>200.6</v>
      </c>
      <c r="D341" s="6">
        <f>Sheet1!D341</f>
        <v>203.45</v>
      </c>
      <c r="E341" s="6">
        <f>Sheet1!E341</f>
        <v>199.5</v>
      </c>
      <c r="F341" s="6">
        <f>Sheet1!F341</f>
        <v>202.95</v>
      </c>
      <c r="H341" s="6">
        <f ca="1">IF(ROW($H341)-1&lt;$I$1,$F341,AVERAGE($F341:OFFSET($F341,(($I$1-1)*-1),0)))</f>
        <v>199.125</v>
      </c>
      <c r="J341" s="6">
        <f ca="1">IF(ROW($J341)-1&lt;$K$1,$F341,AVERAGE($F341:OFFSET($F341,(($K$1-1)*-1),0)))</f>
        <v>198.57499999999996</v>
      </c>
      <c r="L341" s="7">
        <f t="shared" ca="1" si="30"/>
        <v>1</v>
      </c>
      <c r="M341" s="7">
        <f t="shared" ca="1" si="31"/>
        <v>1</v>
      </c>
      <c r="N341" s="6" t="str">
        <f t="shared" ca="1" si="32"/>
        <v/>
      </c>
      <c r="O341" s="6">
        <f t="shared" si="33"/>
        <v>2.3499999999999943</v>
      </c>
      <c r="Q341" s="6">
        <v>-8.4499999999999886</v>
      </c>
      <c r="R341" s="9">
        <f t="shared" si="34"/>
        <v>-3168.7499999999959</v>
      </c>
      <c r="S341" s="7">
        <f t="shared" si="35"/>
        <v>4387.4999999999745</v>
      </c>
    </row>
    <row r="342" spans="1:19" x14ac:dyDescent="0.25">
      <c r="A342" s="4">
        <f>Sheet1!A342</f>
        <v>39581</v>
      </c>
      <c r="B342" s="5">
        <f>Sheet1!B342</f>
        <v>0.58333333333333337</v>
      </c>
      <c r="C342" s="6">
        <f>Sheet1!C342</f>
        <v>202.95</v>
      </c>
      <c r="D342" s="6">
        <f>Sheet1!D342</f>
        <v>203.2</v>
      </c>
      <c r="E342" s="6">
        <f>Sheet1!E342</f>
        <v>199.7</v>
      </c>
      <c r="F342" s="6">
        <f>Sheet1!F342</f>
        <v>201.35</v>
      </c>
      <c r="H342" s="6">
        <f ca="1">IF(ROW($H342)-1&lt;$I$1,$F342,AVERAGE($F342:OFFSET($F342,(($I$1-1)*-1),0)))</f>
        <v>199.9083333333333</v>
      </c>
      <c r="J342" s="6">
        <f ca="1">IF(ROW($J342)-1&lt;$K$1,$F342,AVERAGE($F342:OFFSET($F342,(($K$1-1)*-1),0)))</f>
        <v>198.75892857142853</v>
      </c>
      <c r="L342" s="7">
        <f t="shared" ca="1" si="30"/>
        <v>1</v>
      </c>
      <c r="M342" s="7" t="str">
        <f t="shared" ca="1" si="31"/>
        <v/>
      </c>
      <c r="N342" s="6">
        <f t="shared" ca="1" si="32"/>
        <v>202.95</v>
      </c>
      <c r="O342" s="6">
        <f t="shared" si="33"/>
        <v>-1.5999999999999943</v>
      </c>
      <c r="P342" s="6">
        <v>-8.4499999999999886</v>
      </c>
      <c r="Q342" s="6">
        <v>-1.5999999999999943</v>
      </c>
      <c r="R342" s="9">
        <f t="shared" si="34"/>
        <v>-599.99999999999784</v>
      </c>
      <c r="S342" s="7">
        <f t="shared" si="35"/>
        <v>1218.7499999999786</v>
      </c>
    </row>
    <row r="343" spans="1:19" x14ac:dyDescent="0.25">
      <c r="A343" s="4">
        <f>Sheet1!A343</f>
        <v>39582</v>
      </c>
      <c r="B343" s="5">
        <f>Sheet1!B343</f>
        <v>0.58333333333333337</v>
      </c>
      <c r="C343" s="6">
        <f>Sheet1!C343</f>
        <v>201.3</v>
      </c>
      <c r="D343" s="6">
        <f>Sheet1!D343</f>
        <v>202.65</v>
      </c>
      <c r="E343" s="6">
        <f>Sheet1!E343</f>
        <v>200.25</v>
      </c>
      <c r="F343" s="6">
        <f>Sheet1!F343</f>
        <v>202.05</v>
      </c>
      <c r="H343" s="6">
        <f ca="1">IF(ROW($H343)-1&lt;$I$1,$F343,AVERAGE($F343:OFFSET($F343,(($I$1-1)*-1),0)))</f>
        <v>200.60000000000002</v>
      </c>
      <c r="J343" s="6">
        <f ca="1">IF(ROW($J343)-1&lt;$K$1,$F343,AVERAGE($F343:OFFSET($F343,(($K$1-1)*-1),0)))</f>
        <v>198.96964285714284</v>
      </c>
      <c r="L343" s="7">
        <f t="shared" ca="1" si="30"/>
        <v>1</v>
      </c>
      <c r="M343" s="7" t="str">
        <f t="shared" ca="1" si="31"/>
        <v/>
      </c>
      <c r="N343" s="6" t="str">
        <f t="shared" ca="1" si="32"/>
        <v/>
      </c>
      <c r="O343" s="6">
        <f t="shared" si="33"/>
        <v>0.70000000000001705</v>
      </c>
      <c r="Q343" s="6">
        <v>-0.89999999999997726</v>
      </c>
      <c r="R343" s="9">
        <f t="shared" si="34"/>
        <v>-337.49999999999147</v>
      </c>
      <c r="S343" s="7">
        <f t="shared" si="35"/>
        <v>1218.7499999999786</v>
      </c>
    </row>
    <row r="344" spans="1:19" x14ac:dyDescent="0.25">
      <c r="A344" s="4">
        <f>Sheet1!A344</f>
        <v>39583</v>
      </c>
      <c r="B344" s="5">
        <f>Sheet1!B344</f>
        <v>0.58333333333333337</v>
      </c>
      <c r="C344" s="6">
        <f>Sheet1!C344</f>
        <v>202.05</v>
      </c>
      <c r="D344" s="6">
        <f>Sheet1!D344</f>
        <v>203.8</v>
      </c>
      <c r="E344" s="6">
        <f>Sheet1!E344</f>
        <v>193.55</v>
      </c>
      <c r="F344" s="6">
        <f>Sheet1!F344</f>
        <v>201</v>
      </c>
      <c r="H344" s="6">
        <f ca="1">IF(ROW($H344)-1&lt;$I$1,$F344,AVERAGE($F344:OFFSET($F344,(($I$1-1)*-1),0)))</f>
        <v>201.11666666666667</v>
      </c>
      <c r="J344" s="6">
        <f ca="1">IF(ROW($J344)-1&lt;$K$1,$F344,AVERAGE($F344:OFFSET($F344,(($K$1-1)*-1),0)))</f>
        <v>199.14285714285717</v>
      </c>
      <c r="L344" s="7">
        <f t="shared" ca="1" si="30"/>
        <v>1</v>
      </c>
      <c r="M344" s="7" t="str">
        <f t="shared" ca="1" si="31"/>
        <v/>
      </c>
      <c r="N344" s="6" t="str">
        <f t="shared" ca="1" si="32"/>
        <v/>
      </c>
      <c r="O344" s="6">
        <f t="shared" si="33"/>
        <v>-1.0500000000000114</v>
      </c>
      <c r="Q344" s="6">
        <v>-1.9499999999999886</v>
      </c>
      <c r="R344" s="9">
        <f t="shared" si="34"/>
        <v>-731.24999999999568</v>
      </c>
      <c r="S344" s="7">
        <f t="shared" si="35"/>
        <v>1218.7499999999786</v>
      </c>
    </row>
    <row r="345" spans="1:19" x14ac:dyDescent="0.25">
      <c r="A345" s="4">
        <f>Sheet1!A345</f>
        <v>39584</v>
      </c>
      <c r="B345" s="5">
        <f>Sheet1!B345</f>
        <v>0.58333333333333337</v>
      </c>
      <c r="C345" s="6">
        <f>Sheet1!C345</f>
        <v>201</v>
      </c>
      <c r="D345" s="6">
        <f>Sheet1!D345</f>
        <v>202.85</v>
      </c>
      <c r="E345" s="6">
        <f>Sheet1!E345</f>
        <v>200.6</v>
      </c>
      <c r="F345" s="6">
        <f>Sheet1!F345</f>
        <v>202.5</v>
      </c>
      <c r="H345" s="6">
        <f ca="1">IF(ROW($H345)-1&lt;$I$1,$F345,AVERAGE($F345:OFFSET($F345,(($I$1-1)*-1),0)))</f>
        <v>201.74166666666667</v>
      </c>
      <c r="J345" s="6">
        <f ca="1">IF(ROW($J345)-1&lt;$K$1,$F345,AVERAGE($F345:OFFSET($F345,(($K$1-1)*-1),0)))</f>
        <v>199.33928571428575</v>
      </c>
      <c r="L345" s="7">
        <f t="shared" ca="1" si="30"/>
        <v>1</v>
      </c>
      <c r="M345" s="7" t="str">
        <f t="shared" ca="1" si="31"/>
        <v/>
      </c>
      <c r="N345" s="6" t="str">
        <f t="shared" ca="1" si="32"/>
        <v/>
      </c>
      <c r="O345" s="6">
        <f t="shared" si="33"/>
        <v>1.5</v>
      </c>
      <c r="Q345" s="6">
        <v>-0.44999999999998863</v>
      </c>
      <c r="R345" s="9">
        <f t="shared" si="34"/>
        <v>-168.74999999999574</v>
      </c>
      <c r="S345" s="7">
        <f t="shared" si="35"/>
        <v>1218.7499999999786</v>
      </c>
    </row>
    <row r="346" spans="1:19" x14ac:dyDescent="0.25">
      <c r="A346" s="4">
        <f>Sheet1!A346</f>
        <v>39587</v>
      </c>
      <c r="B346" s="5">
        <f>Sheet1!B346</f>
        <v>0.58333333333333337</v>
      </c>
      <c r="C346" s="6">
        <f>Sheet1!C346</f>
        <v>202.3</v>
      </c>
      <c r="D346" s="6">
        <f>Sheet1!D346</f>
        <v>204.05</v>
      </c>
      <c r="E346" s="6">
        <f>Sheet1!E346</f>
        <v>198.95</v>
      </c>
      <c r="F346" s="6">
        <f>Sheet1!F346</f>
        <v>199.3</v>
      </c>
      <c r="H346" s="6">
        <f ca="1">IF(ROW($H346)-1&lt;$I$1,$F346,AVERAGE($F346:OFFSET($F346,(($I$1-1)*-1),0)))</f>
        <v>201.52499999999998</v>
      </c>
      <c r="J346" s="6">
        <f ca="1">IF(ROW($J346)-1&lt;$K$1,$F346,AVERAGE($F346:OFFSET($F346,(($K$1-1)*-1),0)))</f>
        <v>199.28392857142862</v>
      </c>
      <c r="L346" s="7">
        <f t="shared" ca="1" si="30"/>
        <v>1</v>
      </c>
      <c r="M346" s="7" t="str">
        <f t="shared" ca="1" si="31"/>
        <v/>
      </c>
      <c r="N346" s="6" t="str">
        <f t="shared" ca="1" si="32"/>
        <v/>
      </c>
      <c r="O346" s="6">
        <f t="shared" si="33"/>
        <v>-3.1999999999999886</v>
      </c>
      <c r="Q346" s="6">
        <v>-3.6499999999999773</v>
      </c>
      <c r="R346" s="9">
        <f t="shared" si="34"/>
        <v>-1368.7499999999914</v>
      </c>
      <c r="S346" s="7">
        <f t="shared" si="35"/>
        <v>1218.7499999999786</v>
      </c>
    </row>
    <row r="347" spans="1:19" x14ac:dyDescent="0.25">
      <c r="A347" s="4">
        <f>Sheet1!A347</f>
        <v>39588</v>
      </c>
      <c r="B347" s="5">
        <f>Sheet1!B347</f>
        <v>0.58333333333333337</v>
      </c>
      <c r="C347" s="6">
        <f>Sheet1!C347</f>
        <v>199.05</v>
      </c>
      <c r="D347" s="6">
        <f>Sheet1!D347</f>
        <v>201.75</v>
      </c>
      <c r="E347" s="6">
        <f>Sheet1!E347</f>
        <v>199.05</v>
      </c>
      <c r="F347" s="6">
        <f>Sheet1!F347</f>
        <v>200.95</v>
      </c>
      <c r="H347" s="6">
        <f ca="1">IF(ROW($H347)-1&lt;$I$1,$F347,AVERAGE($F347:OFFSET($F347,(($I$1-1)*-1),0)))</f>
        <v>201.19166666666669</v>
      </c>
      <c r="J347" s="6">
        <f ca="1">IF(ROW($J347)-1&lt;$K$1,$F347,AVERAGE($F347:OFFSET($F347,(($K$1-1)*-1),0)))</f>
        <v>199.28035714285718</v>
      </c>
      <c r="L347" s="7">
        <f t="shared" ca="1" si="30"/>
        <v>1</v>
      </c>
      <c r="M347" s="7" t="str">
        <f t="shared" ca="1" si="31"/>
        <v/>
      </c>
      <c r="N347" s="6" t="str">
        <f t="shared" ca="1" si="32"/>
        <v/>
      </c>
      <c r="O347" s="6">
        <f t="shared" si="33"/>
        <v>1.6499999999999773</v>
      </c>
      <c r="Q347" s="6">
        <v>-2</v>
      </c>
      <c r="R347" s="9">
        <f t="shared" si="34"/>
        <v>-750</v>
      </c>
      <c r="S347" s="7">
        <f t="shared" si="35"/>
        <v>1218.7499999999786</v>
      </c>
    </row>
    <row r="348" spans="1:19" x14ac:dyDescent="0.25">
      <c r="A348" s="4">
        <f>Sheet1!A348</f>
        <v>39589</v>
      </c>
      <c r="B348" s="5">
        <f>Sheet1!B348</f>
        <v>0.58333333333333337</v>
      </c>
      <c r="C348" s="6">
        <f>Sheet1!C348</f>
        <v>201.05</v>
      </c>
      <c r="D348" s="6">
        <f>Sheet1!D348</f>
        <v>205.7</v>
      </c>
      <c r="E348" s="6">
        <f>Sheet1!E348</f>
        <v>200.85</v>
      </c>
      <c r="F348" s="6">
        <f>Sheet1!F348</f>
        <v>205</v>
      </c>
      <c r="H348" s="6">
        <f ca="1">IF(ROW($H348)-1&lt;$I$1,$F348,AVERAGE($F348:OFFSET($F348,(($I$1-1)*-1),0)))</f>
        <v>201.79999999999998</v>
      </c>
      <c r="J348" s="6">
        <f ca="1">IF(ROW($J348)-1&lt;$K$1,$F348,AVERAGE($F348:OFFSET($F348,(($K$1-1)*-1),0)))</f>
        <v>199.55357142857147</v>
      </c>
      <c r="L348" s="7">
        <f t="shared" ca="1" si="30"/>
        <v>1</v>
      </c>
      <c r="M348" s="7" t="str">
        <f t="shared" ca="1" si="31"/>
        <v/>
      </c>
      <c r="N348" s="6" t="str">
        <f t="shared" ca="1" si="32"/>
        <v/>
      </c>
      <c r="O348" s="6">
        <f t="shared" si="33"/>
        <v>4.0500000000000114</v>
      </c>
      <c r="Q348" s="6">
        <v>2.0500000000000114</v>
      </c>
      <c r="R348" s="9">
        <f t="shared" si="34"/>
        <v>768.75000000000432</v>
      </c>
      <c r="S348" s="7">
        <f t="shared" si="35"/>
        <v>1218.7499999999786</v>
      </c>
    </row>
    <row r="349" spans="1:19" x14ac:dyDescent="0.25">
      <c r="A349" s="4">
        <f>Sheet1!A349</f>
        <v>39590</v>
      </c>
      <c r="B349" s="5">
        <f>Sheet1!B349</f>
        <v>0.58333333333333337</v>
      </c>
      <c r="C349" s="6">
        <f>Sheet1!C349</f>
        <v>205.2</v>
      </c>
      <c r="D349" s="6">
        <f>Sheet1!D349</f>
        <v>206.05</v>
      </c>
      <c r="E349" s="6">
        <f>Sheet1!E349</f>
        <v>197.3</v>
      </c>
      <c r="F349" s="6">
        <f>Sheet1!F349</f>
        <v>198.05</v>
      </c>
      <c r="H349" s="6">
        <f ca="1">IF(ROW($H349)-1&lt;$I$1,$F349,AVERAGE($F349:OFFSET($F349,(($I$1-1)*-1),0)))</f>
        <v>201.13333333333333</v>
      </c>
      <c r="J349" s="6">
        <f ca="1">IF(ROW($J349)-1&lt;$K$1,$F349,AVERAGE($F349:OFFSET($F349,(($K$1-1)*-1),0)))</f>
        <v>199.58750000000003</v>
      </c>
      <c r="L349" s="7">
        <f t="shared" ca="1" si="30"/>
        <v>1</v>
      </c>
      <c r="M349" s="7" t="str">
        <f t="shared" ca="1" si="31"/>
        <v/>
      </c>
      <c r="N349" s="6" t="str">
        <f t="shared" ca="1" si="32"/>
        <v/>
      </c>
      <c r="O349" s="6">
        <f t="shared" si="33"/>
        <v>-6.9499999999999886</v>
      </c>
      <c r="Q349" s="6">
        <v>-4.8999999999999773</v>
      </c>
      <c r="R349" s="9">
        <f t="shared" si="34"/>
        <v>-1837.4999999999914</v>
      </c>
      <c r="S349" s="7">
        <f t="shared" si="35"/>
        <v>1218.7499999999786</v>
      </c>
    </row>
    <row r="350" spans="1:19" x14ac:dyDescent="0.25">
      <c r="A350" s="4">
        <f>Sheet1!A350</f>
        <v>39591</v>
      </c>
      <c r="B350" s="5">
        <f>Sheet1!B350</f>
        <v>0.58333333333333337</v>
      </c>
      <c r="C350" s="6">
        <f>Sheet1!C350</f>
        <v>198.35</v>
      </c>
      <c r="D350" s="6">
        <f>Sheet1!D350</f>
        <v>199.45</v>
      </c>
      <c r="E350" s="6">
        <f>Sheet1!E350</f>
        <v>197.2</v>
      </c>
      <c r="F350" s="6">
        <f>Sheet1!F350</f>
        <v>198.8</v>
      </c>
      <c r="H350" s="6">
        <f ca="1">IF(ROW($H350)-1&lt;$I$1,$F350,AVERAGE($F350:OFFSET($F350,(($I$1-1)*-1),0)))</f>
        <v>200.76666666666665</v>
      </c>
      <c r="J350" s="6">
        <f ca="1">IF(ROW($J350)-1&lt;$K$1,$F350,AVERAGE($F350:OFFSET($F350,(($K$1-1)*-1),0)))</f>
        <v>199.54464285714289</v>
      </c>
      <c r="L350" s="7">
        <f t="shared" ca="1" si="30"/>
        <v>1</v>
      </c>
      <c r="M350" s="7" t="str">
        <f t="shared" ca="1" si="31"/>
        <v/>
      </c>
      <c r="N350" s="6" t="str">
        <f t="shared" ca="1" si="32"/>
        <v/>
      </c>
      <c r="O350" s="6">
        <f t="shared" si="33"/>
        <v>0.75</v>
      </c>
      <c r="Q350" s="6">
        <v>-4.1499999999999773</v>
      </c>
      <c r="R350" s="9">
        <f t="shared" si="34"/>
        <v>-1556.2499999999914</v>
      </c>
      <c r="S350" s="7">
        <f t="shared" si="35"/>
        <v>1218.7499999999786</v>
      </c>
    </row>
    <row r="351" spans="1:19" x14ac:dyDescent="0.25">
      <c r="A351" s="4">
        <f>Sheet1!A351</f>
        <v>39595</v>
      </c>
      <c r="B351" s="5">
        <f>Sheet1!B351</f>
        <v>0.58333333333333337</v>
      </c>
      <c r="C351" s="6">
        <f>Sheet1!C351</f>
        <v>198.55</v>
      </c>
      <c r="D351" s="6">
        <f>Sheet1!D351</f>
        <v>199.45</v>
      </c>
      <c r="E351" s="6">
        <f>Sheet1!E351</f>
        <v>195.55</v>
      </c>
      <c r="F351" s="6">
        <f>Sheet1!F351</f>
        <v>195.9</v>
      </c>
      <c r="H351" s="6">
        <f ca="1">IF(ROW($H351)-1&lt;$I$1,$F351,AVERAGE($F351:OFFSET($F351,(($I$1-1)*-1),0)))</f>
        <v>199.66666666666666</v>
      </c>
      <c r="J351" s="6">
        <f ca="1">IF(ROW($J351)-1&lt;$K$1,$F351,AVERAGE($F351:OFFSET($F351,(($K$1-1)*-1),0)))</f>
        <v>199.36071428571429</v>
      </c>
      <c r="L351" s="7">
        <f t="shared" ca="1" si="30"/>
        <v>1</v>
      </c>
      <c r="M351" s="7" t="str">
        <f t="shared" ca="1" si="31"/>
        <v/>
      </c>
      <c r="N351" s="6" t="str">
        <f t="shared" ca="1" si="32"/>
        <v/>
      </c>
      <c r="O351" s="6">
        <f t="shared" si="33"/>
        <v>-2.9000000000000057</v>
      </c>
      <c r="Q351" s="6">
        <v>-7.0499999999999829</v>
      </c>
      <c r="R351" s="9">
        <f t="shared" si="34"/>
        <v>-2643.7499999999936</v>
      </c>
      <c r="S351" s="7">
        <f t="shared" si="35"/>
        <v>1218.7499999999786</v>
      </c>
    </row>
    <row r="352" spans="1:19" x14ac:dyDescent="0.25">
      <c r="A352" s="4">
        <f>Sheet1!A352</f>
        <v>39596</v>
      </c>
      <c r="B352" s="5">
        <f>Sheet1!B352</f>
        <v>0.58333333333333337</v>
      </c>
      <c r="C352" s="6">
        <f>Sheet1!C352</f>
        <v>196.05</v>
      </c>
      <c r="D352" s="6">
        <f>Sheet1!D352</f>
        <v>200.3</v>
      </c>
      <c r="E352" s="6">
        <f>Sheet1!E352</f>
        <v>195.4</v>
      </c>
      <c r="F352" s="6">
        <f>Sheet1!F352</f>
        <v>199.85</v>
      </c>
      <c r="H352" s="6">
        <f ca="1">IF(ROW($H352)-1&lt;$I$1,$F352,AVERAGE($F352:OFFSET($F352,(($I$1-1)*-1),0)))</f>
        <v>199.75833333333333</v>
      </c>
      <c r="J352" s="6">
        <f ca="1">IF(ROW($J352)-1&lt;$K$1,$F352,AVERAGE($F352:OFFSET($F352,(($K$1-1)*-1),0)))</f>
        <v>199.13928571428573</v>
      </c>
      <c r="L352" s="7">
        <f t="shared" ca="1" si="30"/>
        <v>1</v>
      </c>
      <c r="M352" s="7" t="str">
        <f t="shared" ca="1" si="31"/>
        <v/>
      </c>
      <c r="N352" s="6" t="str">
        <f t="shared" ca="1" si="32"/>
        <v/>
      </c>
      <c r="O352" s="6">
        <f t="shared" si="33"/>
        <v>3.9499999999999886</v>
      </c>
      <c r="Q352" s="6">
        <v>-3.0999999999999943</v>
      </c>
      <c r="R352" s="9">
        <f t="shared" si="34"/>
        <v>-1162.499999999998</v>
      </c>
      <c r="S352" s="7">
        <f t="shared" si="35"/>
        <v>1218.7499999999786</v>
      </c>
    </row>
    <row r="353" spans="1:19" x14ac:dyDescent="0.25">
      <c r="A353" s="4">
        <f>Sheet1!A353</f>
        <v>39597</v>
      </c>
      <c r="B353" s="5">
        <f>Sheet1!B353</f>
        <v>0.58333333333333337</v>
      </c>
      <c r="C353" s="6">
        <f>Sheet1!C353</f>
        <v>199.85</v>
      </c>
      <c r="D353" s="6">
        <f>Sheet1!D353</f>
        <v>201.05</v>
      </c>
      <c r="E353" s="6">
        <f>Sheet1!E353</f>
        <v>196.25</v>
      </c>
      <c r="F353" s="6">
        <f>Sheet1!F353</f>
        <v>196.85</v>
      </c>
      <c r="H353" s="6">
        <f ca="1">IF(ROW($H353)-1&lt;$I$1,$F353,AVERAGE($F353:OFFSET($F353,(($I$1-1)*-1),0)))</f>
        <v>199.07500000000002</v>
      </c>
      <c r="J353" s="6">
        <f ca="1">IF(ROW($J353)-1&lt;$K$1,$F353,AVERAGE($F353:OFFSET($F353,(($K$1-1)*-1),0)))</f>
        <v>198.99107142857147</v>
      </c>
      <c r="L353" s="7">
        <f t="shared" ca="1" si="30"/>
        <v>1</v>
      </c>
      <c r="M353" s="7" t="str">
        <f t="shared" ca="1" si="31"/>
        <v/>
      </c>
      <c r="N353" s="6" t="str">
        <f t="shared" ca="1" si="32"/>
        <v/>
      </c>
      <c r="O353" s="6">
        <f t="shared" si="33"/>
        <v>-3</v>
      </c>
      <c r="Q353" s="6">
        <v>-6.0999999999999943</v>
      </c>
      <c r="R353" s="9">
        <f t="shared" si="34"/>
        <v>-2287.4999999999977</v>
      </c>
      <c r="S353" s="7">
        <f t="shared" si="35"/>
        <v>1218.7499999999786</v>
      </c>
    </row>
    <row r="354" spans="1:19" x14ac:dyDescent="0.25">
      <c r="A354" s="4">
        <f>Sheet1!A354</f>
        <v>39598</v>
      </c>
      <c r="B354" s="5">
        <f>Sheet1!B354</f>
        <v>0.58333333333333337</v>
      </c>
      <c r="C354" s="6">
        <f>Sheet1!C354</f>
        <v>196.7</v>
      </c>
      <c r="D354" s="6">
        <f>Sheet1!D354</f>
        <v>198.8</v>
      </c>
      <c r="E354" s="6">
        <f>Sheet1!E354</f>
        <v>196.65</v>
      </c>
      <c r="F354" s="6">
        <f>Sheet1!F354</f>
        <v>197.9</v>
      </c>
      <c r="H354" s="6">
        <f ca="1">IF(ROW($H354)-1&lt;$I$1,$F354,AVERAGE($F354:OFFSET($F354,(($I$1-1)*-1),0)))</f>
        <v>197.89166666666668</v>
      </c>
      <c r="J354" s="6">
        <f ca="1">IF(ROW($J354)-1&lt;$K$1,$F354,AVERAGE($F354:OFFSET($F354,(($K$1-1)*-1),0)))</f>
        <v>199.00535714285715</v>
      </c>
      <c r="L354" s="7">
        <f t="shared" ca="1" si="30"/>
        <v>-1</v>
      </c>
      <c r="M354" s="7">
        <f t="shared" ca="1" si="31"/>
        <v>-1</v>
      </c>
      <c r="N354" s="6" t="str">
        <f t="shared" ca="1" si="32"/>
        <v/>
      </c>
      <c r="O354" s="6">
        <f t="shared" si="33"/>
        <v>1.0500000000000114</v>
      </c>
      <c r="Q354" s="6">
        <v>-5.0499999999999829</v>
      </c>
      <c r="R354" s="9">
        <f t="shared" si="34"/>
        <v>-1893.7499999999936</v>
      </c>
      <c r="S354" s="7">
        <f t="shared" si="35"/>
        <v>1218.7499999999786</v>
      </c>
    </row>
    <row r="355" spans="1:19" x14ac:dyDescent="0.25">
      <c r="A355" s="4">
        <f>Sheet1!A355</f>
        <v>39601</v>
      </c>
      <c r="B355" s="5">
        <f>Sheet1!B355</f>
        <v>0.58333333333333337</v>
      </c>
      <c r="C355" s="6">
        <f>Sheet1!C355</f>
        <v>197.9</v>
      </c>
      <c r="D355" s="6">
        <f>Sheet1!D355</f>
        <v>202.55</v>
      </c>
      <c r="E355" s="6">
        <f>Sheet1!E355</f>
        <v>196.75</v>
      </c>
      <c r="F355" s="6">
        <f>Sheet1!F355</f>
        <v>201.65</v>
      </c>
      <c r="H355" s="6">
        <f ca="1">IF(ROW($H355)-1&lt;$I$1,$F355,AVERAGE($F355:OFFSET($F355,(($I$1-1)*-1),0)))</f>
        <v>198.49166666666667</v>
      </c>
      <c r="J355" s="6">
        <f ca="1">IF(ROW($J355)-1&lt;$K$1,$F355,AVERAGE($F355:OFFSET($F355,(($K$1-1)*-1),0)))</f>
        <v>199.03392857142859</v>
      </c>
      <c r="L355" s="7">
        <f t="shared" ca="1" si="30"/>
        <v>-1</v>
      </c>
      <c r="M355" s="7" t="str">
        <f t="shared" ca="1" si="31"/>
        <v/>
      </c>
      <c r="N355" s="6">
        <f t="shared" ca="1" si="32"/>
        <v>197.9</v>
      </c>
      <c r="O355" s="6">
        <f t="shared" si="33"/>
        <v>3.75</v>
      </c>
      <c r="P355" s="6">
        <v>-5.0499999999999829</v>
      </c>
      <c r="Q355" s="6">
        <v>-3.75</v>
      </c>
      <c r="R355" s="9">
        <f t="shared" si="34"/>
        <v>-1406.25</v>
      </c>
      <c r="S355" s="7">
        <f t="shared" si="35"/>
        <v>-675.00000000001501</v>
      </c>
    </row>
    <row r="356" spans="1:19" x14ac:dyDescent="0.25">
      <c r="A356" s="4">
        <f>Sheet1!A356</f>
        <v>39602</v>
      </c>
      <c r="B356" s="5">
        <f>Sheet1!B356</f>
        <v>0.58333333333333337</v>
      </c>
      <c r="C356" s="6">
        <f>Sheet1!C356</f>
        <v>201.5</v>
      </c>
      <c r="D356" s="6">
        <f>Sheet1!D356</f>
        <v>201.5</v>
      </c>
      <c r="E356" s="6">
        <f>Sheet1!E356</f>
        <v>195.6</v>
      </c>
      <c r="F356" s="6">
        <f>Sheet1!F356</f>
        <v>196.85</v>
      </c>
      <c r="H356" s="6">
        <f ca="1">IF(ROW($H356)-1&lt;$I$1,$F356,AVERAGE($F356:OFFSET($F356,(($I$1-1)*-1),0)))</f>
        <v>198.16666666666666</v>
      </c>
      <c r="J356" s="6">
        <f ca="1">IF(ROW($J356)-1&lt;$K$1,$F356,AVERAGE($F356:OFFSET($F356,(($K$1-1)*-1),0)))</f>
        <v>198.91428571428574</v>
      </c>
      <c r="L356" s="7">
        <f t="shared" ca="1" si="30"/>
        <v>-1</v>
      </c>
      <c r="M356" s="7" t="str">
        <f t="shared" ca="1" si="31"/>
        <v/>
      </c>
      <c r="N356" s="6" t="str">
        <f t="shared" ca="1" si="32"/>
        <v/>
      </c>
      <c r="O356" s="6">
        <f t="shared" si="33"/>
        <v>-4.8000000000000114</v>
      </c>
      <c r="Q356" s="6">
        <v>1.0500000000000114</v>
      </c>
      <c r="R356" s="9">
        <f t="shared" si="34"/>
        <v>393.75000000000426</v>
      </c>
      <c r="S356" s="7">
        <f t="shared" si="35"/>
        <v>-675.00000000001501</v>
      </c>
    </row>
    <row r="357" spans="1:19" x14ac:dyDescent="0.25">
      <c r="A357" s="4">
        <f>Sheet1!A357</f>
        <v>39603</v>
      </c>
      <c r="B357" s="5">
        <f>Sheet1!B357</f>
        <v>0.58333333333333337</v>
      </c>
      <c r="C357" s="6">
        <f>Sheet1!C357</f>
        <v>196.8</v>
      </c>
      <c r="D357" s="6">
        <f>Sheet1!D357</f>
        <v>197.8</v>
      </c>
      <c r="E357" s="6">
        <f>Sheet1!E357</f>
        <v>195.65</v>
      </c>
      <c r="F357" s="6">
        <f>Sheet1!F357</f>
        <v>196.9</v>
      </c>
      <c r="H357" s="6">
        <f ca="1">IF(ROW($H357)-1&lt;$I$1,$F357,AVERAGE($F357:OFFSET($F357,(($I$1-1)*-1),0)))</f>
        <v>198.33333333333334</v>
      </c>
      <c r="J357" s="6">
        <f ca="1">IF(ROW($J357)-1&lt;$K$1,$F357,AVERAGE($F357:OFFSET($F357,(($K$1-1)*-1),0)))</f>
        <v>198.94107142857143</v>
      </c>
      <c r="L357" s="7">
        <f t="shared" ca="1" si="30"/>
        <v>-1</v>
      </c>
      <c r="M357" s="7" t="str">
        <f t="shared" ca="1" si="31"/>
        <v/>
      </c>
      <c r="N357" s="6" t="str">
        <f t="shared" ca="1" si="32"/>
        <v/>
      </c>
      <c r="O357" s="6">
        <f t="shared" si="33"/>
        <v>5.0000000000011369E-2</v>
      </c>
      <c r="Q357" s="6">
        <v>1</v>
      </c>
      <c r="R357" s="9">
        <f t="shared" si="34"/>
        <v>375</v>
      </c>
      <c r="S357" s="7">
        <f t="shared" si="35"/>
        <v>-675.00000000001501</v>
      </c>
    </row>
    <row r="358" spans="1:19" x14ac:dyDescent="0.25">
      <c r="A358" s="4">
        <f>Sheet1!A358</f>
        <v>39604</v>
      </c>
      <c r="B358" s="5">
        <f>Sheet1!B358</f>
        <v>0.58333333333333337</v>
      </c>
      <c r="C358" s="6">
        <f>Sheet1!C358</f>
        <v>197.2</v>
      </c>
      <c r="D358" s="6">
        <f>Sheet1!D358</f>
        <v>201.3</v>
      </c>
      <c r="E358" s="6">
        <f>Sheet1!E358</f>
        <v>196.85</v>
      </c>
      <c r="F358" s="6">
        <f>Sheet1!F358</f>
        <v>200</v>
      </c>
      <c r="H358" s="6">
        <f ca="1">IF(ROW($H358)-1&lt;$I$1,$F358,AVERAGE($F358:OFFSET($F358,(($I$1-1)*-1),0)))</f>
        <v>198.35833333333335</v>
      </c>
      <c r="J358" s="6">
        <f ca="1">IF(ROW($J358)-1&lt;$K$1,$F358,AVERAGE($F358:OFFSET($F358,(($K$1-1)*-1),0)))</f>
        <v>199.09107142857144</v>
      </c>
      <c r="L358" s="7">
        <f t="shared" ca="1" si="30"/>
        <v>-1</v>
      </c>
      <c r="M358" s="7" t="str">
        <f t="shared" ca="1" si="31"/>
        <v/>
      </c>
      <c r="N358" s="6" t="str">
        <f t="shared" ca="1" si="32"/>
        <v/>
      </c>
      <c r="O358" s="6">
        <f t="shared" si="33"/>
        <v>3.0999999999999943</v>
      </c>
      <c r="Q358" s="6">
        <v>-2.0999999999999943</v>
      </c>
      <c r="R358" s="9">
        <f t="shared" si="34"/>
        <v>-787.49999999999784</v>
      </c>
      <c r="S358" s="7">
        <f t="shared" si="35"/>
        <v>-675.00000000001501</v>
      </c>
    </row>
    <row r="359" spans="1:19" x14ac:dyDescent="0.25">
      <c r="A359" s="4">
        <f>Sheet1!A359</f>
        <v>39605</v>
      </c>
      <c r="B359" s="5">
        <f>Sheet1!B359</f>
        <v>0.58333333333333337</v>
      </c>
      <c r="C359" s="6">
        <f>Sheet1!C359</f>
        <v>200</v>
      </c>
      <c r="D359" s="6">
        <f>Sheet1!D359</f>
        <v>201.55</v>
      </c>
      <c r="E359" s="6">
        <f>Sheet1!E359</f>
        <v>198.5</v>
      </c>
      <c r="F359" s="6">
        <f>Sheet1!F359</f>
        <v>199.8</v>
      </c>
      <c r="H359" s="6">
        <f ca="1">IF(ROW($H359)-1&lt;$I$1,$F359,AVERAGE($F359:OFFSET($F359,(($I$1-1)*-1),0)))</f>
        <v>198.85</v>
      </c>
      <c r="J359" s="6">
        <f ca="1">IF(ROW($J359)-1&lt;$K$1,$F359,AVERAGE($F359:OFFSET($F359,(($K$1-1)*-1),0)))</f>
        <v>199.13750000000002</v>
      </c>
      <c r="L359" s="7">
        <f t="shared" ca="1" si="30"/>
        <v>-1</v>
      </c>
      <c r="M359" s="7" t="str">
        <f t="shared" ca="1" si="31"/>
        <v/>
      </c>
      <c r="N359" s="6" t="str">
        <f t="shared" ca="1" si="32"/>
        <v/>
      </c>
      <c r="O359" s="6">
        <f t="shared" si="33"/>
        <v>-0.19999999999998863</v>
      </c>
      <c r="Q359" s="6">
        <v>-1.9000000000000057</v>
      </c>
      <c r="R359" s="9">
        <f t="shared" si="34"/>
        <v>-712.50000000000216</v>
      </c>
      <c r="S359" s="7">
        <f t="shared" si="35"/>
        <v>-675.00000000001501</v>
      </c>
    </row>
    <row r="360" spans="1:19" x14ac:dyDescent="0.25">
      <c r="A360" s="4">
        <f>Sheet1!A360</f>
        <v>39608</v>
      </c>
      <c r="B360" s="5">
        <f>Sheet1!B360</f>
        <v>0.58333333333333337</v>
      </c>
      <c r="C360" s="6">
        <f>Sheet1!C360</f>
        <v>199.9</v>
      </c>
      <c r="D360" s="6">
        <f>Sheet1!D360</f>
        <v>200.1</v>
      </c>
      <c r="E360" s="6">
        <f>Sheet1!E360</f>
        <v>194.55</v>
      </c>
      <c r="F360" s="6">
        <f>Sheet1!F360</f>
        <v>195.1</v>
      </c>
      <c r="H360" s="6">
        <f ca="1">IF(ROW($H360)-1&lt;$I$1,$F360,AVERAGE($F360:OFFSET($F360,(($I$1-1)*-1),0)))</f>
        <v>198.38333333333333</v>
      </c>
      <c r="J360" s="6">
        <f ca="1">IF(ROW($J360)-1&lt;$K$1,$F360,AVERAGE($F360:OFFSET($F360,(($K$1-1)*-1),0)))</f>
        <v>198.98214285714286</v>
      </c>
      <c r="L360" s="7">
        <f t="shared" ca="1" si="30"/>
        <v>-1</v>
      </c>
      <c r="M360" s="7" t="str">
        <f t="shared" ca="1" si="31"/>
        <v/>
      </c>
      <c r="N360" s="6" t="str">
        <f t="shared" ca="1" si="32"/>
        <v/>
      </c>
      <c r="O360" s="6">
        <f t="shared" si="33"/>
        <v>-4.7000000000000171</v>
      </c>
      <c r="Q360" s="6">
        <v>2.8000000000000114</v>
      </c>
      <c r="R360" s="9">
        <f t="shared" si="34"/>
        <v>1050.0000000000043</v>
      </c>
      <c r="S360" s="7">
        <f t="shared" si="35"/>
        <v>-675.00000000001501</v>
      </c>
    </row>
    <row r="361" spans="1:19" x14ac:dyDescent="0.25">
      <c r="A361" s="4">
        <f>Sheet1!A361</f>
        <v>39609</v>
      </c>
      <c r="B361" s="5">
        <f>Sheet1!B361</f>
        <v>0.58333333333333337</v>
      </c>
      <c r="C361" s="6">
        <f>Sheet1!C361</f>
        <v>195.55</v>
      </c>
      <c r="D361" s="6">
        <f>Sheet1!D361</f>
        <v>199.9</v>
      </c>
      <c r="E361" s="6">
        <f>Sheet1!E361</f>
        <v>194.9</v>
      </c>
      <c r="F361" s="6">
        <f>Sheet1!F361</f>
        <v>199.3</v>
      </c>
      <c r="H361" s="6">
        <f ca="1">IF(ROW($H361)-1&lt;$I$1,$F361,AVERAGE($F361:OFFSET($F361,(($I$1-1)*-1),0)))</f>
        <v>197.99166666666667</v>
      </c>
      <c r="J361" s="6">
        <f ca="1">IF(ROW($J361)-1&lt;$K$1,$F361,AVERAGE($F361:OFFSET($F361,(($K$1-1)*-1),0)))</f>
        <v>198.97499999999999</v>
      </c>
      <c r="L361" s="7">
        <f t="shared" ca="1" si="30"/>
        <v>-1</v>
      </c>
      <c r="M361" s="7" t="str">
        <f t="shared" ca="1" si="31"/>
        <v/>
      </c>
      <c r="N361" s="6" t="str">
        <f t="shared" ca="1" si="32"/>
        <v/>
      </c>
      <c r="O361" s="6">
        <f t="shared" si="33"/>
        <v>4.2000000000000171</v>
      </c>
      <c r="Q361" s="6">
        <v>-1.4000000000000057</v>
      </c>
      <c r="R361" s="9">
        <f t="shared" si="34"/>
        <v>-525.00000000000216</v>
      </c>
      <c r="S361" s="7">
        <f t="shared" si="35"/>
        <v>-675.00000000001501</v>
      </c>
    </row>
    <row r="362" spans="1:19" x14ac:dyDescent="0.25">
      <c r="A362" s="4">
        <f>Sheet1!A362</f>
        <v>39610</v>
      </c>
      <c r="B362" s="5">
        <f>Sheet1!B362</f>
        <v>0.58333333333333337</v>
      </c>
      <c r="C362" s="6">
        <f>Sheet1!C362</f>
        <v>201.15</v>
      </c>
      <c r="D362" s="6">
        <f>Sheet1!D362</f>
        <v>202.1</v>
      </c>
      <c r="E362" s="6">
        <f>Sheet1!E362</f>
        <v>198.4</v>
      </c>
      <c r="F362" s="6">
        <f>Sheet1!F362</f>
        <v>200.1</v>
      </c>
      <c r="H362" s="6">
        <f ca="1">IF(ROW($H362)-1&lt;$I$1,$F362,AVERAGE($F362:OFFSET($F362,(($I$1-1)*-1),0)))</f>
        <v>198.53333333333333</v>
      </c>
      <c r="J362" s="6">
        <f ca="1">IF(ROW($J362)-1&lt;$K$1,$F362,AVERAGE($F362:OFFSET($F362,(($K$1-1)*-1),0)))</f>
        <v>199.19642857142861</v>
      </c>
      <c r="L362" s="7">
        <f t="shared" ca="1" si="30"/>
        <v>-1</v>
      </c>
      <c r="M362" s="7" t="str">
        <f t="shared" ca="1" si="31"/>
        <v/>
      </c>
      <c r="N362" s="6" t="str">
        <f t="shared" ca="1" si="32"/>
        <v/>
      </c>
      <c r="O362" s="6">
        <f t="shared" si="33"/>
        <v>0.79999999999998295</v>
      </c>
      <c r="Q362" s="6">
        <v>-2.1999999999999886</v>
      </c>
      <c r="R362" s="9">
        <f t="shared" si="34"/>
        <v>-824.99999999999568</v>
      </c>
      <c r="S362" s="7">
        <f t="shared" si="35"/>
        <v>-675.00000000001501</v>
      </c>
    </row>
    <row r="363" spans="1:19" x14ac:dyDescent="0.25">
      <c r="A363" s="4">
        <f>Sheet1!A363</f>
        <v>39611</v>
      </c>
      <c r="B363" s="5">
        <f>Sheet1!B363</f>
        <v>0.58333333333333337</v>
      </c>
      <c r="C363" s="6">
        <f>Sheet1!C363</f>
        <v>200.3</v>
      </c>
      <c r="D363" s="6">
        <f>Sheet1!D363</f>
        <v>201.5</v>
      </c>
      <c r="E363" s="6">
        <f>Sheet1!E363</f>
        <v>199.8</v>
      </c>
      <c r="F363" s="6">
        <f>Sheet1!F363</f>
        <v>201.1</v>
      </c>
      <c r="H363" s="6">
        <f ca="1">IF(ROW($H363)-1&lt;$I$1,$F363,AVERAGE($F363:OFFSET($F363,(($I$1-1)*-1),0)))</f>
        <v>199.23333333333335</v>
      </c>
      <c r="J363" s="6">
        <f ca="1">IF(ROW($J363)-1&lt;$K$1,$F363,AVERAGE($F363:OFFSET($F363,(($K$1-1)*-1),0)))</f>
        <v>199.46607142857147</v>
      </c>
      <c r="L363" s="7">
        <f t="shared" ca="1" si="30"/>
        <v>-1</v>
      </c>
      <c r="M363" s="7" t="str">
        <f t="shared" ca="1" si="31"/>
        <v/>
      </c>
      <c r="N363" s="6" t="str">
        <f t="shared" ca="1" si="32"/>
        <v/>
      </c>
      <c r="O363" s="6">
        <f t="shared" si="33"/>
        <v>1</v>
      </c>
      <c r="Q363" s="6">
        <v>-3.1999999999999886</v>
      </c>
      <c r="R363" s="9">
        <f t="shared" si="34"/>
        <v>-1199.9999999999957</v>
      </c>
      <c r="S363" s="7">
        <f t="shared" si="35"/>
        <v>-675.00000000001501</v>
      </c>
    </row>
    <row r="364" spans="1:19" x14ac:dyDescent="0.25">
      <c r="A364" s="4">
        <f>Sheet1!A364</f>
        <v>39612</v>
      </c>
      <c r="B364" s="5">
        <f>Sheet1!B364</f>
        <v>0.58333333333333337</v>
      </c>
      <c r="C364" s="6">
        <f>Sheet1!C364</f>
        <v>201.05</v>
      </c>
      <c r="D364" s="6">
        <f>Sheet1!D364</f>
        <v>201.45</v>
      </c>
      <c r="E364" s="6">
        <f>Sheet1!E364</f>
        <v>199.85</v>
      </c>
      <c r="F364" s="6">
        <f>Sheet1!F364</f>
        <v>201.15</v>
      </c>
      <c r="H364" s="6">
        <f ca="1">IF(ROW($H364)-1&lt;$I$1,$F364,AVERAGE($F364:OFFSET($F364,(($I$1-1)*-1),0)))</f>
        <v>199.42500000000004</v>
      </c>
      <c r="J364" s="6">
        <f ca="1">IF(ROW($J364)-1&lt;$K$1,$F364,AVERAGE($F364:OFFSET($F364,(($K$1-1)*-1),0)))</f>
        <v>199.62678571428575</v>
      </c>
      <c r="L364" s="7">
        <f t="shared" ca="1" si="30"/>
        <v>-1</v>
      </c>
      <c r="M364" s="7" t="str">
        <f t="shared" ca="1" si="31"/>
        <v/>
      </c>
      <c r="N364" s="6" t="str">
        <f t="shared" ca="1" si="32"/>
        <v/>
      </c>
      <c r="O364" s="6">
        <f t="shared" si="33"/>
        <v>5.0000000000011369E-2</v>
      </c>
      <c r="Q364" s="6">
        <v>-3.25</v>
      </c>
      <c r="R364" s="9">
        <f t="shared" si="34"/>
        <v>-1218.75</v>
      </c>
      <c r="S364" s="7">
        <f t="shared" si="35"/>
        <v>-675.00000000001501</v>
      </c>
    </row>
    <row r="365" spans="1:19" x14ac:dyDescent="0.25">
      <c r="A365" s="4">
        <f>Sheet1!A365</f>
        <v>39615</v>
      </c>
      <c r="B365" s="5">
        <f>Sheet1!B365</f>
        <v>0.58333333333333337</v>
      </c>
      <c r="C365" s="6">
        <f>Sheet1!C365</f>
        <v>200.85</v>
      </c>
      <c r="D365" s="6">
        <f>Sheet1!D365</f>
        <v>206.05</v>
      </c>
      <c r="E365" s="6">
        <f>Sheet1!E365</f>
        <v>200.8</v>
      </c>
      <c r="F365" s="6">
        <f>Sheet1!F365</f>
        <v>203.15</v>
      </c>
      <c r="H365" s="6">
        <f ca="1">IF(ROW($H365)-1&lt;$I$1,$F365,AVERAGE($F365:OFFSET($F365,(($I$1-1)*-1),0)))</f>
        <v>199.98333333333335</v>
      </c>
      <c r="J365" s="6">
        <f ca="1">IF(ROW($J365)-1&lt;$K$1,$F365,AVERAGE($F365:OFFSET($F365,(($K$1-1)*-1),0)))</f>
        <v>199.81428571428575</v>
      </c>
      <c r="L365" s="7">
        <f t="shared" ca="1" si="30"/>
        <v>1</v>
      </c>
      <c r="M365" s="7">
        <f t="shared" ca="1" si="31"/>
        <v>1</v>
      </c>
      <c r="N365" s="6" t="str">
        <f t="shared" ca="1" si="32"/>
        <v/>
      </c>
      <c r="O365" s="6">
        <f t="shared" si="33"/>
        <v>2</v>
      </c>
      <c r="Q365" s="6">
        <v>-5.25</v>
      </c>
      <c r="R365" s="9">
        <f t="shared" si="34"/>
        <v>-1968.75</v>
      </c>
      <c r="S365" s="7">
        <f t="shared" si="35"/>
        <v>-675.00000000001501</v>
      </c>
    </row>
    <row r="366" spans="1:19" x14ac:dyDescent="0.25">
      <c r="A366" s="4">
        <f>Sheet1!A366</f>
        <v>39616</v>
      </c>
      <c r="B366" s="5">
        <f>Sheet1!B366</f>
        <v>0.58333333333333337</v>
      </c>
      <c r="C366" s="6">
        <f>Sheet1!C366</f>
        <v>203.15</v>
      </c>
      <c r="D366" s="6">
        <f>Sheet1!D366</f>
        <v>206</v>
      </c>
      <c r="E366" s="6">
        <f>Sheet1!E366</f>
        <v>202.1</v>
      </c>
      <c r="F366" s="6">
        <f>Sheet1!F366</f>
        <v>205.4</v>
      </c>
      <c r="H366" s="6">
        <f ca="1">IF(ROW($H366)-1&lt;$I$1,$F366,AVERAGE($F366:OFFSET($F366,(($I$1-1)*-1),0)))</f>
        <v>201.70000000000002</v>
      </c>
      <c r="J366" s="6">
        <f ca="1">IF(ROW($J366)-1&lt;$K$1,$F366,AVERAGE($F366:OFFSET($F366,(($K$1-1)*-1),0)))</f>
        <v>200.08214285714286</v>
      </c>
      <c r="L366" s="7">
        <f t="shared" ca="1" si="30"/>
        <v>1</v>
      </c>
      <c r="M366" s="7" t="str">
        <f t="shared" ca="1" si="31"/>
        <v/>
      </c>
      <c r="N366" s="6">
        <f t="shared" ca="1" si="32"/>
        <v>203.15</v>
      </c>
      <c r="O366" s="6">
        <f t="shared" si="33"/>
        <v>2.25</v>
      </c>
      <c r="P366" s="6">
        <v>-5.25</v>
      </c>
      <c r="Q366" s="6">
        <v>2.25</v>
      </c>
      <c r="R366" s="9">
        <f t="shared" si="34"/>
        <v>843.75</v>
      </c>
      <c r="S366" s="7">
        <f t="shared" si="35"/>
        <v>-2643.750000000015</v>
      </c>
    </row>
    <row r="367" spans="1:19" x14ac:dyDescent="0.25">
      <c r="A367" s="4">
        <f>Sheet1!A367</f>
        <v>39617</v>
      </c>
      <c r="B367" s="5">
        <f>Sheet1!B367</f>
        <v>0.58333333333333337</v>
      </c>
      <c r="C367" s="6">
        <f>Sheet1!C367</f>
        <v>206.05</v>
      </c>
      <c r="D367" s="6">
        <f>Sheet1!D367</f>
        <v>206.8</v>
      </c>
      <c r="E367" s="6">
        <f>Sheet1!E367</f>
        <v>201.8</v>
      </c>
      <c r="F367" s="6">
        <f>Sheet1!F367</f>
        <v>204.15</v>
      </c>
      <c r="H367" s="6">
        <f ca="1">IF(ROW($H367)-1&lt;$I$1,$F367,AVERAGE($F367:OFFSET($F367,(($I$1-1)*-1),0)))</f>
        <v>202.50833333333333</v>
      </c>
      <c r="J367" s="6">
        <f ca="1">IF(ROW($J367)-1&lt;$K$1,$F367,AVERAGE($F367:OFFSET($F367,(($K$1-1)*-1),0)))</f>
        <v>200.27500000000001</v>
      </c>
      <c r="L367" s="7">
        <f t="shared" ca="1" si="30"/>
        <v>1</v>
      </c>
      <c r="M367" s="7" t="str">
        <f t="shared" ca="1" si="31"/>
        <v/>
      </c>
      <c r="N367" s="6" t="str">
        <f t="shared" ca="1" si="32"/>
        <v/>
      </c>
      <c r="O367" s="6">
        <f t="shared" si="33"/>
        <v>-1.25</v>
      </c>
      <c r="Q367" s="6">
        <v>1</v>
      </c>
      <c r="R367" s="9">
        <f t="shared" si="34"/>
        <v>375</v>
      </c>
      <c r="S367" s="7">
        <f t="shared" si="35"/>
        <v>-2643.750000000015</v>
      </c>
    </row>
    <row r="368" spans="1:19" x14ac:dyDescent="0.25">
      <c r="A368" s="4">
        <f>Sheet1!A368</f>
        <v>39618</v>
      </c>
      <c r="B368" s="5">
        <f>Sheet1!B368</f>
        <v>0.58333333333333337</v>
      </c>
      <c r="C368" s="6">
        <f>Sheet1!C368</f>
        <v>203.9</v>
      </c>
      <c r="D368" s="6">
        <f>Sheet1!D368</f>
        <v>206.15</v>
      </c>
      <c r="E368" s="6">
        <f>Sheet1!E368</f>
        <v>202.7</v>
      </c>
      <c r="F368" s="6">
        <f>Sheet1!F368</f>
        <v>204.2</v>
      </c>
      <c r="H368" s="6">
        <f ca="1">IF(ROW($H368)-1&lt;$I$1,$F368,AVERAGE($F368:OFFSET($F368,(($I$1-1)*-1),0)))</f>
        <v>203.19166666666663</v>
      </c>
      <c r="J368" s="6">
        <f ca="1">IF(ROW($J368)-1&lt;$K$1,$F368,AVERAGE($F368:OFFSET($F368,(($K$1-1)*-1),0)))</f>
        <v>200.40357142857141</v>
      </c>
      <c r="L368" s="7">
        <f t="shared" ca="1" si="30"/>
        <v>1</v>
      </c>
      <c r="M368" s="7" t="str">
        <f t="shared" ca="1" si="31"/>
        <v/>
      </c>
      <c r="N368" s="6" t="str">
        <f t="shared" ca="1" si="32"/>
        <v/>
      </c>
      <c r="O368" s="6">
        <f t="shared" si="33"/>
        <v>4.9999999999982947E-2</v>
      </c>
      <c r="Q368" s="6">
        <v>1.0499999999999829</v>
      </c>
      <c r="R368" s="9">
        <f t="shared" si="34"/>
        <v>393.74999999999363</v>
      </c>
      <c r="S368" s="7">
        <f t="shared" si="35"/>
        <v>-2643.750000000015</v>
      </c>
    </row>
    <row r="369" spans="1:19" x14ac:dyDescent="0.25">
      <c r="A369" s="4">
        <f>Sheet1!A369</f>
        <v>39619</v>
      </c>
      <c r="B369" s="5">
        <f>Sheet1!B369</f>
        <v>0.58333333333333337</v>
      </c>
      <c r="C369" s="6">
        <f>Sheet1!C369</f>
        <v>204.05</v>
      </c>
      <c r="D369" s="6">
        <f>Sheet1!D369</f>
        <v>212.55</v>
      </c>
      <c r="E369" s="6">
        <f>Sheet1!E369</f>
        <v>203.6</v>
      </c>
      <c r="F369" s="6">
        <f>Sheet1!F369</f>
        <v>211.1</v>
      </c>
      <c r="H369" s="6">
        <f ca="1">IF(ROW($H369)-1&lt;$I$1,$F369,AVERAGE($F369:OFFSET($F369,(($I$1-1)*-1),0)))</f>
        <v>204.85833333333332</v>
      </c>
      <c r="J369" s="6">
        <f ca="1">IF(ROW($J369)-1&lt;$K$1,$F369,AVERAGE($F369:OFFSET($F369,(($K$1-1)*-1),0)))</f>
        <v>200.69464285714284</v>
      </c>
      <c r="L369" s="7">
        <f t="shared" ca="1" si="30"/>
        <v>1</v>
      </c>
      <c r="M369" s="7" t="str">
        <f t="shared" ca="1" si="31"/>
        <v/>
      </c>
      <c r="N369" s="6" t="str">
        <f t="shared" ca="1" si="32"/>
        <v/>
      </c>
      <c r="O369" s="6">
        <f t="shared" si="33"/>
        <v>6.9000000000000057</v>
      </c>
      <c r="Q369" s="6">
        <v>7.9499999999999886</v>
      </c>
      <c r="R369" s="9">
        <f t="shared" si="34"/>
        <v>2981.2499999999959</v>
      </c>
      <c r="S369" s="7">
        <f t="shared" si="35"/>
        <v>-2643.750000000015</v>
      </c>
    </row>
    <row r="370" spans="1:19" x14ac:dyDescent="0.25">
      <c r="A370" s="4">
        <f>Sheet1!A370</f>
        <v>39622</v>
      </c>
      <c r="B370" s="5">
        <f>Sheet1!B370</f>
        <v>0.58333333333333337</v>
      </c>
      <c r="C370" s="6">
        <f>Sheet1!C370</f>
        <v>210.75</v>
      </c>
      <c r="D370" s="6">
        <f>Sheet1!D370</f>
        <v>212.55</v>
      </c>
      <c r="E370" s="6">
        <f>Sheet1!E370</f>
        <v>208.35</v>
      </c>
      <c r="F370" s="6">
        <f>Sheet1!F370</f>
        <v>210.65</v>
      </c>
      <c r="H370" s="6">
        <f ca="1">IF(ROW($H370)-1&lt;$I$1,$F370,AVERAGE($F370:OFFSET($F370,(($I$1-1)*-1),0)))</f>
        <v>206.44166666666669</v>
      </c>
      <c r="J370" s="6">
        <f ca="1">IF(ROW($J370)-1&lt;$K$1,$F370,AVERAGE($F370:OFFSET($F370,(($K$1-1)*-1),0)))</f>
        <v>201.02678571428569</v>
      </c>
      <c r="L370" s="7">
        <f t="shared" ca="1" si="30"/>
        <v>1</v>
      </c>
      <c r="M370" s="7" t="str">
        <f t="shared" ca="1" si="31"/>
        <v/>
      </c>
      <c r="N370" s="6" t="str">
        <f t="shared" ca="1" si="32"/>
        <v/>
      </c>
      <c r="O370" s="6">
        <f t="shared" si="33"/>
        <v>-0.44999999999998863</v>
      </c>
      <c r="Q370" s="6">
        <v>7.5</v>
      </c>
      <c r="R370" s="9">
        <f t="shared" si="34"/>
        <v>2812.5</v>
      </c>
      <c r="S370" s="7">
        <f t="shared" si="35"/>
        <v>-2643.750000000015</v>
      </c>
    </row>
    <row r="371" spans="1:19" x14ac:dyDescent="0.25">
      <c r="A371" s="4">
        <f>Sheet1!A371</f>
        <v>39623</v>
      </c>
      <c r="B371" s="5">
        <f>Sheet1!B371</f>
        <v>0.58333333333333337</v>
      </c>
      <c r="C371" s="6">
        <f>Sheet1!C371</f>
        <v>210.5</v>
      </c>
      <c r="D371" s="6">
        <f>Sheet1!D371</f>
        <v>215.15</v>
      </c>
      <c r="E371" s="6">
        <f>Sheet1!E371</f>
        <v>210.3</v>
      </c>
      <c r="F371" s="6">
        <f>Sheet1!F371</f>
        <v>213</v>
      </c>
      <c r="H371" s="6">
        <f ca="1">IF(ROW($H371)-1&lt;$I$1,$F371,AVERAGE($F371:OFFSET($F371,(($I$1-1)*-1),0)))</f>
        <v>208.08333333333334</v>
      </c>
      <c r="J371" s="6">
        <f ca="1">IF(ROW($J371)-1&lt;$K$1,$F371,AVERAGE($F371:OFFSET($F371,(($K$1-1)*-1),0)))</f>
        <v>201.41785714285712</v>
      </c>
      <c r="L371" s="7">
        <f t="shared" ca="1" si="30"/>
        <v>1</v>
      </c>
      <c r="M371" s="7" t="str">
        <f t="shared" ca="1" si="31"/>
        <v/>
      </c>
      <c r="N371" s="6" t="str">
        <f t="shared" ca="1" si="32"/>
        <v/>
      </c>
      <c r="O371" s="6">
        <f t="shared" si="33"/>
        <v>2.3499999999999943</v>
      </c>
      <c r="Q371" s="6">
        <v>9.8499999999999943</v>
      </c>
      <c r="R371" s="9">
        <f t="shared" si="34"/>
        <v>3693.7499999999977</v>
      </c>
      <c r="S371" s="7">
        <f t="shared" si="35"/>
        <v>-2643.750000000015</v>
      </c>
    </row>
    <row r="372" spans="1:19" x14ac:dyDescent="0.25">
      <c r="A372" s="4">
        <f>Sheet1!A372</f>
        <v>39624</v>
      </c>
      <c r="B372" s="5">
        <f>Sheet1!B372</f>
        <v>0.58333333333333337</v>
      </c>
      <c r="C372" s="6">
        <f>Sheet1!C372</f>
        <v>213.2</v>
      </c>
      <c r="D372" s="6">
        <f>Sheet1!D372</f>
        <v>215.15</v>
      </c>
      <c r="E372" s="6">
        <f>Sheet1!E372</f>
        <v>211.65</v>
      </c>
      <c r="F372" s="6">
        <f>Sheet1!F372</f>
        <v>214.75</v>
      </c>
      <c r="H372" s="6">
        <f ca="1">IF(ROW($H372)-1&lt;$I$1,$F372,AVERAGE($F372:OFFSET($F372,(($I$1-1)*-1),0)))</f>
        <v>209.64166666666665</v>
      </c>
      <c r="J372" s="6">
        <f ca="1">IF(ROW($J372)-1&lt;$K$1,$F372,AVERAGE($F372:OFFSET($F372,(($K$1-1)*-1),0)))</f>
        <v>201.90892857142853</v>
      </c>
      <c r="L372" s="7">
        <f t="shared" ca="1" si="30"/>
        <v>1</v>
      </c>
      <c r="M372" s="7" t="str">
        <f t="shared" ca="1" si="31"/>
        <v/>
      </c>
      <c r="N372" s="6" t="str">
        <f t="shared" ca="1" si="32"/>
        <v/>
      </c>
      <c r="O372" s="6">
        <f t="shared" si="33"/>
        <v>1.75</v>
      </c>
      <c r="Q372" s="6">
        <v>11.599999999999994</v>
      </c>
      <c r="R372" s="9">
        <f t="shared" si="34"/>
        <v>4349.9999999999982</v>
      </c>
      <c r="S372" s="7">
        <f t="shared" si="35"/>
        <v>-2643.750000000015</v>
      </c>
    </row>
    <row r="373" spans="1:19" x14ac:dyDescent="0.25">
      <c r="A373" s="4">
        <f>Sheet1!A373</f>
        <v>39625</v>
      </c>
      <c r="B373" s="5">
        <f>Sheet1!B373</f>
        <v>0.58333333333333337</v>
      </c>
      <c r="C373" s="6">
        <f>Sheet1!C373</f>
        <v>214.9</v>
      </c>
      <c r="D373" s="6">
        <f>Sheet1!D373</f>
        <v>219.25</v>
      </c>
      <c r="E373" s="6">
        <f>Sheet1!E373</f>
        <v>214.2</v>
      </c>
      <c r="F373" s="6">
        <f>Sheet1!F373</f>
        <v>219.25</v>
      </c>
      <c r="H373" s="6">
        <f ca="1">IF(ROW($H373)-1&lt;$I$1,$F373,AVERAGE($F373:OFFSET($F373,(($I$1-1)*-1),0)))</f>
        <v>212.1583333333333</v>
      </c>
      <c r="J373" s="6">
        <f ca="1">IF(ROW($J373)-1&lt;$K$1,$F373,AVERAGE($F373:OFFSET($F373,(($K$1-1)*-1),0)))</f>
        <v>202.50714285714284</v>
      </c>
      <c r="L373" s="7">
        <f t="shared" ca="1" si="30"/>
        <v>1</v>
      </c>
      <c r="M373" s="7" t="str">
        <f t="shared" ca="1" si="31"/>
        <v/>
      </c>
      <c r="N373" s="6" t="str">
        <f t="shared" ca="1" si="32"/>
        <v/>
      </c>
      <c r="O373" s="6">
        <f t="shared" si="33"/>
        <v>4.5</v>
      </c>
      <c r="Q373" s="6">
        <v>16.099999999999994</v>
      </c>
      <c r="R373" s="9">
        <f t="shared" si="34"/>
        <v>6037.4999999999982</v>
      </c>
      <c r="S373" s="7">
        <f t="shared" si="35"/>
        <v>-2643.750000000015</v>
      </c>
    </row>
    <row r="374" spans="1:19" x14ac:dyDescent="0.25">
      <c r="A374" s="4">
        <f>Sheet1!A374</f>
        <v>39626</v>
      </c>
      <c r="B374" s="5">
        <f>Sheet1!B374</f>
        <v>0.58333333333333337</v>
      </c>
      <c r="C374" s="6">
        <f>Sheet1!C374</f>
        <v>218.25</v>
      </c>
      <c r="D374" s="6">
        <f>Sheet1!D374</f>
        <v>219.05</v>
      </c>
      <c r="E374" s="6">
        <f>Sheet1!E374</f>
        <v>215.3</v>
      </c>
      <c r="F374" s="6">
        <f>Sheet1!F374</f>
        <v>216</v>
      </c>
      <c r="H374" s="6">
        <f ca="1">IF(ROW($H374)-1&lt;$I$1,$F374,AVERAGE($F374:OFFSET($F374,(($I$1-1)*-1),0)))</f>
        <v>214.125</v>
      </c>
      <c r="J374" s="6">
        <f ca="1">IF(ROW($J374)-1&lt;$K$1,$F374,AVERAGE($F374:OFFSET($F374,(($K$1-1)*-1),0)))</f>
        <v>203.10357142857143</v>
      </c>
      <c r="L374" s="7">
        <f t="shared" ca="1" si="30"/>
        <v>1</v>
      </c>
      <c r="M374" s="7" t="str">
        <f t="shared" ca="1" si="31"/>
        <v/>
      </c>
      <c r="N374" s="6" t="str">
        <f t="shared" ca="1" si="32"/>
        <v/>
      </c>
      <c r="O374" s="6">
        <f t="shared" si="33"/>
        <v>-3.25</v>
      </c>
      <c r="Q374" s="6">
        <v>12.849999999999994</v>
      </c>
      <c r="R374" s="9">
        <f t="shared" si="34"/>
        <v>4818.7499999999982</v>
      </c>
      <c r="S374" s="7">
        <f t="shared" si="35"/>
        <v>-2643.750000000015</v>
      </c>
    </row>
    <row r="375" spans="1:19" x14ac:dyDescent="0.25">
      <c r="A375" s="4">
        <f>Sheet1!A375</f>
        <v>39629</v>
      </c>
      <c r="B375" s="5">
        <f>Sheet1!B375</f>
        <v>0.58333333333333337</v>
      </c>
      <c r="C375" s="6">
        <f>Sheet1!C375</f>
        <v>216</v>
      </c>
      <c r="D375" s="6">
        <f>Sheet1!D375</f>
        <v>220.35</v>
      </c>
      <c r="E375" s="6">
        <f>Sheet1!E375</f>
        <v>214</v>
      </c>
      <c r="F375" s="6">
        <f>Sheet1!F375</f>
        <v>217</v>
      </c>
      <c r="H375" s="6">
        <f ca="1">IF(ROW($H375)-1&lt;$I$1,$F375,AVERAGE($F375:OFFSET($F375,(($I$1-1)*-1),0)))</f>
        <v>215.10833333333335</v>
      </c>
      <c r="J375" s="6">
        <f ca="1">IF(ROW($J375)-1&lt;$K$1,$F375,AVERAGE($F375:OFFSET($F375,(($K$1-1)*-1),0)))</f>
        <v>203.67678571428573</v>
      </c>
      <c r="L375" s="7">
        <f t="shared" ca="1" si="30"/>
        <v>1</v>
      </c>
      <c r="M375" s="7" t="str">
        <f t="shared" ca="1" si="31"/>
        <v/>
      </c>
      <c r="N375" s="6" t="str">
        <f t="shared" ca="1" si="32"/>
        <v/>
      </c>
      <c r="O375" s="6">
        <f t="shared" si="33"/>
        <v>1</v>
      </c>
      <c r="Q375" s="6">
        <v>13.849999999999994</v>
      </c>
      <c r="R375" s="9">
        <f t="shared" si="34"/>
        <v>5193.7499999999982</v>
      </c>
      <c r="S375" s="7">
        <f t="shared" si="35"/>
        <v>-2643.750000000015</v>
      </c>
    </row>
    <row r="376" spans="1:19" x14ac:dyDescent="0.25">
      <c r="A376" s="4">
        <f>Sheet1!A376</f>
        <v>39630</v>
      </c>
      <c r="B376" s="5">
        <f>Sheet1!B376</f>
        <v>0.58333333333333337</v>
      </c>
      <c r="C376" s="6">
        <f>Sheet1!C376</f>
        <v>217.25</v>
      </c>
      <c r="D376" s="6">
        <f>Sheet1!D376</f>
        <v>219.85</v>
      </c>
      <c r="E376" s="6">
        <f>Sheet1!E376</f>
        <v>216.55</v>
      </c>
      <c r="F376" s="6">
        <f>Sheet1!F376</f>
        <v>218.8</v>
      </c>
      <c r="H376" s="6">
        <f ca="1">IF(ROW($H376)-1&lt;$I$1,$F376,AVERAGE($F376:OFFSET($F376,(($I$1-1)*-1),0)))</f>
        <v>216.46666666666667</v>
      </c>
      <c r="J376" s="6">
        <f ca="1">IF(ROW($J376)-1&lt;$K$1,$F376,AVERAGE($F376:OFFSET($F376,(($K$1-1)*-1),0)))</f>
        <v>204.16964285714286</v>
      </c>
      <c r="L376" s="7">
        <f t="shared" ca="1" si="30"/>
        <v>1</v>
      </c>
      <c r="M376" s="7" t="str">
        <f t="shared" ca="1" si="31"/>
        <v/>
      </c>
      <c r="N376" s="6" t="str">
        <f t="shared" ca="1" si="32"/>
        <v/>
      </c>
      <c r="O376" s="6">
        <f t="shared" si="33"/>
        <v>1.8000000000000114</v>
      </c>
      <c r="Q376" s="6">
        <v>15.650000000000006</v>
      </c>
      <c r="R376" s="9">
        <f t="shared" si="34"/>
        <v>5868.7500000000018</v>
      </c>
      <c r="S376" s="7">
        <f t="shared" si="35"/>
        <v>-2643.750000000015</v>
      </c>
    </row>
    <row r="377" spans="1:19" x14ac:dyDescent="0.25">
      <c r="A377" s="4">
        <f>Sheet1!A377</f>
        <v>39631</v>
      </c>
      <c r="B377" s="5">
        <f>Sheet1!B377</f>
        <v>0.58333333333333337</v>
      </c>
      <c r="C377" s="6">
        <f>Sheet1!C377</f>
        <v>219.2</v>
      </c>
      <c r="D377" s="6">
        <f>Sheet1!D377</f>
        <v>220.25</v>
      </c>
      <c r="E377" s="6">
        <f>Sheet1!E377</f>
        <v>217.35</v>
      </c>
      <c r="F377" s="6">
        <f>Sheet1!F377</f>
        <v>219.9</v>
      </c>
      <c r="H377" s="6">
        <f ca="1">IF(ROW($H377)-1&lt;$I$1,$F377,AVERAGE($F377:OFFSET($F377,(($I$1-1)*-1),0)))</f>
        <v>217.61666666666667</v>
      </c>
      <c r="J377" s="6">
        <f ca="1">IF(ROW($J377)-1&lt;$K$1,$F377,AVERAGE($F377:OFFSET($F377,(($K$1-1)*-1),0)))</f>
        <v>204.95</v>
      </c>
      <c r="L377" s="7">
        <f t="shared" ca="1" si="30"/>
        <v>1</v>
      </c>
      <c r="M377" s="7" t="str">
        <f t="shared" ca="1" si="31"/>
        <v/>
      </c>
      <c r="N377" s="6" t="str">
        <f t="shared" ca="1" si="32"/>
        <v/>
      </c>
      <c r="O377" s="6">
        <f t="shared" si="33"/>
        <v>1.0999999999999943</v>
      </c>
      <c r="Q377" s="6">
        <v>16.75</v>
      </c>
      <c r="R377" s="9">
        <f t="shared" si="34"/>
        <v>6281.25</v>
      </c>
      <c r="S377" s="7">
        <f t="shared" si="35"/>
        <v>-2643.750000000015</v>
      </c>
    </row>
    <row r="378" spans="1:19" x14ac:dyDescent="0.25">
      <c r="A378" s="4">
        <f>Sheet1!A378</f>
        <v>39636</v>
      </c>
      <c r="B378" s="5">
        <f>Sheet1!B378</f>
        <v>0.58333333333333337</v>
      </c>
      <c r="C378" s="6">
        <f>Sheet1!C378</f>
        <v>215.3</v>
      </c>
      <c r="D378" s="6">
        <f>Sheet1!D378</f>
        <v>215.55</v>
      </c>
      <c r="E378" s="6">
        <f>Sheet1!E378</f>
        <v>205.45</v>
      </c>
      <c r="F378" s="6">
        <f>Sheet1!F378</f>
        <v>207.15</v>
      </c>
      <c r="H378" s="6">
        <f ca="1">IF(ROW($H378)-1&lt;$I$1,$F378,AVERAGE($F378:OFFSET($F378,(($I$1-1)*-1),0)))</f>
        <v>216.35000000000002</v>
      </c>
      <c r="J378" s="6">
        <f ca="1">IF(ROW($J378)-1&lt;$K$1,$F378,AVERAGE($F378:OFFSET($F378,(($K$1-1)*-1),0)))</f>
        <v>205.24821428571428</v>
      </c>
      <c r="L378" s="7">
        <f t="shared" ca="1" si="30"/>
        <v>1</v>
      </c>
      <c r="M378" s="7" t="str">
        <f t="shared" ca="1" si="31"/>
        <v/>
      </c>
      <c r="N378" s="6" t="str">
        <f t="shared" ca="1" si="32"/>
        <v/>
      </c>
      <c r="O378" s="6">
        <f t="shared" si="33"/>
        <v>-12.75</v>
      </c>
      <c r="Q378" s="6">
        <v>4</v>
      </c>
      <c r="R378" s="9">
        <f t="shared" si="34"/>
        <v>1500</v>
      </c>
      <c r="S378" s="7">
        <f t="shared" si="35"/>
        <v>-2643.750000000015</v>
      </c>
    </row>
    <row r="379" spans="1:19" x14ac:dyDescent="0.25">
      <c r="A379" s="4">
        <f>Sheet1!A379</f>
        <v>39637</v>
      </c>
      <c r="B379" s="5">
        <f>Sheet1!B379</f>
        <v>0.58333333333333337</v>
      </c>
      <c r="C379" s="6">
        <f>Sheet1!C379</f>
        <v>207.15</v>
      </c>
      <c r="D379" s="6">
        <f>Sheet1!D379</f>
        <v>207.8</v>
      </c>
      <c r="E379" s="6">
        <f>Sheet1!E379</f>
        <v>202.15</v>
      </c>
      <c r="F379" s="6">
        <f>Sheet1!F379</f>
        <v>206</v>
      </c>
      <c r="H379" s="6">
        <f ca="1">IF(ROW($H379)-1&lt;$I$1,$F379,AVERAGE($F379:OFFSET($F379,(($I$1-1)*-1),0)))</f>
        <v>214.14166666666665</v>
      </c>
      <c r="J379" s="6">
        <f ca="1">IF(ROW($J379)-1&lt;$K$1,$F379,AVERAGE($F379:OFFSET($F379,(($K$1-1)*-1),0)))</f>
        <v>205.60892857142855</v>
      </c>
      <c r="L379" s="7">
        <f t="shared" ca="1" si="30"/>
        <v>1</v>
      </c>
      <c r="M379" s="7" t="str">
        <f t="shared" ca="1" si="31"/>
        <v/>
      </c>
      <c r="N379" s="6" t="str">
        <f t="shared" ca="1" si="32"/>
        <v/>
      </c>
      <c r="O379" s="6">
        <f t="shared" si="33"/>
        <v>-1.1500000000000057</v>
      </c>
      <c r="Q379" s="6">
        <v>2.8499999999999943</v>
      </c>
      <c r="R379" s="9">
        <f t="shared" si="34"/>
        <v>1068.749999999998</v>
      </c>
      <c r="S379" s="7">
        <f t="shared" si="35"/>
        <v>-2643.750000000015</v>
      </c>
    </row>
    <row r="380" spans="1:19" x14ac:dyDescent="0.25">
      <c r="A380" s="4">
        <f>Sheet1!A380</f>
        <v>39638</v>
      </c>
      <c r="B380" s="5">
        <f>Sheet1!B380</f>
        <v>0.58333333333333337</v>
      </c>
      <c r="C380" s="6">
        <f>Sheet1!C380</f>
        <v>205.9</v>
      </c>
      <c r="D380" s="6">
        <f>Sheet1!D380</f>
        <v>206.75</v>
      </c>
      <c r="E380" s="6">
        <f>Sheet1!E380</f>
        <v>203.65</v>
      </c>
      <c r="F380" s="6">
        <f>Sheet1!F380</f>
        <v>204.25</v>
      </c>
      <c r="H380" s="6">
        <f ca="1">IF(ROW($H380)-1&lt;$I$1,$F380,AVERAGE($F380:OFFSET($F380,(($I$1-1)*-1),0)))</f>
        <v>212.18333333333331</v>
      </c>
      <c r="J380" s="6">
        <f ca="1">IF(ROW($J380)-1&lt;$K$1,$F380,AVERAGE($F380:OFFSET($F380,(($K$1-1)*-1),0)))</f>
        <v>205.76607142857142</v>
      </c>
      <c r="L380" s="7">
        <f t="shared" ca="1" si="30"/>
        <v>1</v>
      </c>
      <c r="M380" s="7" t="str">
        <f t="shared" ca="1" si="31"/>
        <v/>
      </c>
      <c r="N380" s="6" t="str">
        <f t="shared" ca="1" si="32"/>
        <v/>
      </c>
      <c r="O380" s="6">
        <f t="shared" si="33"/>
        <v>-1.75</v>
      </c>
      <c r="Q380" s="6">
        <v>1.0999999999999943</v>
      </c>
      <c r="R380" s="9">
        <f t="shared" si="34"/>
        <v>412.49999999999784</v>
      </c>
      <c r="S380" s="7">
        <f t="shared" si="35"/>
        <v>-2643.750000000015</v>
      </c>
    </row>
    <row r="381" spans="1:19" x14ac:dyDescent="0.25">
      <c r="A381" s="4">
        <f>Sheet1!A381</f>
        <v>39639</v>
      </c>
      <c r="B381" s="5">
        <f>Sheet1!B381</f>
        <v>0.58333333333333337</v>
      </c>
      <c r="C381" s="6">
        <f>Sheet1!C381</f>
        <v>204.7</v>
      </c>
      <c r="D381" s="6">
        <f>Sheet1!D381</f>
        <v>206.2</v>
      </c>
      <c r="E381" s="6">
        <f>Sheet1!E381</f>
        <v>203.35</v>
      </c>
      <c r="F381" s="6">
        <f>Sheet1!F381</f>
        <v>206.15</v>
      </c>
      <c r="H381" s="6">
        <f ca="1">IF(ROW($H381)-1&lt;$I$1,$F381,AVERAGE($F381:OFFSET($F381,(($I$1-1)*-1),0)))</f>
        <v>210.375</v>
      </c>
      <c r="J381" s="6">
        <f ca="1">IF(ROW($J381)-1&lt;$K$1,$F381,AVERAGE($F381:OFFSET($F381,(($K$1-1)*-1),0)))</f>
        <v>206.09821428571425</v>
      </c>
      <c r="L381" s="7">
        <f t="shared" ca="1" si="30"/>
        <v>1</v>
      </c>
      <c r="M381" s="7" t="str">
        <f t="shared" ca="1" si="31"/>
        <v/>
      </c>
      <c r="N381" s="6" t="str">
        <f t="shared" ca="1" si="32"/>
        <v/>
      </c>
      <c r="O381" s="6">
        <f t="shared" si="33"/>
        <v>1.9000000000000057</v>
      </c>
      <c r="Q381" s="6">
        <v>3</v>
      </c>
      <c r="R381" s="9">
        <f t="shared" si="34"/>
        <v>1125</v>
      </c>
      <c r="S381" s="7">
        <f t="shared" si="35"/>
        <v>-2643.750000000015</v>
      </c>
    </row>
    <row r="382" spans="1:19" x14ac:dyDescent="0.25">
      <c r="A382" s="4">
        <f>Sheet1!A382</f>
        <v>39640</v>
      </c>
      <c r="B382" s="5">
        <f>Sheet1!B382</f>
        <v>0.58333333333333337</v>
      </c>
      <c r="C382" s="6">
        <f>Sheet1!C382</f>
        <v>206.35</v>
      </c>
      <c r="D382" s="6">
        <f>Sheet1!D382</f>
        <v>207.85</v>
      </c>
      <c r="E382" s="6">
        <f>Sheet1!E382</f>
        <v>205.2</v>
      </c>
      <c r="F382" s="6">
        <f>Sheet1!F382</f>
        <v>206.55</v>
      </c>
      <c r="H382" s="6">
        <f ca="1">IF(ROW($H382)-1&lt;$I$1,$F382,AVERAGE($F382:OFFSET($F382,(($I$1-1)*-1),0)))</f>
        <v>208.33333333333334</v>
      </c>
      <c r="J382" s="6">
        <f ca="1">IF(ROW($J382)-1&lt;$K$1,$F382,AVERAGE($F382:OFFSET($F382,(($K$1-1)*-1),0)))</f>
        <v>206.40714285714284</v>
      </c>
      <c r="L382" s="7">
        <f t="shared" ca="1" si="30"/>
        <v>1</v>
      </c>
      <c r="M382" s="7" t="str">
        <f t="shared" ca="1" si="31"/>
        <v/>
      </c>
      <c r="N382" s="6" t="str">
        <f t="shared" ca="1" si="32"/>
        <v/>
      </c>
      <c r="O382" s="6">
        <f t="shared" si="33"/>
        <v>0.40000000000000568</v>
      </c>
      <c r="Q382" s="6">
        <v>3.4000000000000057</v>
      </c>
      <c r="R382" s="9">
        <f t="shared" si="34"/>
        <v>1275.000000000002</v>
      </c>
      <c r="S382" s="7">
        <f t="shared" si="35"/>
        <v>-2643.750000000015</v>
      </c>
    </row>
    <row r="383" spans="1:19" x14ac:dyDescent="0.25">
      <c r="A383" s="4">
        <f>Sheet1!A383</f>
        <v>39643</v>
      </c>
      <c r="B383" s="5">
        <f>Sheet1!B383</f>
        <v>0.58333333333333337</v>
      </c>
      <c r="C383" s="6">
        <f>Sheet1!C383</f>
        <v>206.4</v>
      </c>
      <c r="D383" s="6">
        <f>Sheet1!D383</f>
        <v>207.95</v>
      </c>
      <c r="E383" s="6">
        <f>Sheet1!E383</f>
        <v>204.4</v>
      </c>
      <c r="F383" s="6">
        <f>Sheet1!F383</f>
        <v>206.85</v>
      </c>
      <c r="H383" s="6">
        <f ca="1">IF(ROW($H383)-1&lt;$I$1,$F383,AVERAGE($F383:OFFSET($F383,(($I$1-1)*-1),0)))</f>
        <v>206.1583333333333</v>
      </c>
      <c r="J383" s="6">
        <f ca="1">IF(ROW($J383)-1&lt;$K$1,$F383,AVERAGE($F383:OFFSET($F383,(($K$1-1)*-1),0)))</f>
        <v>206.59285714285713</v>
      </c>
      <c r="L383" s="7">
        <f t="shared" ca="1" si="30"/>
        <v>-1</v>
      </c>
      <c r="M383" s="7">
        <f t="shared" ca="1" si="31"/>
        <v>-1</v>
      </c>
      <c r="N383" s="6" t="str">
        <f t="shared" ca="1" si="32"/>
        <v/>
      </c>
      <c r="O383" s="6">
        <f t="shared" si="33"/>
        <v>0.29999999999998295</v>
      </c>
      <c r="Q383" s="6">
        <v>3.6999999999999886</v>
      </c>
      <c r="R383" s="9">
        <f t="shared" si="34"/>
        <v>1387.4999999999957</v>
      </c>
      <c r="S383" s="7">
        <f t="shared" si="35"/>
        <v>-2643.750000000015</v>
      </c>
    </row>
    <row r="384" spans="1:19" x14ac:dyDescent="0.25">
      <c r="A384" s="4">
        <f>Sheet1!A384</f>
        <v>39644</v>
      </c>
      <c r="B384" s="5">
        <f>Sheet1!B384</f>
        <v>0.58333333333333337</v>
      </c>
      <c r="C384" s="6">
        <f>Sheet1!C384</f>
        <v>206.85</v>
      </c>
      <c r="D384" s="6">
        <f>Sheet1!D384</f>
        <v>208.75</v>
      </c>
      <c r="E384" s="6">
        <f>Sheet1!E384</f>
        <v>203.55</v>
      </c>
      <c r="F384" s="6">
        <f>Sheet1!F384</f>
        <v>204.55</v>
      </c>
      <c r="H384" s="6">
        <f ca="1">IF(ROW($H384)-1&lt;$I$1,$F384,AVERAGE($F384:OFFSET($F384,(($I$1-1)*-1),0)))</f>
        <v>205.72499999999999</v>
      </c>
      <c r="J384" s="6">
        <f ca="1">IF(ROW($J384)-1&lt;$K$1,$F384,AVERAGE($F384:OFFSET($F384,(($K$1-1)*-1),0)))</f>
        <v>206.8678571428571</v>
      </c>
      <c r="L384" s="7">
        <f t="shared" ca="1" si="30"/>
        <v>-1</v>
      </c>
      <c r="M384" s="7" t="str">
        <f t="shared" ca="1" si="31"/>
        <v/>
      </c>
      <c r="N384" s="6">
        <f t="shared" ca="1" si="32"/>
        <v>206.85</v>
      </c>
      <c r="O384" s="6">
        <f t="shared" si="33"/>
        <v>-2.2999999999999829</v>
      </c>
      <c r="P384" s="6">
        <v>3.6999999999999886</v>
      </c>
      <c r="Q384" s="6">
        <v>2.2999999999999829</v>
      </c>
      <c r="R384" s="9">
        <f t="shared" si="34"/>
        <v>862.49999999999363</v>
      </c>
      <c r="S384" s="7">
        <f t="shared" si="35"/>
        <v>-1256.2500000000193</v>
      </c>
    </row>
    <row r="385" spans="1:19" x14ac:dyDescent="0.25">
      <c r="A385" s="4">
        <f>Sheet1!A385</f>
        <v>39645</v>
      </c>
      <c r="B385" s="5">
        <f>Sheet1!B385</f>
        <v>0.58333333333333337</v>
      </c>
      <c r="C385" s="6">
        <f>Sheet1!C385</f>
        <v>204.95</v>
      </c>
      <c r="D385" s="6">
        <f>Sheet1!D385</f>
        <v>205.95</v>
      </c>
      <c r="E385" s="6">
        <f>Sheet1!E385</f>
        <v>202.85</v>
      </c>
      <c r="F385" s="6">
        <f>Sheet1!F385</f>
        <v>204.55</v>
      </c>
      <c r="H385" s="6">
        <f ca="1">IF(ROW($H385)-1&lt;$I$1,$F385,AVERAGE($F385:OFFSET($F385,(($I$1-1)*-1),0)))</f>
        <v>205.48333333333335</v>
      </c>
      <c r="J385" s="6">
        <f ca="1">IF(ROW($J385)-1&lt;$K$1,$F385,AVERAGE($F385:OFFSET($F385,(($K$1-1)*-1),0)))</f>
        <v>207.14107142857145</v>
      </c>
      <c r="L385" s="7">
        <f t="shared" ca="1" si="30"/>
        <v>-1</v>
      </c>
      <c r="M385" s="7" t="str">
        <f t="shared" ca="1" si="31"/>
        <v/>
      </c>
      <c r="N385" s="6" t="str">
        <f t="shared" ca="1" si="32"/>
        <v/>
      </c>
      <c r="O385" s="6">
        <f t="shared" si="33"/>
        <v>0</v>
      </c>
      <c r="Q385" s="6">
        <v>2.2999999999999829</v>
      </c>
      <c r="R385" s="9">
        <f t="shared" si="34"/>
        <v>862.49999999999363</v>
      </c>
      <c r="S385" s="7">
        <f t="shared" si="35"/>
        <v>-1256.2500000000193</v>
      </c>
    </row>
    <row r="386" spans="1:19" x14ac:dyDescent="0.25">
      <c r="A386" s="4">
        <f>Sheet1!A386</f>
        <v>39646</v>
      </c>
      <c r="B386" s="5">
        <f>Sheet1!B386</f>
        <v>0.58333333333333337</v>
      </c>
      <c r="C386" s="6">
        <f>Sheet1!C386</f>
        <v>205.15</v>
      </c>
      <c r="D386" s="6">
        <f>Sheet1!D386</f>
        <v>207.4</v>
      </c>
      <c r="E386" s="6">
        <f>Sheet1!E386</f>
        <v>200.85</v>
      </c>
      <c r="F386" s="6">
        <f>Sheet1!F386</f>
        <v>201.1</v>
      </c>
      <c r="H386" s="6">
        <f ca="1">IF(ROW($H386)-1&lt;$I$1,$F386,AVERAGE($F386:OFFSET($F386,(($I$1-1)*-1),0)))</f>
        <v>204.95833333333334</v>
      </c>
      <c r="J386" s="6">
        <f ca="1">IF(ROW($J386)-1&lt;$K$1,$F386,AVERAGE($F386:OFFSET($F386,(($K$1-1)*-1),0)))</f>
        <v>207.18035714285722</v>
      </c>
      <c r="L386" s="7">
        <f t="shared" ca="1" si="30"/>
        <v>-1</v>
      </c>
      <c r="M386" s="7" t="str">
        <f t="shared" ca="1" si="31"/>
        <v/>
      </c>
      <c r="N386" s="6" t="str">
        <f t="shared" ca="1" si="32"/>
        <v/>
      </c>
      <c r="O386" s="6">
        <f t="shared" si="33"/>
        <v>-3.4500000000000171</v>
      </c>
      <c r="Q386" s="6">
        <v>5.75</v>
      </c>
      <c r="R386" s="9">
        <f t="shared" si="34"/>
        <v>2156.25</v>
      </c>
      <c r="S386" s="7">
        <f t="shared" si="35"/>
        <v>-1256.2500000000193</v>
      </c>
    </row>
    <row r="387" spans="1:19" x14ac:dyDescent="0.25">
      <c r="A387" s="4">
        <f>Sheet1!A387</f>
        <v>39647</v>
      </c>
      <c r="B387" s="5">
        <f>Sheet1!B387</f>
        <v>0.58333333333333337</v>
      </c>
      <c r="C387" s="6">
        <f>Sheet1!C387</f>
        <v>201.3</v>
      </c>
      <c r="D387" s="6">
        <f>Sheet1!D387</f>
        <v>202.8</v>
      </c>
      <c r="E387" s="6">
        <f>Sheet1!E387</f>
        <v>200.65</v>
      </c>
      <c r="F387" s="6">
        <f>Sheet1!F387</f>
        <v>201.85</v>
      </c>
      <c r="H387" s="6">
        <f ca="1">IF(ROW($H387)-1&lt;$I$1,$F387,AVERAGE($F387:OFFSET($F387,(($I$1-1)*-1),0)))</f>
        <v>204.24166666666667</v>
      </c>
      <c r="J387" s="6">
        <f ca="1">IF(ROW($J387)-1&lt;$K$1,$F387,AVERAGE($F387:OFFSET($F387,(($K$1-1)*-1),0)))</f>
        <v>207.25357142857146</v>
      </c>
      <c r="L387" s="7">
        <f t="shared" ref="L387:L450" ca="1" si="36">IF(ROW($L387)&gt;($K$1),IF($H387&gt;$J387,1,IF($H387&lt;$J387,-1,$L386*-1)),0)</f>
        <v>-1</v>
      </c>
      <c r="M387" s="7" t="str">
        <f t="shared" ca="1" si="31"/>
        <v/>
      </c>
      <c r="N387" s="6" t="str">
        <f t="shared" ca="1" si="32"/>
        <v/>
      </c>
      <c r="O387" s="6">
        <f t="shared" si="33"/>
        <v>0.75</v>
      </c>
      <c r="Q387" s="6">
        <v>5</v>
      </c>
      <c r="R387" s="9">
        <f t="shared" si="34"/>
        <v>1875</v>
      </c>
      <c r="S387" s="7">
        <f t="shared" si="35"/>
        <v>-1256.2500000000193</v>
      </c>
    </row>
    <row r="388" spans="1:19" x14ac:dyDescent="0.25">
      <c r="A388" s="4">
        <f>Sheet1!A388</f>
        <v>39650</v>
      </c>
      <c r="B388" s="5">
        <f>Sheet1!B388</f>
        <v>0.58333333333333337</v>
      </c>
      <c r="C388" s="6">
        <f>Sheet1!C388</f>
        <v>201.8</v>
      </c>
      <c r="D388" s="6">
        <f>Sheet1!D388</f>
        <v>202.2</v>
      </c>
      <c r="E388" s="6">
        <f>Sheet1!E388</f>
        <v>200.65</v>
      </c>
      <c r="F388" s="6">
        <f>Sheet1!F388</f>
        <v>201.9</v>
      </c>
      <c r="H388" s="6">
        <f ca="1">IF(ROW($H388)-1&lt;$I$1,$F388,AVERAGE($F388:OFFSET($F388,(($I$1-1)*-1),0)))</f>
        <v>203.4666666666667</v>
      </c>
      <c r="J388" s="6">
        <f ca="1">IF(ROW($J388)-1&lt;$K$1,$F388,AVERAGE($F388:OFFSET($F388,(($K$1-1)*-1),0)))</f>
        <v>207.49642857142862</v>
      </c>
      <c r="L388" s="7">
        <f t="shared" ca="1" si="36"/>
        <v>-1</v>
      </c>
      <c r="M388" s="7" t="str">
        <f t="shared" ref="M388:M451" ca="1" si="37">IF(L388&lt;&gt;L387,L388,"")</f>
        <v/>
      </c>
      <c r="N388" s="6" t="str">
        <f t="shared" ref="N388:N451" ca="1" si="38">IF(M387&lt;&gt;"",C388,"")</f>
        <v/>
      </c>
      <c r="O388" s="6">
        <f t="shared" ref="O388:O451" si="39">F388-F387</f>
        <v>5.0000000000011369E-2</v>
      </c>
      <c r="Q388" s="6">
        <v>4.9499999999999886</v>
      </c>
      <c r="R388" s="9">
        <f t="shared" ref="R388:R451" si="40">IF(Q388="","",Q388*375)</f>
        <v>1856.2499999999957</v>
      </c>
      <c r="S388" s="7">
        <f t="shared" si="35"/>
        <v>-1256.2500000000193</v>
      </c>
    </row>
    <row r="389" spans="1:19" x14ac:dyDescent="0.25">
      <c r="A389" s="4">
        <f>Sheet1!A389</f>
        <v>39651</v>
      </c>
      <c r="B389" s="5">
        <f>Sheet1!B389</f>
        <v>0.58333333333333337</v>
      </c>
      <c r="C389" s="6">
        <f>Sheet1!C389</f>
        <v>201.85</v>
      </c>
      <c r="D389" s="6">
        <f>Sheet1!D389</f>
        <v>202.6</v>
      </c>
      <c r="E389" s="6">
        <f>Sheet1!E389</f>
        <v>200.7</v>
      </c>
      <c r="F389" s="6">
        <f>Sheet1!F389</f>
        <v>201.25</v>
      </c>
      <c r="H389" s="6">
        <f ca="1">IF(ROW($H389)-1&lt;$I$1,$F389,AVERAGE($F389:OFFSET($F389,(($I$1-1)*-1),0)))</f>
        <v>202.53333333333333</v>
      </c>
      <c r="J389" s="6">
        <f ca="1">IF(ROW($J389)-1&lt;$K$1,$F389,AVERAGE($F389:OFFSET($F389,(($K$1-1)*-1),0)))</f>
        <v>207.56607142857146</v>
      </c>
      <c r="L389" s="7">
        <f t="shared" ca="1" si="36"/>
        <v>-1</v>
      </c>
      <c r="M389" s="7" t="str">
        <f t="shared" ca="1" si="37"/>
        <v/>
      </c>
      <c r="N389" s="6" t="str">
        <f t="shared" ca="1" si="38"/>
        <v/>
      </c>
      <c r="O389" s="6">
        <f t="shared" si="39"/>
        <v>-0.65000000000000568</v>
      </c>
      <c r="Q389" s="6">
        <v>5.5999999999999943</v>
      </c>
      <c r="R389" s="9">
        <f t="shared" si="40"/>
        <v>2099.9999999999977</v>
      </c>
      <c r="S389" s="7">
        <f t="shared" si="35"/>
        <v>-1256.2500000000193</v>
      </c>
    </row>
    <row r="390" spans="1:19" x14ac:dyDescent="0.25">
      <c r="A390" s="4">
        <f>Sheet1!A390</f>
        <v>39652</v>
      </c>
      <c r="B390" s="5">
        <f>Sheet1!B390</f>
        <v>0.58333333333333337</v>
      </c>
      <c r="C390" s="6">
        <f>Sheet1!C390</f>
        <v>201.45</v>
      </c>
      <c r="D390" s="6">
        <f>Sheet1!D390</f>
        <v>201.55</v>
      </c>
      <c r="E390" s="6">
        <f>Sheet1!E390</f>
        <v>198.95</v>
      </c>
      <c r="F390" s="6">
        <f>Sheet1!F390</f>
        <v>199.15</v>
      </c>
      <c r="H390" s="6">
        <f ca="1">IF(ROW($H390)-1&lt;$I$1,$F390,AVERAGE($F390:OFFSET($F390,(($I$1-1)*-1),0)))</f>
        <v>201.63333333333333</v>
      </c>
      <c r="J390" s="6">
        <f ca="1">IF(ROW($J390)-1&lt;$K$1,$F390,AVERAGE($F390:OFFSET($F390,(($K$1-1)*-1),0)))</f>
        <v>207.53214285714287</v>
      </c>
      <c r="L390" s="7">
        <f t="shared" ca="1" si="36"/>
        <v>-1</v>
      </c>
      <c r="M390" s="7" t="str">
        <f t="shared" ca="1" si="37"/>
        <v/>
      </c>
      <c r="N390" s="6" t="str">
        <f t="shared" ca="1" si="38"/>
        <v/>
      </c>
      <c r="O390" s="6">
        <f t="shared" si="39"/>
        <v>-2.0999999999999943</v>
      </c>
      <c r="Q390" s="6">
        <v>7.6999999999999886</v>
      </c>
      <c r="R390" s="9">
        <f t="shared" si="40"/>
        <v>2887.4999999999959</v>
      </c>
      <c r="S390" s="7">
        <f t="shared" si="35"/>
        <v>-1256.2500000000193</v>
      </c>
    </row>
    <row r="391" spans="1:19" x14ac:dyDescent="0.25">
      <c r="A391" s="4">
        <f>Sheet1!A391</f>
        <v>39653</v>
      </c>
      <c r="B391" s="5">
        <f>Sheet1!B391</f>
        <v>0.58333333333333337</v>
      </c>
      <c r="C391" s="6">
        <f>Sheet1!C391</f>
        <v>199.25</v>
      </c>
      <c r="D391" s="6">
        <f>Sheet1!D391</f>
        <v>199.8</v>
      </c>
      <c r="E391" s="6">
        <f>Sheet1!E391</f>
        <v>198</v>
      </c>
      <c r="F391" s="6">
        <f>Sheet1!F391</f>
        <v>199.25</v>
      </c>
      <c r="H391" s="6">
        <f ca="1">IF(ROW($H391)-1&lt;$I$1,$F391,AVERAGE($F391:OFFSET($F391,(($I$1-1)*-1),0)))</f>
        <v>200.75</v>
      </c>
      <c r="J391" s="6">
        <f ca="1">IF(ROW($J391)-1&lt;$K$1,$F391,AVERAGE($F391:OFFSET($F391,(($K$1-1)*-1),0)))</f>
        <v>207.46607142857147</v>
      </c>
      <c r="L391" s="7">
        <f t="shared" ca="1" si="36"/>
        <v>-1</v>
      </c>
      <c r="M391" s="7" t="str">
        <f t="shared" ca="1" si="37"/>
        <v/>
      </c>
      <c r="N391" s="6" t="str">
        <f t="shared" ca="1" si="38"/>
        <v/>
      </c>
      <c r="O391" s="6">
        <f t="shared" si="39"/>
        <v>9.9999999999994316E-2</v>
      </c>
      <c r="Q391" s="6">
        <v>7.5999999999999943</v>
      </c>
      <c r="R391" s="9">
        <f t="shared" si="40"/>
        <v>2849.9999999999977</v>
      </c>
      <c r="S391" s="7">
        <f t="shared" si="35"/>
        <v>-1256.2500000000193</v>
      </c>
    </row>
    <row r="392" spans="1:19" x14ac:dyDescent="0.25">
      <c r="A392" s="4">
        <f>Sheet1!A392</f>
        <v>39654</v>
      </c>
      <c r="B392" s="5">
        <f>Sheet1!B392</f>
        <v>0.58333333333333337</v>
      </c>
      <c r="C392" s="6">
        <f>Sheet1!C392</f>
        <v>199.3</v>
      </c>
      <c r="D392" s="6">
        <f>Sheet1!D392</f>
        <v>202.05</v>
      </c>
      <c r="E392" s="6">
        <f>Sheet1!E392</f>
        <v>198.4</v>
      </c>
      <c r="F392" s="6">
        <f>Sheet1!F392</f>
        <v>201.35</v>
      </c>
      <c r="H392" s="6">
        <f ca="1">IF(ROW($H392)-1&lt;$I$1,$F392,AVERAGE($F392:OFFSET($F392,(($I$1-1)*-1),0)))</f>
        <v>200.79166666666666</v>
      </c>
      <c r="J392" s="6">
        <f ca="1">IF(ROW($J392)-1&lt;$K$1,$F392,AVERAGE($F392:OFFSET($F392,(($K$1-1)*-1),0)))</f>
        <v>207.47321428571431</v>
      </c>
      <c r="L392" s="7">
        <f t="shared" ca="1" si="36"/>
        <v>-1</v>
      </c>
      <c r="M392" s="7" t="str">
        <f t="shared" ca="1" si="37"/>
        <v/>
      </c>
      <c r="N392" s="6" t="str">
        <f t="shared" ca="1" si="38"/>
        <v/>
      </c>
      <c r="O392" s="6">
        <f t="shared" si="39"/>
        <v>2.0999999999999943</v>
      </c>
      <c r="Q392" s="6">
        <v>5.5</v>
      </c>
      <c r="R392" s="9">
        <f t="shared" si="40"/>
        <v>2062.5</v>
      </c>
      <c r="S392" s="7">
        <f t="shared" si="35"/>
        <v>-1256.2500000000193</v>
      </c>
    </row>
    <row r="393" spans="1:19" x14ac:dyDescent="0.25">
      <c r="A393" s="4">
        <f>Sheet1!A393</f>
        <v>39657</v>
      </c>
      <c r="B393" s="5">
        <f>Sheet1!B393</f>
        <v>0.58333333333333337</v>
      </c>
      <c r="C393" s="6">
        <f>Sheet1!C393</f>
        <v>201.35</v>
      </c>
      <c r="D393" s="6">
        <f>Sheet1!D393</f>
        <v>201.6</v>
      </c>
      <c r="E393" s="6">
        <f>Sheet1!E393</f>
        <v>198.8</v>
      </c>
      <c r="F393" s="6">
        <f>Sheet1!F393</f>
        <v>199.5</v>
      </c>
      <c r="H393" s="6">
        <f ca="1">IF(ROW($H393)-1&lt;$I$1,$F393,AVERAGE($F393:OFFSET($F393,(($I$1-1)*-1),0)))</f>
        <v>200.4</v>
      </c>
      <c r="J393" s="6">
        <f ca="1">IF(ROW($J393)-1&lt;$K$1,$F393,AVERAGE($F393:OFFSET($F393,(($K$1-1)*-1),0)))</f>
        <v>207.34285714285718</v>
      </c>
      <c r="L393" s="7">
        <f t="shared" ca="1" si="36"/>
        <v>-1</v>
      </c>
      <c r="M393" s="7" t="str">
        <f t="shared" ca="1" si="37"/>
        <v/>
      </c>
      <c r="N393" s="6" t="str">
        <f t="shared" ca="1" si="38"/>
        <v/>
      </c>
      <c r="O393" s="6">
        <f t="shared" si="39"/>
        <v>-1.8499999999999943</v>
      </c>
      <c r="Q393" s="6">
        <v>7.3499999999999943</v>
      </c>
      <c r="R393" s="9">
        <f t="shared" si="40"/>
        <v>2756.2499999999977</v>
      </c>
      <c r="S393" s="7">
        <f t="shared" si="35"/>
        <v>-1256.2500000000193</v>
      </c>
    </row>
    <row r="394" spans="1:19" x14ac:dyDescent="0.25">
      <c r="A394" s="4">
        <f>Sheet1!A394</f>
        <v>39658</v>
      </c>
      <c r="B394" s="5">
        <f>Sheet1!B394</f>
        <v>0.58333333333333337</v>
      </c>
      <c r="C394" s="6">
        <f>Sheet1!C394</f>
        <v>199.55</v>
      </c>
      <c r="D394" s="6">
        <f>Sheet1!D394</f>
        <v>201.5</v>
      </c>
      <c r="E394" s="6">
        <f>Sheet1!E394</f>
        <v>199.05</v>
      </c>
      <c r="F394" s="6">
        <f>Sheet1!F394</f>
        <v>201.25</v>
      </c>
      <c r="H394" s="6">
        <f ca="1">IF(ROW($H394)-1&lt;$I$1,$F394,AVERAGE($F394:OFFSET($F394,(($I$1-1)*-1),0)))</f>
        <v>200.29166666666666</v>
      </c>
      <c r="J394" s="6">
        <f ca="1">IF(ROW($J394)-1&lt;$K$1,$F394,AVERAGE($F394:OFFSET($F394,(($K$1-1)*-1),0)))</f>
        <v>207.1946428571429</v>
      </c>
      <c r="L394" s="7">
        <f t="shared" ca="1" si="36"/>
        <v>-1</v>
      </c>
      <c r="M394" s="7" t="str">
        <f t="shared" ca="1" si="37"/>
        <v/>
      </c>
      <c r="N394" s="6" t="str">
        <f t="shared" ca="1" si="38"/>
        <v/>
      </c>
      <c r="O394" s="6">
        <f t="shared" si="39"/>
        <v>1.75</v>
      </c>
      <c r="Q394" s="6">
        <v>5.5999999999999943</v>
      </c>
      <c r="R394" s="9">
        <f t="shared" si="40"/>
        <v>2099.9999999999977</v>
      </c>
      <c r="S394" s="7">
        <f t="shared" si="35"/>
        <v>-1256.2500000000193</v>
      </c>
    </row>
    <row r="395" spans="1:19" x14ac:dyDescent="0.25">
      <c r="A395" s="4">
        <f>Sheet1!A395</f>
        <v>39659</v>
      </c>
      <c r="B395" s="5">
        <f>Sheet1!B395</f>
        <v>0.58333333333333337</v>
      </c>
      <c r="C395" s="6">
        <f>Sheet1!C395</f>
        <v>201.25</v>
      </c>
      <c r="D395" s="6">
        <f>Sheet1!D395</f>
        <v>202.45</v>
      </c>
      <c r="E395" s="6">
        <f>Sheet1!E395</f>
        <v>200.5</v>
      </c>
      <c r="F395" s="6">
        <f>Sheet1!F395</f>
        <v>201.8</v>
      </c>
      <c r="H395" s="6">
        <f ca="1">IF(ROW($H395)-1&lt;$I$1,$F395,AVERAGE($F395:OFFSET($F395,(($I$1-1)*-1),0)))</f>
        <v>200.38333333333333</v>
      </c>
      <c r="J395" s="6">
        <f ca="1">IF(ROW($J395)-1&lt;$K$1,$F395,AVERAGE($F395:OFFSET($F395,(($K$1-1)*-1),0)))</f>
        <v>207.11071428571429</v>
      </c>
      <c r="L395" s="7">
        <f t="shared" ca="1" si="36"/>
        <v>-1</v>
      </c>
      <c r="M395" s="7" t="str">
        <f t="shared" ca="1" si="37"/>
        <v/>
      </c>
      <c r="N395" s="6" t="str">
        <f t="shared" ca="1" si="38"/>
        <v/>
      </c>
      <c r="O395" s="6">
        <f t="shared" si="39"/>
        <v>0.55000000000001137</v>
      </c>
      <c r="Q395" s="6">
        <v>5.0499999999999829</v>
      </c>
      <c r="R395" s="9">
        <f t="shared" si="40"/>
        <v>1893.7499999999936</v>
      </c>
      <c r="S395" s="7">
        <f t="shared" si="35"/>
        <v>-1256.2500000000193</v>
      </c>
    </row>
    <row r="396" spans="1:19" x14ac:dyDescent="0.25">
      <c r="A396" s="4">
        <f>Sheet1!A396</f>
        <v>39660</v>
      </c>
      <c r="B396" s="5">
        <f>Sheet1!B396</f>
        <v>0.58333333333333337</v>
      </c>
      <c r="C396" s="6">
        <f>Sheet1!C396</f>
        <v>201.6</v>
      </c>
      <c r="D396" s="6">
        <f>Sheet1!D396</f>
        <v>203.65</v>
      </c>
      <c r="E396" s="6">
        <f>Sheet1!E396</f>
        <v>201.05</v>
      </c>
      <c r="F396" s="6">
        <f>Sheet1!F396</f>
        <v>203.55</v>
      </c>
      <c r="H396" s="6">
        <f ca="1">IF(ROW($H396)-1&lt;$I$1,$F396,AVERAGE($F396:OFFSET($F396,(($I$1-1)*-1),0)))</f>
        <v>201.11666666666667</v>
      </c>
      <c r="J396" s="6">
        <f ca="1">IF(ROW($J396)-1&lt;$K$1,$F396,AVERAGE($F396:OFFSET($F396,(($K$1-1)*-1),0)))</f>
        <v>207.08750000000003</v>
      </c>
      <c r="L396" s="7">
        <f t="shared" ca="1" si="36"/>
        <v>-1</v>
      </c>
      <c r="M396" s="7" t="str">
        <f t="shared" ca="1" si="37"/>
        <v/>
      </c>
      <c r="N396" s="6" t="str">
        <f t="shared" ca="1" si="38"/>
        <v/>
      </c>
      <c r="O396" s="6">
        <f t="shared" si="39"/>
        <v>1.75</v>
      </c>
      <c r="Q396" s="6">
        <v>3.2999999999999829</v>
      </c>
      <c r="R396" s="9">
        <f t="shared" si="40"/>
        <v>1237.4999999999936</v>
      </c>
      <c r="S396" s="7">
        <f t="shared" si="35"/>
        <v>-1256.2500000000193</v>
      </c>
    </row>
    <row r="397" spans="1:19" x14ac:dyDescent="0.25">
      <c r="A397" s="4">
        <f>Sheet1!A397</f>
        <v>39661</v>
      </c>
      <c r="B397" s="5">
        <f>Sheet1!B397</f>
        <v>0.58333333333333337</v>
      </c>
      <c r="C397" s="6">
        <f>Sheet1!C397</f>
        <v>203.55</v>
      </c>
      <c r="D397" s="6">
        <f>Sheet1!D397</f>
        <v>204.8</v>
      </c>
      <c r="E397" s="6">
        <f>Sheet1!E397</f>
        <v>201.7</v>
      </c>
      <c r="F397" s="6">
        <f>Sheet1!F397</f>
        <v>204.2</v>
      </c>
      <c r="H397" s="6">
        <f ca="1">IF(ROW($H397)-1&lt;$I$1,$F397,AVERAGE($F397:OFFSET($F397,(($I$1-1)*-1),0)))</f>
        <v>201.94166666666669</v>
      </c>
      <c r="J397" s="6">
        <f ca="1">IF(ROW($J397)-1&lt;$K$1,$F397,AVERAGE($F397:OFFSET($F397,(($K$1-1)*-1),0)))</f>
        <v>206.84107142857144</v>
      </c>
      <c r="L397" s="7">
        <f t="shared" ca="1" si="36"/>
        <v>-1</v>
      </c>
      <c r="M397" s="7" t="str">
        <f t="shared" ca="1" si="37"/>
        <v/>
      </c>
      <c r="N397" s="6" t="str">
        <f t="shared" ca="1" si="38"/>
        <v/>
      </c>
      <c r="O397" s="6">
        <f t="shared" si="39"/>
        <v>0.64999999999997726</v>
      </c>
      <c r="Q397" s="6">
        <v>2.6500000000000057</v>
      </c>
      <c r="R397" s="9">
        <f t="shared" si="40"/>
        <v>993.75000000000216</v>
      </c>
      <c r="S397" s="7">
        <f t="shared" si="35"/>
        <v>-1256.2500000000193</v>
      </c>
    </row>
    <row r="398" spans="1:19" x14ac:dyDescent="0.25">
      <c r="A398" s="4">
        <f>Sheet1!A398</f>
        <v>39664</v>
      </c>
      <c r="B398" s="5">
        <f>Sheet1!B398</f>
        <v>0.58333333333333337</v>
      </c>
      <c r="C398" s="6">
        <f>Sheet1!C398</f>
        <v>203.85</v>
      </c>
      <c r="D398" s="6">
        <f>Sheet1!D398</f>
        <v>204.3</v>
      </c>
      <c r="E398" s="6">
        <f>Sheet1!E398</f>
        <v>198.85</v>
      </c>
      <c r="F398" s="6">
        <f>Sheet1!F398</f>
        <v>200.9</v>
      </c>
      <c r="H398" s="6">
        <f ca="1">IF(ROW($H398)-1&lt;$I$1,$F398,AVERAGE($F398:OFFSET($F398,(($I$1-1)*-1),0)))</f>
        <v>201.86666666666667</v>
      </c>
      <c r="J398" s="6">
        <f ca="1">IF(ROW($J398)-1&lt;$K$1,$F398,AVERAGE($F398:OFFSET($F398,(($K$1-1)*-1),0)))</f>
        <v>206.49285714285719</v>
      </c>
      <c r="L398" s="7">
        <f t="shared" ca="1" si="36"/>
        <v>-1</v>
      </c>
      <c r="M398" s="7" t="str">
        <f t="shared" ca="1" si="37"/>
        <v/>
      </c>
      <c r="N398" s="6" t="str">
        <f t="shared" ca="1" si="38"/>
        <v/>
      </c>
      <c r="O398" s="6">
        <f t="shared" si="39"/>
        <v>-3.2999999999999829</v>
      </c>
      <c r="Q398" s="6">
        <v>5.9499999999999886</v>
      </c>
      <c r="R398" s="9">
        <f t="shared" si="40"/>
        <v>2231.2499999999959</v>
      </c>
      <c r="S398" s="7">
        <f t="shared" si="35"/>
        <v>-1256.2500000000193</v>
      </c>
    </row>
    <row r="399" spans="1:19" x14ac:dyDescent="0.25">
      <c r="A399" s="4">
        <f>Sheet1!A399</f>
        <v>39665</v>
      </c>
      <c r="B399" s="5">
        <f>Sheet1!B399</f>
        <v>0.58333333333333337</v>
      </c>
      <c r="C399" s="6">
        <f>Sheet1!C399</f>
        <v>200.55</v>
      </c>
      <c r="D399" s="6">
        <f>Sheet1!D399</f>
        <v>206.3</v>
      </c>
      <c r="E399" s="6">
        <f>Sheet1!E399</f>
        <v>199.15</v>
      </c>
      <c r="F399" s="6">
        <f>Sheet1!F399</f>
        <v>204.25</v>
      </c>
      <c r="H399" s="6">
        <f ca="1">IF(ROW($H399)-1&lt;$I$1,$F399,AVERAGE($F399:OFFSET($F399,(($I$1-1)*-1),0)))</f>
        <v>202.6583333333333</v>
      </c>
      <c r="J399" s="6">
        <f ca="1">IF(ROW($J399)-1&lt;$K$1,$F399,AVERAGE($F399:OFFSET($F399,(($K$1-1)*-1),0)))</f>
        <v>206.18035714285716</v>
      </c>
      <c r="L399" s="7">
        <f t="shared" ca="1" si="36"/>
        <v>-1</v>
      </c>
      <c r="M399" s="7" t="str">
        <f t="shared" ca="1" si="37"/>
        <v/>
      </c>
      <c r="N399" s="6" t="str">
        <f t="shared" ca="1" si="38"/>
        <v/>
      </c>
      <c r="O399" s="6">
        <f t="shared" si="39"/>
        <v>3.3499999999999943</v>
      </c>
      <c r="Q399" s="6">
        <v>2.5999999999999943</v>
      </c>
      <c r="R399" s="9">
        <f t="shared" si="40"/>
        <v>974.99999999999784</v>
      </c>
      <c r="S399" s="7">
        <f t="shared" si="35"/>
        <v>-1256.2500000000193</v>
      </c>
    </row>
    <row r="400" spans="1:19" x14ac:dyDescent="0.25">
      <c r="A400" s="4">
        <f>Sheet1!A400</f>
        <v>39666</v>
      </c>
      <c r="B400" s="5">
        <f>Sheet1!B400</f>
        <v>0.58333333333333337</v>
      </c>
      <c r="C400" s="6">
        <f>Sheet1!C400</f>
        <v>204.25</v>
      </c>
      <c r="D400" s="6">
        <f>Sheet1!D400</f>
        <v>205</v>
      </c>
      <c r="E400" s="6">
        <f>Sheet1!E400</f>
        <v>201.25</v>
      </c>
      <c r="F400" s="6">
        <f>Sheet1!F400</f>
        <v>201.95</v>
      </c>
      <c r="H400" s="6">
        <f ca="1">IF(ROW($H400)-1&lt;$I$1,$F400,AVERAGE($F400:OFFSET($F400,(($I$1-1)*-1),0)))</f>
        <v>202.77499999999998</v>
      </c>
      <c r="J400" s="6">
        <f ca="1">IF(ROW($J400)-1&lt;$K$1,$F400,AVERAGE($F400:OFFSET($F400,(($K$1-1)*-1),0)))</f>
        <v>205.72321428571428</v>
      </c>
      <c r="L400" s="7">
        <f t="shared" ca="1" si="36"/>
        <v>-1</v>
      </c>
      <c r="M400" s="7" t="str">
        <f t="shared" ca="1" si="37"/>
        <v/>
      </c>
      <c r="N400" s="6" t="str">
        <f t="shared" ca="1" si="38"/>
        <v/>
      </c>
      <c r="O400" s="6">
        <f t="shared" si="39"/>
        <v>-2.3000000000000114</v>
      </c>
      <c r="Q400" s="6">
        <v>4.9000000000000057</v>
      </c>
      <c r="R400" s="9">
        <f t="shared" si="40"/>
        <v>1837.500000000002</v>
      </c>
      <c r="S400" s="7">
        <f t="shared" ref="S400:S463" si="41">S399+(P400*375)</f>
        <v>-1256.2500000000193</v>
      </c>
    </row>
    <row r="401" spans="1:19" x14ac:dyDescent="0.25">
      <c r="A401" s="4">
        <f>Sheet1!A401</f>
        <v>39667</v>
      </c>
      <c r="B401" s="5">
        <f>Sheet1!B401</f>
        <v>0.58333333333333337</v>
      </c>
      <c r="C401" s="6">
        <f>Sheet1!C401</f>
        <v>202.1</v>
      </c>
      <c r="D401" s="6">
        <f>Sheet1!D401</f>
        <v>205.85</v>
      </c>
      <c r="E401" s="6">
        <f>Sheet1!E401</f>
        <v>201.85</v>
      </c>
      <c r="F401" s="6">
        <f>Sheet1!F401</f>
        <v>204.5</v>
      </c>
      <c r="H401" s="6">
        <f ca="1">IF(ROW($H401)-1&lt;$I$1,$F401,AVERAGE($F401:OFFSET($F401,(($I$1-1)*-1),0)))</f>
        <v>203.22499999999999</v>
      </c>
      <c r="J401" s="6">
        <f ca="1">IF(ROW($J401)-1&lt;$K$1,$F401,AVERAGE($F401:OFFSET($F401,(($K$1-1)*-1),0)))</f>
        <v>205.19642857142858</v>
      </c>
      <c r="L401" s="7">
        <f t="shared" ca="1" si="36"/>
        <v>-1</v>
      </c>
      <c r="M401" s="7" t="str">
        <f t="shared" ca="1" si="37"/>
        <v/>
      </c>
      <c r="N401" s="6" t="str">
        <f t="shared" ca="1" si="38"/>
        <v/>
      </c>
      <c r="O401" s="6">
        <f t="shared" si="39"/>
        <v>2.5500000000000114</v>
      </c>
      <c r="Q401" s="6">
        <v>2.3499999999999943</v>
      </c>
      <c r="R401" s="9">
        <f t="shared" si="40"/>
        <v>881.24999999999784</v>
      </c>
      <c r="S401" s="7">
        <f t="shared" si="41"/>
        <v>-1256.2500000000193</v>
      </c>
    </row>
    <row r="402" spans="1:19" x14ac:dyDescent="0.25">
      <c r="A402" s="4">
        <f>Sheet1!A402</f>
        <v>39668</v>
      </c>
      <c r="B402" s="5">
        <f>Sheet1!B402</f>
        <v>0.58333333333333337</v>
      </c>
      <c r="C402" s="6">
        <f>Sheet1!C402</f>
        <v>204.3</v>
      </c>
      <c r="D402" s="6">
        <f>Sheet1!D402</f>
        <v>204.5</v>
      </c>
      <c r="E402" s="6">
        <f>Sheet1!E402</f>
        <v>199.65</v>
      </c>
      <c r="F402" s="6">
        <f>Sheet1!F402</f>
        <v>199.85</v>
      </c>
      <c r="H402" s="6">
        <f ca="1">IF(ROW($H402)-1&lt;$I$1,$F402,AVERAGE($F402:OFFSET($F402,(($I$1-1)*-1),0)))</f>
        <v>202.60833333333332</v>
      </c>
      <c r="J402" s="6">
        <f ca="1">IF(ROW($J402)-1&lt;$K$1,$F402,AVERAGE($F402:OFFSET($F402,(($K$1-1)*-1),0)))</f>
        <v>204.61964285714288</v>
      </c>
      <c r="L402" s="7">
        <f t="shared" ca="1" si="36"/>
        <v>-1</v>
      </c>
      <c r="M402" s="7" t="str">
        <f t="shared" ca="1" si="37"/>
        <v/>
      </c>
      <c r="N402" s="6" t="str">
        <f t="shared" ca="1" si="38"/>
        <v/>
      </c>
      <c r="O402" s="6">
        <f t="shared" si="39"/>
        <v>-4.6500000000000057</v>
      </c>
      <c r="Q402" s="6">
        <v>7</v>
      </c>
      <c r="R402" s="9">
        <f t="shared" si="40"/>
        <v>2625</v>
      </c>
      <c r="S402" s="7">
        <f t="shared" si="41"/>
        <v>-1256.2500000000193</v>
      </c>
    </row>
    <row r="403" spans="1:19" x14ac:dyDescent="0.25">
      <c r="A403" s="4">
        <f>Sheet1!A403</f>
        <v>39671</v>
      </c>
      <c r="B403" s="5">
        <f>Sheet1!B403</f>
        <v>0.58333333333333337</v>
      </c>
      <c r="C403" s="6">
        <f>Sheet1!C403</f>
        <v>199.75</v>
      </c>
      <c r="D403" s="6">
        <f>Sheet1!D403</f>
        <v>202.15</v>
      </c>
      <c r="E403" s="6">
        <f>Sheet1!E403</f>
        <v>199.65</v>
      </c>
      <c r="F403" s="6">
        <f>Sheet1!F403</f>
        <v>199.95</v>
      </c>
      <c r="H403" s="6">
        <f ca="1">IF(ROW($H403)-1&lt;$I$1,$F403,AVERAGE($F403:OFFSET($F403,(($I$1-1)*-1),0)))</f>
        <v>201.89999999999998</v>
      </c>
      <c r="J403" s="6">
        <f ca="1">IF(ROW($J403)-1&lt;$K$1,$F403,AVERAGE($F403:OFFSET($F403,(($K$1-1)*-1),0)))</f>
        <v>204.01071428571427</v>
      </c>
      <c r="L403" s="7">
        <f t="shared" ca="1" si="36"/>
        <v>-1</v>
      </c>
      <c r="M403" s="7" t="str">
        <f t="shared" ca="1" si="37"/>
        <v/>
      </c>
      <c r="N403" s="6" t="str">
        <f t="shared" ca="1" si="38"/>
        <v/>
      </c>
      <c r="O403" s="6">
        <f t="shared" si="39"/>
        <v>9.9999999999994316E-2</v>
      </c>
      <c r="Q403" s="6">
        <v>6.9000000000000057</v>
      </c>
      <c r="R403" s="9">
        <f t="shared" si="40"/>
        <v>2587.5000000000023</v>
      </c>
      <c r="S403" s="7">
        <f t="shared" si="41"/>
        <v>-1256.2500000000193</v>
      </c>
    </row>
    <row r="404" spans="1:19" x14ac:dyDescent="0.25">
      <c r="A404" s="4">
        <f>Sheet1!A404</f>
        <v>39672</v>
      </c>
      <c r="B404" s="5">
        <f>Sheet1!B404</f>
        <v>0.58333333333333337</v>
      </c>
      <c r="C404" s="6">
        <f>Sheet1!C404</f>
        <v>199.95</v>
      </c>
      <c r="D404" s="6">
        <f>Sheet1!D404</f>
        <v>204.15</v>
      </c>
      <c r="E404" s="6">
        <f>Sheet1!E404</f>
        <v>198.6</v>
      </c>
      <c r="F404" s="6">
        <f>Sheet1!F404</f>
        <v>201.5</v>
      </c>
      <c r="H404" s="6">
        <f ca="1">IF(ROW($H404)-1&lt;$I$1,$F404,AVERAGE($F404:OFFSET($F404,(($I$1-1)*-1),0)))</f>
        <v>202</v>
      </c>
      <c r="J404" s="6">
        <f ca="1">IF(ROW($J404)-1&lt;$K$1,$F404,AVERAGE($F404:OFFSET($F404,(($K$1-1)*-1),0)))</f>
        <v>203.39285714285714</v>
      </c>
      <c r="L404" s="7">
        <f t="shared" ca="1" si="36"/>
        <v>-1</v>
      </c>
      <c r="M404" s="7" t="str">
        <f t="shared" ca="1" si="37"/>
        <v/>
      </c>
      <c r="N404" s="6" t="str">
        <f t="shared" ca="1" si="38"/>
        <v/>
      </c>
      <c r="O404" s="6">
        <f t="shared" si="39"/>
        <v>1.5500000000000114</v>
      </c>
      <c r="Q404" s="6">
        <v>5.3499999999999943</v>
      </c>
      <c r="R404" s="9">
        <f t="shared" si="40"/>
        <v>2006.249999999998</v>
      </c>
      <c r="S404" s="7">
        <f t="shared" si="41"/>
        <v>-1256.2500000000193</v>
      </c>
    </row>
    <row r="405" spans="1:19" x14ac:dyDescent="0.25">
      <c r="A405" s="4">
        <f>Sheet1!A405</f>
        <v>39673</v>
      </c>
      <c r="B405" s="5">
        <f>Sheet1!B405</f>
        <v>0.58333333333333337</v>
      </c>
      <c r="C405" s="6">
        <f>Sheet1!C405</f>
        <v>201.65</v>
      </c>
      <c r="D405" s="6">
        <f>Sheet1!D405</f>
        <v>201.95</v>
      </c>
      <c r="E405" s="6">
        <f>Sheet1!E405</f>
        <v>197</v>
      </c>
      <c r="F405" s="6">
        <f>Sheet1!F405</f>
        <v>199.6</v>
      </c>
      <c r="H405" s="6">
        <f ca="1">IF(ROW($H405)-1&lt;$I$1,$F405,AVERAGE($F405:OFFSET($F405,(($I$1-1)*-1),0)))</f>
        <v>201.22499999999999</v>
      </c>
      <c r="J405" s="6">
        <f ca="1">IF(ROW($J405)-1&lt;$K$1,$F405,AVERAGE($F405:OFFSET($F405,(($K$1-1)*-1),0)))</f>
        <v>202.66785714285714</v>
      </c>
      <c r="L405" s="7">
        <f t="shared" ca="1" si="36"/>
        <v>-1</v>
      </c>
      <c r="M405" s="7" t="str">
        <f t="shared" ca="1" si="37"/>
        <v/>
      </c>
      <c r="N405" s="6" t="str">
        <f t="shared" ca="1" si="38"/>
        <v/>
      </c>
      <c r="O405" s="6">
        <f t="shared" si="39"/>
        <v>-1.9000000000000057</v>
      </c>
      <c r="Q405" s="6">
        <v>7.25</v>
      </c>
      <c r="R405" s="9">
        <f t="shared" si="40"/>
        <v>2718.75</v>
      </c>
      <c r="S405" s="7">
        <f t="shared" si="41"/>
        <v>-1256.2500000000193</v>
      </c>
    </row>
    <row r="406" spans="1:19" x14ac:dyDescent="0.25">
      <c r="A406" s="4">
        <f>Sheet1!A406</f>
        <v>39674</v>
      </c>
      <c r="B406" s="5">
        <f>Sheet1!B406</f>
        <v>0.58333333333333337</v>
      </c>
      <c r="C406" s="6">
        <f>Sheet1!C406</f>
        <v>199.6</v>
      </c>
      <c r="D406" s="6">
        <f>Sheet1!D406</f>
        <v>201</v>
      </c>
      <c r="E406" s="6">
        <f>Sheet1!E406</f>
        <v>198.7</v>
      </c>
      <c r="F406" s="6">
        <f>Sheet1!F406</f>
        <v>199.2</v>
      </c>
      <c r="H406" s="6">
        <f ca="1">IF(ROW($H406)-1&lt;$I$1,$F406,AVERAGE($F406:OFFSET($F406,(($I$1-1)*-1),0)))</f>
        <v>200.76666666666665</v>
      </c>
      <c r="J406" s="6">
        <f ca="1">IF(ROW($J406)-1&lt;$K$1,$F406,AVERAGE($F406:OFFSET($F406,(($K$1-1)*-1),0)))</f>
        <v>202.38392857142861</v>
      </c>
      <c r="L406" s="7">
        <f t="shared" ca="1" si="36"/>
        <v>-1</v>
      </c>
      <c r="M406" s="7" t="str">
        <f t="shared" ca="1" si="37"/>
        <v/>
      </c>
      <c r="N406" s="6" t="str">
        <f t="shared" ca="1" si="38"/>
        <v/>
      </c>
      <c r="O406" s="6">
        <f t="shared" si="39"/>
        <v>-0.40000000000000568</v>
      </c>
      <c r="Q406" s="6">
        <v>7.6500000000000057</v>
      </c>
      <c r="R406" s="9">
        <f t="shared" si="40"/>
        <v>2868.7500000000023</v>
      </c>
      <c r="S406" s="7">
        <f t="shared" si="41"/>
        <v>-1256.2500000000193</v>
      </c>
    </row>
    <row r="407" spans="1:19" x14ac:dyDescent="0.25">
      <c r="A407" s="4">
        <f>Sheet1!A407</f>
        <v>39675</v>
      </c>
      <c r="B407" s="5">
        <f>Sheet1!B407</f>
        <v>0.58333333333333337</v>
      </c>
      <c r="C407" s="6">
        <f>Sheet1!C407</f>
        <v>198.65</v>
      </c>
      <c r="D407" s="6">
        <f>Sheet1!D407</f>
        <v>199.2</v>
      </c>
      <c r="E407" s="6">
        <f>Sheet1!E407</f>
        <v>195.3</v>
      </c>
      <c r="F407" s="6">
        <f>Sheet1!F407</f>
        <v>196.95</v>
      </c>
      <c r="H407" s="6">
        <f ca="1">IF(ROW($H407)-1&lt;$I$1,$F407,AVERAGE($F407:OFFSET($F407,(($I$1-1)*-1),0)))</f>
        <v>199.50833333333333</v>
      </c>
      <c r="J407" s="6">
        <f ca="1">IF(ROW($J407)-1&lt;$K$1,$F407,AVERAGE($F407:OFFSET($F407,(($K$1-1)*-1),0)))</f>
        <v>202.06071428571431</v>
      </c>
      <c r="L407" s="7">
        <f t="shared" ca="1" si="36"/>
        <v>-1</v>
      </c>
      <c r="M407" s="7" t="str">
        <f t="shared" ca="1" si="37"/>
        <v/>
      </c>
      <c r="N407" s="6" t="str">
        <f t="shared" ca="1" si="38"/>
        <v/>
      </c>
      <c r="O407" s="6">
        <f t="shared" si="39"/>
        <v>-2.25</v>
      </c>
      <c r="Q407" s="6">
        <v>9.9000000000000057</v>
      </c>
      <c r="R407" s="9">
        <f t="shared" si="40"/>
        <v>3712.5000000000023</v>
      </c>
      <c r="S407" s="7">
        <f t="shared" si="41"/>
        <v>-1256.2500000000193</v>
      </c>
    </row>
    <row r="408" spans="1:19" x14ac:dyDescent="0.25">
      <c r="A408" s="4">
        <f>Sheet1!A408</f>
        <v>39678</v>
      </c>
      <c r="B408" s="5">
        <f>Sheet1!B408</f>
        <v>0.58333333333333337</v>
      </c>
      <c r="C408" s="6">
        <f>Sheet1!C408</f>
        <v>196.85</v>
      </c>
      <c r="D408" s="6">
        <f>Sheet1!D408</f>
        <v>198.95</v>
      </c>
      <c r="E408" s="6">
        <f>Sheet1!E408</f>
        <v>196.55</v>
      </c>
      <c r="F408" s="6">
        <f>Sheet1!F408</f>
        <v>198.1</v>
      </c>
      <c r="H408" s="6">
        <f ca="1">IF(ROW($H408)-1&lt;$I$1,$F408,AVERAGE($F408:OFFSET($F408,(($I$1-1)*-1),0)))</f>
        <v>199.21666666666667</v>
      </c>
      <c r="J408" s="6">
        <f ca="1">IF(ROW($J408)-1&lt;$K$1,$F408,AVERAGE($F408:OFFSET($F408,(($K$1-1)*-1),0)))</f>
        <v>201.84107142857144</v>
      </c>
      <c r="L408" s="7">
        <f t="shared" ca="1" si="36"/>
        <v>-1</v>
      </c>
      <c r="M408" s="7" t="str">
        <f t="shared" ca="1" si="37"/>
        <v/>
      </c>
      <c r="N408" s="6" t="str">
        <f t="shared" ca="1" si="38"/>
        <v/>
      </c>
      <c r="O408" s="6">
        <f t="shared" si="39"/>
        <v>1.1500000000000057</v>
      </c>
      <c r="Q408" s="6">
        <v>8.75</v>
      </c>
      <c r="R408" s="9">
        <f t="shared" si="40"/>
        <v>3281.25</v>
      </c>
      <c r="S408" s="7">
        <f t="shared" si="41"/>
        <v>-1256.2500000000193</v>
      </c>
    </row>
    <row r="409" spans="1:19" x14ac:dyDescent="0.25">
      <c r="A409" s="4">
        <f>Sheet1!A409</f>
        <v>39679</v>
      </c>
      <c r="B409" s="5">
        <f>Sheet1!B409</f>
        <v>0.58333333333333337</v>
      </c>
      <c r="C409" s="6">
        <f>Sheet1!C409</f>
        <v>198.15</v>
      </c>
      <c r="D409" s="6">
        <f>Sheet1!D409</f>
        <v>201.8</v>
      </c>
      <c r="E409" s="6">
        <f>Sheet1!E409</f>
        <v>197.05</v>
      </c>
      <c r="F409" s="6">
        <f>Sheet1!F409</f>
        <v>200.25</v>
      </c>
      <c r="H409" s="6">
        <f ca="1">IF(ROW($H409)-1&lt;$I$1,$F409,AVERAGE($F409:OFFSET($F409,(($I$1-1)*-1),0)))</f>
        <v>199.26666666666665</v>
      </c>
      <c r="J409" s="6">
        <f ca="1">IF(ROW($J409)-1&lt;$K$1,$F409,AVERAGE($F409:OFFSET($F409,(($K$1-1)*-1),0)))</f>
        <v>201.63035714285715</v>
      </c>
      <c r="L409" s="7">
        <f t="shared" ca="1" si="36"/>
        <v>-1</v>
      </c>
      <c r="M409" s="7" t="str">
        <f t="shared" ca="1" si="37"/>
        <v/>
      </c>
      <c r="N409" s="6" t="str">
        <f t="shared" ca="1" si="38"/>
        <v/>
      </c>
      <c r="O409" s="6">
        <f t="shared" si="39"/>
        <v>2.1500000000000057</v>
      </c>
      <c r="Q409" s="6">
        <v>6.5999999999999943</v>
      </c>
      <c r="R409" s="9">
        <f t="shared" si="40"/>
        <v>2474.9999999999977</v>
      </c>
      <c r="S409" s="7">
        <f t="shared" si="41"/>
        <v>-1256.2500000000193</v>
      </c>
    </row>
    <row r="410" spans="1:19" x14ac:dyDescent="0.25">
      <c r="A410" s="4">
        <f>Sheet1!A410</f>
        <v>39680</v>
      </c>
      <c r="B410" s="5">
        <f>Sheet1!B410</f>
        <v>0.58333333333333337</v>
      </c>
      <c r="C410" s="6">
        <f>Sheet1!C410</f>
        <v>200.25</v>
      </c>
      <c r="D410" s="6">
        <f>Sheet1!D410</f>
        <v>202.45</v>
      </c>
      <c r="E410" s="6">
        <f>Sheet1!E410</f>
        <v>200</v>
      </c>
      <c r="F410" s="6">
        <f>Sheet1!F410</f>
        <v>201.35</v>
      </c>
      <c r="H410" s="6">
        <f ca="1">IF(ROW($H410)-1&lt;$I$1,$F410,AVERAGE($F410:OFFSET($F410,(($I$1-1)*-1),0)))</f>
        <v>199.24166666666667</v>
      </c>
      <c r="J410" s="6">
        <f ca="1">IF(ROW($J410)-1&lt;$K$1,$F410,AVERAGE($F410:OFFSET($F410,(($K$1-1)*-1),0)))</f>
        <v>201.4446428571429</v>
      </c>
      <c r="L410" s="7">
        <f t="shared" ca="1" si="36"/>
        <v>-1</v>
      </c>
      <c r="M410" s="7" t="str">
        <f t="shared" ca="1" si="37"/>
        <v/>
      </c>
      <c r="N410" s="6" t="str">
        <f t="shared" ca="1" si="38"/>
        <v/>
      </c>
      <c r="O410" s="6">
        <f t="shared" si="39"/>
        <v>1.0999999999999943</v>
      </c>
      <c r="Q410" s="6">
        <v>5.5</v>
      </c>
      <c r="R410" s="9">
        <f t="shared" si="40"/>
        <v>2062.5</v>
      </c>
      <c r="S410" s="7">
        <f t="shared" si="41"/>
        <v>-1256.2500000000193</v>
      </c>
    </row>
    <row r="411" spans="1:19" x14ac:dyDescent="0.25">
      <c r="A411" s="4">
        <f>Sheet1!A411</f>
        <v>39681</v>
      </c>
      <c r="B411" s="5">
        <f>Sheet1!B411</f>
        <v>0.58333333333333337</v>
      </c>
      <c r="C411" s="6">
        <f>Sheet1!C411</f>
        <v>201.9</v>
      </c>
      <c r="D411" s="6">
        <f>Sheet1!D411</f>
        <v>205.5</v>
      </c>
      <c r="E411" s="6">
        <f>Sheet1!E411</f>
        <v>201.8</v>
      </c>
      <c r="F411" s="6">
        <f>Sheet1!F411</f>
        <v>203.8</v>
      </c>
      <c r="H411" s="6">
        <f ca="1">IF(ROW($H411)-1&lt;$I$1,$F411,AVERAGE($F411:OFFSET($F411,(($I$1-1)*-1),0)))</f>
        <v>199.94166666666669</v>
      </c>
      <c r="J411" s="6">
        <f ca="1">IF(ROW($J411)-1&lt;$K$1,$F411,AVERAGE($F411:OFFSET($F411,(($K$1-1)*-1),0)))</f>
        <v>201.33571428571432</v>
      </c>
      <c r="L411" s="7">
        <f t="shared" ca="1" si="36"/>
        <v>-1</v>
      </c>
      <c r="M411" s="7" t="str">
        <f t="shared" ca="1" si="37"/>
        <v/>
      </c>
      <c r="N411" s="6" t="str">
        <f t="shared" ca="1" si="38"/>
        <v/>
      </c>
      <c r="O411" s="6">
        <f t="shared" si="39"/>
        <v>2.4500000000000171</v>
      </c>
      <c r="Q411" s="6">
        <v>3.0499999999999829</v>
      </c>
      <c r="R411" s="9">
        <f t="shared" si="40"/>
        <v>1143.7499999999936</v>
      </c>
      <c r="S411" s="7">
        <f t="shared" si="41"/>
        <v>-1256.2500000000193</v>
      </c>
    </row>
    <row r="412" spans="1:19" x14ac:dyDescent="0.25">
      <c r="A412" s="4">
        <f>Sheet1!A412</f>
        <v>39682</v>
      </c>
      <c r="B412" s="5">
        <f>Sheet1!B412</f>
        <v>0.58333333333333337</v>
      </c>
      <c r="C412" s="6">
        <f>Sheet1!C412</f>
        <v>203.85</v>
      </c>
      <c r="D412" s="6">
        <f>Sheet1!D412</f>
        <v>205.15</v>
      </c>
      <c r="E412" s="6">
        <f>Sheet1!E412</f>
        <v>201.95</v>
      </c>
      <c r="F412" s="6">
        <f>Sheet1!F412</f>
        <v>204.35</v>
      </c>
      <c r="H412" s="6">
        <f ca="1">IF(ROW($H412)-1&lt;$I$1,$F412,AVERAGE($F412:OFFSET($F412,(($I$1-1)*-1),0)))</f>
        <v>200.79999999999998</v>
      </c>
      <c r="J412" s="6">
        <f ca="1">IF(ROW($J412)-1&lt;$K$1,$F412,AVERAGE($F412:OFFSET($F412,(($K$1-1)*-1),0)))</f>
        <v>201.32857142857145</v>
      </c>
      <c r="L412" s="7">
        <f t="shared" ca="1" si="36"/>
        <v>-1</v>
      </c>
      <c r="M412" s="7" t="str">
        <f t="shared" ca="1" si="37"/>
        <v/>
      </c>
      <c r="N412" s="6" t="str">
        <f t="shared" ca="1" si="38"/>
        <v/>
      </c>
      <c r="O412" s="6">
        <f t="shared" si="39"/>
        <v>0.54999999999998295</v>
      </c>
      <c r="Q412" s="6">
        <v>2.5</v>
      </c>
      <c r="R412" s="9">
        <f t="shared" si="40"/>
        <v>937.5</v>
      </c>
      <c r="S412" s="7">
        <f t="shared" si="41"/>
        <v>-1256.2500000000193</v>
      </c>
    </row>
    <row r="413" spans="1:19" x14ac:dyDescent="0.25">
      <c r="A413" s="4">
        <f>Sheet1!A413</f>
        <v>39685</v>
      </c>
      <c r="B413" s="5">
        <f>Sheet1!B413</f>
        <v>0.58333333333333337</v>
      </c>
      <c r="C413" s="6">
        <f>Sheet1!C413</f>
        <v>203.35</v>
      </c>
      <c r="D413" s="6">
        <f>Sheet1!D413</f>
        <v>204.35</v>
      </c>
      <c r="E413" s="6">
        <f>Sheet1!E413</f>
        <v>202.75</v>
      </c>
      <c r="F413" s="6">
        <f>Sheet1!F413</f>
        <v>203.45</v>
      </c>
      <c r="H413" s="6">
        <f ca="1">IF(ROW($H413)-1&lt;$I$1,$F413,AVERAGE($F413:OFFSET($F413,(($I$1-1)*-1),0)))</f>
        <v>201.88333333333333</v>
      </c>
      <c r="J413" s="6">
        <f ca="1">IF(ROW($J413)-1&lt;$K$1,$F413,AVERAGE($F413:OFFSET($F413,(($K$1-1)*-1),0)))</f>
        <v>201.28928571428574</v>
      </c>
      <c r="L413" s="7">
        <f t="shared" ca="1" si="36"/>
        <v>1</v>
      </c>
      <c r="M413" s="7">
        <f t="shared" ca="1" si="37"/>
        <v>1</v>
      </c>
      <c r="N413" s="6" t="str">
        <f t="shared" ca="1" si="38"/>
        <v/>
      </c>
      <c r="O413" s="6">
        <f t="shared" si="39"/>
        <v>-0.90000000000000568</v>
      </c>
      <c r="Q413" s="6">
        <v>3.4000000000000057</v>
      </c>
      <c r="R413" s="9">
        <f t="shared" si="40"/>
        <v>1275.000000000002</v>
      </c>
      <c r="S413" s="7">
        <f t="shared" si="41"/>
        <v>-1256.2500000000193</v>
      </c>
    </row>
    <row r="414" spans="1:19" x14ac:dyDescent="0.25">
      <c r="A414" s="4">
        <f>Sheet1!A414</f>
        <v>39686</v>
      </c>
      <c r="B414" s="5">
        <f>Sheet1!B414</f>
        <v>0.58333333333333337</v>
      </c>
      <c r="C414" s="6">
        <f>Sheet1!C414</f>
        <v>203.45</v>
      </c>
      <c r="D414" s="6">
        <f>Sheet1!D414</f>
        <v>208.95</v>
      </c>
      <c r="E414" s="6">
        <f>Sheet1!E414</f>
        <v>202.45</v>
      </c>
      <c r="F414" s="6">
        <f>Sheet1!F414</f>
        <v>208.1</v>
      </c>
      <c r="H414" s="6">
        <f ca="1">IF(ROW($H414)-1&lt;$I$1,$F414,AVERAGE($F414:OFFSET($F414,(($I$1-1)*-1),0)))</f>
        <v>203.54999999999998</v>
      </c>
      <c r="J414" s="6">
        <f ca="1">IF(ROW($J414)-1&lt;$K$1,$F414,AVERAGE($F414:OFFSET($F414,(($K$1-1)*-1),0)))</f>
        <v>201.53928571428574</v>
      </c>
      <c r="L414" s="7">
        <f t="shared" ca="1" si="36"/>
        <v>1</v>
      </c>
      <c r="M414" s="7" t="str">
        <f t="shared" ca="1" si="37"/>
        <v/>
      </c>
      <c r="N414" s="6">
        <f t="shared" ca="1" si="38"/>
        <v>203.45</v>
      </c>
      <c r="O414" s="6">
        <f t="shared" si="39"/>
        <v>4.6500000000000057</v>
      </c>
      <c r="P414" s="6">
        <v>3.4000000000000057</v>
      </c>
      <c r="Q414" s="6">
        <v>4.6500000000000057</v>
      </c>
      <c r="R414" s="9">
        <f t="shared" si="40"/>
        <v>1743.750000000002</v>
      </c>
      <c r="S414" s="7">
        <f t="shared" si="41"/>
        <v>18.74999999998272</v>
      </c>
    </row>
    <row r="415" spans="1:19" x14ac:dyDescent="0.25">
      <c r="A415" s="4">
        <f>Sheet1!A415</f>
        <v>39687</v>
      </c>
      <c r="B415" s="5">
        <f>Sheet1!B415</f>
        <v>0.58333333333333337</v>
      </c>
      <c r="C415" s="6">
        <f>Sheet1!C415</f>
        <v>208.3</v>
      </c>
      <c r="D415" s="6">
        <f>Sheet1!D415</f>
        <v>212.4</v>
      </c>
      <c r="E415" s="6">
        <f>Sheet1!E415</f>
        <v>207.7</v>
      </c>
      <c r="F415" s="6">
        <f>Sheet1!F415</f>
        <v>208.25</v>
      </c>
      <c r="H415" s="6">
        <f ca="1">IF(ROW($H415)-1&lt;$I$1,$F415,AVERAGE($F415:OFFSET($F415,(($I$1-1)*-1),0)))</f>
        <v>204.88333333333335</v>
      </c>
      <c r="J415" s="6">
        <f ca="1">IF(ROW($J415)-1&lt;$K$1,$F415,AVERAGE($F415:OFFSET($F415,(($K$1-1)*-1),0)))</f>
        <v>201.76785714285714</v>
      </c>
      <c r="L415" s="7">
        <f t="shared" ca="1" si="36"/>
        <v>1</v>
      </c>
      <c r="M415" s="7" t="str">
        <f t="shared" ca="1" si="37"/>
        <v/>
      </c>
      <c r="N415" s="6" t="str">
        <f t="shared" ca="1" si="38"/>
        <v/>
      </c>
      <c r="O415" s="6">
        <f t="shared" si="39"/>
        <v>0.15000000000000568</v>
      </c>
      <c r="Q415" s="6">
        <v>4.8000000000000114</v>
      </c>
      <c r="R415" s="9">
        <f t="shared" si="40"/>
        <v>1800.0000000000043</v>
      </c>
      <c r="S415" s="7">
        <f t="shared" si="41"/>
        <v>18.74999999998272</v>
      </c>
    </row>
    <row r="416" spans="1:19" x14ac:dyDescent="0.25">
      <c r="A416" s="4">
        <f>Sheet1!A416</f>
        <v>39688</v>
      </c>
      <c r="B416" s="5">
        <f>Sheet1!B416</f>
        <v>0.58333333333333337</v>
      </c>
      <c r="C416" s="6">
        <f>Sheet1!C416</f>
        <v>207.95</v>
      </c>
      <c r="D416" s="6">
        <f>Sheet1!D416</f>
        <v>211.4</v>
      </c>
      <c r="E416" s="6">
        <f>Sheet1!E416</f>
        <v>206.65</v>
      </c>
      <c r="F416" s="6">
        <f>Sheet1!F416</f>
        <v>207.95</v>
      </c>
      <c r="H416" s="6">
        <f ca="1">IF(ROW($H416)-1&lt;$I$1,$F416,AVERAGE($F416:OFFSET($F416,(($I$1-1)*-1),0)))</f>
        <v>205.98333333333332</v>
      </c>
      <c r="J416" s="6">
        <f ca="1">IF(ROW($J416)-1&lt;$K$1,$F416,AVERAGE($F416:OFFSET($F416,(($K$1-1)*-1),0)))</f>
        <v>201.98392857142858</v>
      </c>
      <c r="L416" s="7">
        <f t="shared" ca="1" si="36"/>
        <v>1</v>
      </c>
      <c r="M416" s="7" t="str">
        <f t="shared" ca="1" si="37"/>
        <v/>
      </c>
      <c r="N416" s="6" t="str">
        <f t="shared" ca="1" si="38"/>
        <v/>
      </c>
      <c r="O416" s="6">
        <f t="shared" si="39"/>
        <v>-0.30000000000001137</v>
      </c>
      <c r="Q416" s="6">
        <v>4.5</v>
      </c>
      <c r="R416" s="9">
        <f t="shared" si="40"/>
        <v>1687.5</v>
      </c>
      <c r="S416" s="7">
        <f t="shared" si="41"/>
        <v>18.74999999998272</v>
      </c>
    </row>
    <row r="417" spans="1:19" x14ac:dyDescent="0.25">
      <c r="A417" s="4">
        <f>Sheet1!A417</f>
        <v>39689</v>
      </c>
      <c r="B417" s="5">
        <f>Sheet1!B417</f>
        <v>0.58333333333333337</v>
      </c>
      <c r="C417" s="6">
        <f>Sheet1!C417</f>
        <v>208.15</v>
      </c>
      <c r="D417" s="6">
        <f>Sheet1!D417</f>
        <v>210.35</v>
      </c>
      <c r="E417" s="6">
        <f>Sheet1!E417</f>
        <v>205.35</v>
      </c>
      <c r="F417" s="6">
        <f>Sheet1!F417</f>
        <v>205.9</v>
      </c>
      <c r="H417" s="6">
        <f ca="1">IF(ROW($H417)-1&lt;$I$1,$F417,AVERAGE($F417:OFFSET($F417,(($I$1-1)*-1),0)))</f>
        <v>206.33333333333334</v>
      </c>
      <c r="J417" s="6">
        <f ca="1">IF(ROW($J417)-1&lt;$K$1,$F417,AVERAGE($F417:OFFSET($F417,(($K$1-1)*-1),0)))</f>
        <v>202.15</v>
      </c>
      <c r="L417" s="7">
        <f t="shared" ca="1" si="36"/>
        <v>1</v>
      </c>
      <c r="M417" s="7" t="str">
        <f t="shared" ca="1" si="37"/>
        <v/>
      </c>
      <c r="N417" s="6" t="str">
        <f t="shared" ca="1" si="38"/>
        <v/>
      </c>
      <c r="O417" s="6">
        <f t="shared" si="39"/>
        <v>-2.0499999999999829</v>
      </c>
      <c r="Q417" s="6">
        <v>2.4500000000000171</v>
      </c>
      <c r="R417" s="9">
        <f t="shared" si="40"/>
        <v>918.75000000000637</v>
      </c>
      <c r="S417" s="7">
        <f t="shared" si="41"/>
        <v>18.74999999998272</v>
      </c>
    </row>
    <row r="418" spans="1:19" x14ac:dyDescent="0.25">
      <c r="A418" s="4">
        <f>Sheet1!A418</f>
        <v>39693</v>
      </c>
      <c r="B418" s="5">
        <f>Sheet1!B418</f>
        <v>0.58333333333333337</v>
      </c>
      <c r="C418" s="6">
        <f>Sheet1!C418</f>
        <v>205.15</v>
      </c>
      <c r="D418" s="6">
        <f>Sheet1!D418</f>
        <v>205.4</v>
      </c>
      <c r="E418" s="6">
        <f>Sheet1!E418</f>
        <v>201.95</v>
      </c>
      <c r="F418" s="6">
        <f>Sheet1!F418</f>
        <v>204.6</v>
      </c>
      <c r="H418" s="6">
        <f ca="1">IF(ROW($H418)-1&lt;$I$1,$F418,AVERAGE($F418:OFFSET($F418,(($I$1-1)*-1),0)))</f>
        <v>206.375</v>
      </c>
      <c r="J418" s="6">
        <f ca="1">IF(ROW($J418)-1&lt;$K$1,$F418,AVERAGE($F418:OFFSET($F418,(($K$1-1)*-1),0)))</f>
        <v>202.34464285714284</v>
      </c>
      <c r="L418" s="7">
        <f t="shared" ca="1" si="36"/>
        <v>1</v>
      </c>
      <c r="M418" s="7" t="str">
        <f t="shared" ca="1" si="37"/>
        <v/>
      </c>
      <c r="N418" s="6" t="str">
        <f t="shared" ca="1" si="38"/>
        <v/>
      </c>
      <c r="O418" s="6">
        <f t="shared" si="39"/>
        <v>-1.3000000000000114</v>
      </c>
      <c r="Q418" s="6">
        <v>1.1500000000000057</v>
      </c>
      <c r="R418" s="9">
        <f t="shared" si="40"/>
        <v>431.25000000000216</v>
      </c>
      <c r="S418" s="7">
        <f t="shared" si="41"/>
        <v>18.74999999998272</v>
      </c>
    </row>
    <row r="419" spans="1:19" x14ac:dyDescent="0.25">
      <c r="A419" s="4">
        <f>Sheet1!A419</f>
        <v>39694</v>
      </c>
      <c r="B419" s="5">
        <f>Sheet1!B419</f>
        <v>0.58333333333333337</v>
      </c>
      <c r="C419" s="6">
        <f>Sheet1!C419</f>
        <v>204.9</v>
      </c>
      <c r="D419" s="6">
        <f>Sheet1!D419</f>
        <v>205.65</v>
      </c>
      <c r="E419" s="6">
        <f>Sheet1!E419</f>
        <v>202.65</v>
      </c>
      <c r="F419" s="6">
        <f>Sheet1!F419</f>
        <v>203.55</v>
      </c>
      <c r="H419" s="6">
        <f ca="1">IF(ROW($H419)-1&lt;$I$1,$F419,AVERAGE($F419:OFFSET($F419,(($I$1-1)*-1),0)))</f>
        <v>206.39166666666665</v>
      </c>
      <c r="J419" s="6">
        <f ca="1">IF(ROW($J419)-1&lt;$K$1,$F419,AVERAGE($F419:OFFSET($F419,(($K$1-1)*-1),0)))</f>
        <v>202.49821428571428</v>
      </c>
      <c r="L419" s="7">
        <f t="shared" ca="1" si="36"/>
        <v>1</v>
      </c>
      <c r="M419" s="7" t="str">
        <f t="shared" ca="1" si="37"/>
        <v/>
      </c>
      <c r="N419" s="6" t="str">
        <f t="shared" ca="1" si="38"/>
        <v/>
      </c>
      <c r="O419" s="6">
        <f t="shared" si="39"/>
        <v>-1.0499999999999829</v>
      </c>
      <c r="Q419" s="6">
        <v>0.10000000000002274</v>
      </c>
      <c r="R419" s="9">
        <f t="shared" si="40"/>
        <v>37.500000000008527</v>
      </c>
      <c r="S419" s="7">
        <f t="shared" si="41"/>
        <v>18.74999999998272</v>
      </c>
    </row>
    <row r="420" spans="1:19" x14ac:dyDescent="0.25">
      <c r="A420" s="4">
        <f>Sheet1!A420</f>
        <v>39695</v>
      </c>
      <c r="B420" s="5">
        <f>Sheet1!B420</f>
        <v>0.58333333333333337</v>
      </c>
      <c r="C420" s="6">
        <f>Sheet1!C420</f>
        <v>204.1</v>
      </c>
      <c r="D420" s="6">
        <f>Sheet1!D420</f>
        <v>207.5</v>
      </c>
      <c r="E420" s="6">
        <f>Sheet1!E420</f>
        <v>203.15</v>
      </c>
      <c r="F420" s="6">
        <f>Sheet1!F420</f>
        <v>206.9</v>
      </c>
      <c r="H420" s="6">
        <f ca="1">IF(ROW($H420)-1&lt;$I$1,$F420,AVERAGE($F420:OFFSET($F420,(($I$1-1)*-1),0)))</f>
        <v>206.19166666666669</v>
      </c>
      <c r="J420" s="6">
        <f ca="1">IF(ROW($J420)-1&lt;$K$1,$F420,AVERAGE($F420:OFFSET($F420,(($K$1-1)*-1),0)))</f>
        <v>202.69642857142853</v>
      </c>
      <c r="L420" s="7">
        <f t="shared" ca="1" si="36"/>
        <v>1</v>
      </c>
      <c r="M420" s="7" t="str">
        <f t="shared" ca="1" si="37"/>
        <v/>
      </c>
      <c r="N420" s="6" t="str">
        <f t="shared" ca="1" si="38"/>
        <v/>
      </c>
      <c r="O420" s="6">
        <f t="shared" si="39"/>
        <v>3.3499999999999943</v>
      </c>
      <c r="Q420" s="6">
        <v>3.4500000000000171</v>
      </c>
      <c r="R420" s="9">
        <f t="shared" si="40"/>
        <v>1293.7500000000064</v>
      </c>
      <c r="S420" s="7">
        <f t="shared" si="41"/>
        <v>18.74999999998272</v>
      </c>
    </row>
    <row r="421" spans="1:19" x14ac:dyDescent="0.25">
      <c r="A421" s="4">
        <f>Sheet1!A421</f>
        <v>39696</v>
      </c>
      <c r="B421" s="5">
        <f>Sheet1!B421</f>
        <v>0.58333333333333337</v>
      </c>
      <c r="C421" s="6">
        <f>Sheet1!C421</f>
        <v>206.9</v>
      </c>
      <c r="D421" s="6">
        <f>Sheet1!D421</f>
        <v>208.15</v>
      </c>
      <c r="E421" s="6">
        <f>Sheet1!E421</f>
        <v>201.25</v>
      </c>
      <c r="F421" s="6">
        <f>Sheet1!F421</f>
        <v>202.8</v>
      </c>
      <c r="H421" s="6">
        <f ca="1">IF(ROW($H421)-1&lt;$I$1,$F421,AVERAGE($F421:OFFSET($F421,(($I$1-1)*-1),0)))</f>
        <v>205.28333333333333</v>
      </c>
      <c r="J421" s="6">
        <f ca="1">IF(ROW($J421)-1&lt;$K$1,$F421,AVERAGE($F421:OFFSET($F421,(($K$1-1)*-1),0)))</f>
        <v>202.81428571428569</v>
      </c>
      <c r="L421" s="7">
        <f t="shared" ca="1" si="36"/>
        <v>1</v>
      </c>
      <c r="M421" s="7" t="str">
        <f t="shared" ca="1" si="37"/>
        <v/>
      </c>
      <c r="N421" s="6" t="str">
        <f t="shared" ca="1" si="38"/>
        <v/>
      </c>
      <c r="O421" s="6">
        <f t="shared" si="39"/>
        <v>-4.0999999999999943</v>
      </c>
      <c r="Q421" s="6">
        <v>-0.64999999999997726</v>
      </c>
      <c r="R421" s="9">
        <f t="shared" si="40"/>
        <v>-243.74999999999147</v>
      </c>
      <c r="S421" s="7">
        <f t="shared" si="41"/>
        <v>18.74999999998272</v>
      </c>
    </row>
    <row r="422" spans="1:19" x14ac:dyDescent="0.25">
      <c r="A422" s="4">
        <f>Sheet1!A422</f>
        <v>39699</v>
      </c>
      <c r="B422" s="5">
        <f>Sheet1!B422</f>
        <v>0.58333333333333337</v>
      </c>
      <c r="C422" s="6">
        <f>Sheet1!C422</f>
        <v>203.35</v>
      </c>
      <c r="D422" s="6">
        <f>Sheet1!D422</f>
        <v>204.55</v>
      </c>
      <c r="E422" s="6">
        <f>Sheet1!E422</f>
        <v>201.8</v>
      </c>
      <c r="F422" s="6">
        <f>Sheet1!F422</f>
        <v>203.15</v>
      </c>
      <c r="H422" s="6">
        <f ca="1">IF(ROW($H422)-1&lt;$I$1,$F422,AVERAGE($F422:OFFSET($F422,(($I$1-1)*-1),0)))</f>
        <v>204.48333333333335</v>
      </c>
      <c r="J422" s="6">
        <f ca="1">IF(ROW($J422)-1&lt;$K$1,$F422,AVERAGE($F422:OFFSET($F422,(($K$1-1)*-1),0)))</f>
        <v>202.88214285714278</v>
      </c>
      <c r="L422" s="7">
        <f t="shared" ca="1" si="36"/>
        <v>1</v>
      </c>
      <c r="M422" s="7" t="str">
        <f t="shared" ca="1" si="37"/>
        <v/>
      </c>
      <c r="N422" s="6" t="str">
        <f t="shared" ca="1" si="38"/>
        <v/>
      </c>
      <c r="O422" s="6">
        <f t="shared" si="39"/>
        <v>0.34999999999999432</v>
      </c>
      <c r="Q422" s="6">
        <v>-0.29999999999998295</v>
      </c>
      <c r="R422" s="9">
        <f t="shared" si="40"/>
        <v>-112.49999999999361</v>
      </c>
      <c r="S422" s="7">
        <f t="shared" si="41"/>
        <v>18.74999999998272</v>
      </c>
    </row>
    <row r="423" spans="1:19" x14ac:dyDescent="0.25">
      <c r="A423" s="4">
        <f>Sheet1!A423</f>
        <v>39700</v>
      </c>
      <c r="B423" s="5">
        <f>Sheet1!B423</f>
        <v>0.58333333333333337</v>
      </c>
      <c r="C423" s="6">
        <f>Sheet1!C423</f>
        <v>202.15</v>
      </c>
      <c r="D423" s="6">
        <f>Sheet1!D423</f>
        <v>203.35</v>
      </c>
      <c r="E423" s="6">
        <f>Sheet1!E423</f>
        <v>200.05</v>
      </c>
      <c r="F423" s="6">
        <f>Sheet1!F423</f>
        <v>200.25</v>
      </c>
      <c r="H423" s="6">
        <f ca="1">IF(ROW($H423)-1&lt;$I$1,$F423,AVERAGE($F423:OFFSET($F423,(($I$1-1)*-1),0)))</f>
        <v>203.54166666666666</v>
      </c>
      <c r="J423" s="6">
        <f ca="1">IF(ROW($J423)-1&lt;$K$1,$F423,AVERAGE($F423:OFFSET($F423,(($K$1-1)*-1),0)))</f>
        <v>202.82678571428568</v>
      </c>
      <c r="L423" s="7">
        <f t="shared" ca="1" si="36"/>
        <v>1</v>
      </c>
      <c r="M423" s="7" t="str">
        <f t="shared" ca="1" si="37"/>
        <v/>
      </c>
      <c r="N423" s="6" t="str">
        <f t="shared" ca="1" si="38"/>
        <v/>
      </c>
      <c r="O423" s="6">
        <f t="shared" si="39"/>
        <v>-2.9000000000000057</v>
      </c>
      <c r="Q423" s="6">
        <v>-3.1999999999999886</v>
      </c>
      <c r="R423" s="9">
        <f t="shared" si="40"/>
        <v>-1199.9999999999957</v>
      </c>
      <c r="S423" s="7">
        <f t="shared" si="41"/>
        <v>18.74999999998272</v>
      </c>
    </row>
    <row r="424" spans="1:19" x14ac:dyDescent="0.25">
      <c r="A424" s="4">
        <f>Sheet1!A424</f>
        <v>39701</v>
      </c>
      <c r="B424" s="5">
        <f>Sheet1!B424</f>
        <v>0.58333333333333337</v>
      </c>
      <c r="C424" s="6">
        <f>Sheet1!C424</f>
        <v>200.15</v>
      </c>
      <c r="D424" s="6">
        <f>Sheet1!D424</f>
        <v>201.5</v>
      </c>
      <c r="E424" s="6">
        <f>Sheet1!E424</f>
        <v>198.65</v>
      </c>
      <c r="F424" s="6">
        <f>Sheet1!F424</f>
        <v>200.95</v>
      </c>
      <c r="H424" s="6">
        <f ca="1">IF(ROW($H424)-1&lt;$I$1,$F424,AVERAGE($F424:OFFSET($F424,(($I$1-1)*-1),0)))</f>
        <v>202.93333333333331</v>
      </c>
      <c r="J424" s="6">
        <f ca="1">IF(ROW($J424)-1&lt;$K$1,$F424,AVERAGE($F424:OFFSET($F424,(($K$1-1)*-1),0)))</f>
        <v>202.73392857142855</v>
      </c>
      <c r="L424" s="7">
        <f t="shared" ca="1" si="36"/>
        <v>1</v>
      </c>
      <c r="M424" s="7" t="str">
        <f t="shared" ca="1" si="37"/>
        <v/>
      </c>
      <c r="N424" s="6" t="str">
        <f t="shared" ca="1" si="38"/>
        <v/>
      </c>
      <c r="O424" s="6">
        <f t="shared" si="39"/>
        <v>0.69999999999998863</v>
      </c>
      <c r="Q424" s="6">
        <v>-2.5</v>
      </c>
      <c r="R424" s="9">
        <f t="shared" si="40"/>
        <v>-937.5</v>
      </c>
      <c r="S424" s="7">
        <f t="shared" si="41"/>
        <v>18.74999999998272</v>
      </c>
    </row>
    <row r="425" spans="1:19" x14ac:dyDescent="0.25">
      <c r="A425" s="4">
        <f>Sheet1!A425</f>
        <v>39702</v>
      </c>
      <c r="B425" s="5">
        <f>Sheet1!B425</f>
        <v>0.58333333333333337</v>
      </c>
      <c r="C425" s="6">
        <f>Sheet1!C425</f>
        <v>200.1</v>
      </c>
      <c r="D425" s="6">
        <f>Sheet1!D425</f>
        <v>200.4</v>
      </c>
      <c r="E425" s="6">
        <f>Sheet1!E425</f>
        <v>197.4</v>
      </c>
      <c r="F425" s="6">
        <f>Sheet1!F425</f>
        <v>198.6</v>
      </c>
      <c r="H425" s="6">
        <f ca="1">IF(ROW($H425)-1&lt;$I$1,$F425,AVERAGE($F425:OFFSET($F425,(($I$1-1)*-1),0)))</f>
        <v>202.10833333333332</v>
      </c>
      <c r="J425" s="6">
        <f ca="1">IF(ROW($J425)-1&lt;$K$1,$F425,AVERAGE($F425:OFFSET($F425,(($K$1-1)*-1),0)))</f>
        <v>202.53392857142856</v>
      </c>
      <c r="L425" s="7">
        <f t="shared" ca="1" si="36"/>
        <v>-1</v>
      </c>
      <c r="M425" s="7">
        <f t="shared" ca="1" si="37"/>
        <v>-1</v>
      </c>
      <c r="N425" s="6" t="str">
        <f t="shared" ca="1" si="38"/>
        <v/>
      </c>
      <c r="O425" s="6">
        <f t="shared" si="39"/>
        <v>-2.3499999999999943</v>
      </c>
      <c r="Q425" s="6">
        <v>-4.8499999999999943</v>
      </c>
      <c r="R425" s="9">
        <f t="shared" si="40"/>
        <v>-1818.749999999998</v>
      </c>
      <c r="S425" s="7">
        <f t="shared" si="41"/>
        <v>18.74999999998272</v>
      </c>
    </row>
    <row r="426" spans="1:19" x14ac:dyDescent="0.25">
      <c r="A426" s="4">
        <f>Sheet1!A426</f>
        <v>39703</v>
      </c>
      <c r="B426" s="5">
        <f>Sheet1!B426</f>
        <v>0.58333333333333337</v>
      </c>
      <c r="C426" s="6">
        <f>Sheet1!C426</f>
        <v>198.65</v>
      </c>
      <c r="D426" s="6">
        <f>Sheet1!D426</f>
        <v>200.35</v>
      </c>
      <c r="E426" s="6">
        <f>Sheet1!E426</f>
        <v>198.4</v>
      </c>
      <c r="F426" s="6">
        <f>Sheet1!F426</f>
        <v>199.35</v>
      </c>
      <c r="H426" s="6">
        <f ca="1">IF(ROW($H426)-1&lt;$I$1,$F426,AVERAGE($F426:OFFSET($F426,(($I$1-1)*-1),0)))</f>
        <v>200.85000000000002</v>
      </c>
      <c r="J426" s="6">
        <f ca="1">IF(ROW($J426)-1&lt;$K$1,$F426,AVERAGE($F426:OFFSET($F426,(($K$1-1)*-1),0)))</f>
        <v>202.47857142857143</v>
      </c>
      <c r="L426" s="7">
        <f t="shared" ca="1" si="36"/>
        <v>-1</v>
      </c>
      <c r="M426" s="7" t="str">
        <f t="shared" ca="1" si="37"/>
        <v/>
      </c>
      <c r="N426" s="6">
        <f t="shared" ca="1" si="38"/>
        <v>198.65</v>
      </c>
      <c r="O426" s="6">
        <f t="shared" si="39"/>
        <v>0.75</v>
      </c>
      <c r="P426" s="6">
        <v>-4.7999999999999829</v>
      </c>
      <c r="Q426" s="6">
        <v>-0.69999999999998863</v>
      </c>
      <c r="R426" s="9">
        <f t="shared" si="40"/>
        <v>-262.49999999999574</v>
      </c>
      <c r="S426" s="7">
        <f t="shared" si="41"/>
        <v>-1781.2500000000109</v>
      </c>
    </row>
    <row r="427" spans="1:19" x14ac:dyDescent="0.25">
      <c r="A427" s="4">
        <f>Sheet1!A427</f>
        <v>39706</v>
      </c>
      <c r="B427" s="5">
        <f>Sheet1!B427</f>
        <v>0.58333333333333337</v>
      </c>
      <c r="C427" s="6">
        <f>Sheet1!C427</f>
        <v>199.3</v>
      </c>
      <c r="D427" s="6">
        <f>Sheet1!D427</f>
        <v>200.15</v>
      </c>
      <c r="E427" s="6">
        <f>Sheet1!E427</f>
        <v>196.3</v>
      </c>
      <c r="F427" s="6">
        <f>Sheet1!F427</f>
        <v>199.2</v>
      </c>
      <c r="H427" s="6">
        <f ca="1">IF(ROW($H427)-1&lt;$I$1,$F427,AVERAGE($F427:OFFSET($F427,(($I$1-1)*-1),0)))</f>
        <v>200.25</v>
      </c>
      <c r="J427" s="6">
        <f ca="1">IF(ROW($J427)-1&lt;$K$1,$F427,AVERAGE($F427:OFFSET($F427,(($K$1-1)*-1),0)))</f>
        <v>202.29821428571427</v>
      </c>
      <c r="L427" s="7">
        <f t="shared" ca="1" si="36"/>
        <v>-1</v>
      </c>
      <c r="M427" s="7" t="str">
        <f t="shared" ca="1" si="37"/>
        <v/>
      </c>
      <c r="N427" s="6" t="str">
        <f t="shared" ca="1" si="38"/>
        <v/>
      </c>
      <c r="O427" s="6">
        <f t="shared" si="39"/>
        <v>-0.15000000000000568</v>
      </c>
      <c r="Q427" s="6">
        <v>-0.54999999999998295</v>
      </c>
      <c r="R427" s="9">
        <f t="shared" si="40"/>
        <v>-206.24999999999361</v>
      </c>
      <c r="S427" s="7">
        <f t="shared" si="41"/>
        <v>-1781.2500000000109</v>
      </c>
    </row>
    <row r="428" spans="1:19" x14ac:dyDescent="0.25">
      <c r="A428" s="4">
        <f>Sheet1!A428</f>
        <v>39707</v>
      </c>
      <c r="B428" s="5">
        <f>Sheet1!B428</f>
        <v>0.58333333333333337</v>
      </c>
      <c r="C428" s="6">
        <f>Sheet1!C428</f>
        <v>198.35</v>
      </c>
      <c r="D428" s="6">
        <f>Sheet1!D428</f>
        <v>198.45</v>
      </c>
      <c r="E428" s="6">
        <f>Sheet1!E428</f>
        <v>193.05</v>
      </c>
      <c r="F428" s="6">
        <f>Sheet1!F428</f>
        <v>193.55</v>
      </c>
      <c r="H428" s="6">
        <f ca="1">IF(ROW($H428)-1&lt;$I$1,$F428,AVERAGE($F428:OFFSET($F428,(($I$1-1)*-1),0)))</f>
        <v>198.64999999999998</v>
      </c>
      <c r="J428" s="6">
        <f ca="1">IF(ROW($J428)-1&lt;$K$1,$F428,AVERAGE($F428:OFFSET($F428,(($K$1-1)*-1),0)))</f>
        <v>201.99821428571428</v>
      </c>
      <c r="L428" s="7">
        <f t="shared" ca="1" si="36"/>
        <v>-1</v>
      </c>
      <c r="M428" s="7" t="str">
        <f t="shared" ca="1" si="37"/>
        <v/>
      </c>
      <c r="N428" s="6" t="str">
        <f t="shared" ca="1" si="38"/>
        <v/>
      </c>
      <c r="O428" s="6">
        <f t="shared" si="39"/>
        <v>-5.6499999999999773</v>
      </c>
      <c r="Q428" s="6">
        <v>5.0999999999999943</v>
      </c>
      <c r="R428" s="9">
        <f t="shared" si="40"/>
        <v>1912.499999999998</v>
      </c>
      <c r="S428" s="7">
        <f t="shared" si="41"/>
        <v>-1781.2500000000109</v>
      </c>
    </row>
    <row r="429" spans="1:19" x14ac:dyDescent="0.25">
      <c r="A429" s="4">
        <f>Sheet1!A429</f>
        <v>39708</v>
      </c>
      <c r="B429" s="5">
        <f>Sheet1!B429</f>
        <v>0.58333333333333337</v>
      </c>
      <c r="C429" s="6">
        <f>Sheet1!C429</f>
        <v>194.1</v>
      </c>
      <c r="D429" s="6">
        <f>Sheet1!D429</f>
        <v>195.35</v>
      </c>
      <c r="E429" s="6">
        <f>Sheet1!E429</f>
        <v>192</v>
      </c>
      <c r="F429" s="6">
        <f>Sheet1!F429</f>
        <v>193.05</v>
      </c>
      <c r="H429" s="6">
        <f ca="1">IF(ROW($H429)-1&lt;$I$1,$F429,AVERAGE($F429:OFFSET($F429,(($I$1-1)*-1),0)))</f>
        <v>197.44999999999996</v>
      </c>
      <c r="J429" s="6">
        <f ca="1">IF(ROW($J429)-1&lt;$K$1,$F429,AVERAGE($F429:OFFSET($F429,(($K$1-1)*-1),0)))</f>
        <v>201.58928571428572</v>
      </c>
      <c r="L429" s="7">
        <f t="shared" ca="1" si="36"/>
        <v>-1</v>
      </c>
      <c r="M429" s="7" t="str">
        <f t="shared" ca="1" si="37"/>
        <v/>
      </c>
      <c r="N429" s="6" t="str">
        <f t="shared" ca="1" si="38"/>
        <v/>
      </c>
      <c r="O429" s="6">
        <f t="shared" si="39"/>
        <v>-0.5</v>
      </c>
      <c r="Q429" s="6">
        <v>5.5999999999999943</v>
      </c>
      <c r="R429" s="9">
        <f t="shared" si="40"/>
        <v>2099.9999999999977</v>
      </c>
      <c r="S429" s="7">
        <f t="shared" si="41"/>
        <v>-1781.2500000000109</v>
      </c>
    </row>
    <row r="430" spans="1:19" x14ac:dyDescent="0.25">
      <c r="A430" s="4">
        <f>Sheet1!A430</f>
        <v>39709</v>
      </c>
      <c r="B430" s="5">
        <f>Sheet1!B430</f>
        <v>0.58333333333333337</v>
      </c>
      <c r="C430" s="6">
        <f>Sheet1!C430</f>
        <v>193.45</v>
      </c>
      <c r="D430" s="6">
        <f>Sheet1!D430</f>
        <v>195.95</v>
      </c>
      <c r="E430" s="6">
        <f>Sheet1!E430</f>
        <v>190.5</v>
      </c>
      <c r="F430" s="6">
        <f>Sheet1!F430</f>
        <v>190.6</v>
      </c>
      <c r="H430" s="6">
        <f ca="1">IF(ROW($H430)-1&lt;$I$1,$F430,AVERAGE($F430:OFFSET($F430,(($I$1-1)*-1),0)))</f>
        <v>195.72499999999999</v>
      </c>
      <c r="J430" s="6">
        <f ca="1">IF(ROW($J430)-1&lt;$K$1,$F430,AVERAGE($F430:OFFSET($F430,(($K$1-1)*-1),0)))</f>
        <v>201.25892857142861</v>
      </c>
      <c r="L430" s="7">
        <f t="shared" ca="1" si="36"/>
        <v>-1</v>
      </c>
      <c r="M430" s="7" t="str">
        <f t="shared" ca="1" si="37"/>
        <v/>
      </c>
      <c r="N430" s="6" t="str">
        <f t="shared" ca="1" si="38"/>
        <v/>
      </c>
      <c r="O430" s="6">
        <f t="shared" si="39"/>
        <v>-2.4500000000000171</v>
      </c>
      <c r="Q430" s="6">
        <v>8.0500000000000114</v>
      </c>
      <c r="R430" s="9">
        <f t="shared" si="40"/>
        <v>3018.7500000000041</v>
      </c>
      <c r="S430" s="7">
        <f t="shared" si="41"/>
        <v>-1781.2500000000109</v>
      </c>
    </row>
    <row r="431" spans="1:19" x14ac:dyDescent="0.25">
      <c r="A431" s="4">
        <f>Sheet1!A431</f>
        <v>39710</v>
      </c>
      <c r="B431" s="5">
        <f>Sheet1!B431</f>
        <v>0.58333333333333337</v>
      </c>
      <c r="C431" s="6">
        <f>Sheet1!C431</f>
        <v>191.25</v>
      </c>
      <c r="D431" s="6">
        <f>Sheet1!D431</f>
        <v>194.55</v>
      </c>
      <c r="E431" s="6">
        <f>Sheet1!E431</f>
        <v>190.55</v>
      </c>
      <c r="F431" s="6">
        <f>Sheet1!F431</f>
        <v>193.25</v>
      </c>
      <c r="H431" s="6">
        <f ca="1">IF(ROW($H431)-1&lt;$I$1,$F431,AVERAGE($F431:OFFSET($F431,(($I$1-1)*-1),0)))</f>
        <v>194.83333333333334</v>
      </c>
      <c r="J431" s="6">
        <f ca="1">IF(ROW($J431)-1&lt;$K$1,$F431,AVERAGE($F431:OFFSET($F431,(($K$1-1)*-1),0)))</f>
        <v>201.01964285714288</v>
      </c>
      <c r="L431" s="7">
        <f t="shared" ca="1" si="36"/>
        <v>-1</v>
      </c>
      <c r="M431" s="7" t="str">
        <f t="shared" ca="1" si="37"/>
        <v/>
      </c>
      <c r="N431" s="6" t="str">
        <f t="shared" ca="1" si="38"/>
        <v/>
      </c>
      <c r="O431" s="6">
        <f t="shared" si="39"/>
        <v>2.6500000000000057</v>
      </c>
      <c r="Q431" s="6">
        <v>5.4000000000000057</v>
      </c>
      <c r="R431" s="9">
        <f t="shared" si="40"/>
        <v>2025.000000000002</v>
      </c>
      <c r="S431" s="7">
        <f t="shared" si="41"/>
        <v>-1781.2500000000109</v>
      </c>
    </row>
    <row r="432" spans="1:19" x14ac:dyDescent="0.25">
      <c r="A432" s="4">
        <f>Sheet1!A432</f>
        <v>39713</v>
      </c>
      <c r="B432" s="5">
        <f>Sheet1!B432</f>
        <v>0.58333333333333337</v>
      </c>
      <c r="C432" s="6">
        <f>Sheet1!C432</f>
        <v>194.55</v>
      </c>
      <c r="D432" s="6">
        <f>Sheet1!D432</f>
        <v>197.3</v>
      </c>
      <c r="E432" s="6">
        <f>Sheet1!E432</f>
        <v>194.1</v>
      </c>
      <c r="F432" s="6">
        <f>Sheet1!F432</f>
        <v>196.75</v>
      </c>
      <c r="H432" s="6">
        <f ca="1">IF(ROW($H432)-1&lt;$I$1,$F432,AVERAGE($F432:OFFSET($F432,(($I$1-1)*-1),0)))</f>
        <v>194.4</v>
      </c>
      <c r="J432" s="6">
        <f ca="1">IF(ROW($J432)-1&lt;$K$1,$F432,AVERAGE($F432:OFFSET($F432,(($K$1-1)*-1),0)))</f>
        <v>200.85000000000005</v>
      </c>
      <c r="L432" s="7">
        <f t="shared" ca="1" si="36"/>
        <v>-1</v>
      </c>
      <c r="M432" s="7" t="str">
        <f t="shared" ca="1" si="37"/>
        <v/>
      </c>
      <c r="N432" s="6" t="str">
        <f t="shared" ca="1" si="38"/>
        <v/>
      </c>
      <c r="O432" s="6">
        <f t="shared" si="39"/>
        <v>3.5</v>
      </c>
      <c r="Q432" s="6">
        <v>1.9000000000000057</v>
      </c>
      <c r="R432" s="9">
        <f t="shared" si="40"/>
        <v>712.50000000000216</v>
      </c>
      <c r="S432" s="7">
        <f t="shared" si="41"/>
        <v>-1781.2500000000109</v>
      </c>
    </row>
    <row r="433" spans="1:19" x14ac:dyDescent="0.25">
      <c r="A433" s="4">
        <f>Sheet1!A433</f>
        <v>39714</v>
      </c>
      <c r="B433" s="5">
        <f>Sheet1!B433</f>
        <v>0.58333333333333337</v>
      </c>
      <c r="C433" s="6">
        <f>Sheet1!C433</f>
        <v>197.15</v>
      </c>
      <c r="D433" s="6">
        <f>Sheet1!D433</f>
        <v>197.95</v>
      </c>
      <c r="E433" s="6">
        <f>Sheet1!E433</f>
        <v>194.7</v>
      </c>
      <c r="F433" s="6">
        <f>Sheet1!F433</f>
        <v>195.05</v>
      </c>
      <c r="H433" s="6">
        <f ca="1">IF(ROW($H433)-1&lt;$I$1,$F433,AVERAGE($F433:OFFSET($F433,(($I$1-1)*-1),0)))</f>
        <v>193.70833333333334</v>
      </c>
      <c r="J433" s="6">
        <f ca="1">IF(ROW($J433)-1&lt;$K$1,$F433,AVERAGE($F433:OFFSET($F433,(($K$1-1)*-1),0)))</f>
        <v>200.68750000000003</v>
      </c>
      <c r="L433" s="7">
        <f t="shared" ca="1" si="36"/>
        <v>-1</v>
      </c>
      <c r="M433" s="7" t="str">
        <f t="shared" ca="1" si="37"/>
        <v/>
      </c>
      <c r="N433" s="6" t="str">
        <f t="shared" ca="1" si="38"/>
        <v/>
      </c>
      <c r="O433" s="6">
        <f t="shared" si="39"/>
        <v>-1.6999999999999886</v>
      </c>
      <c r="Q433" s="6">
        <v>3.5999999999999943</v>
      </c>
      <c r="R433" s="9">
        <f t="shared" si="40"/>
        <v>1349.999999999998</v>
      </c>
      <c r="S433" s="7">
        <f t="shared" si="41"/>
        <v>-1781.2500000000109</v>
      </c>
    </row>
    <row r="434" spans="1:19" x14ac:dyDescent="0.25">
      <c r="A434" s="4">
        <f>Sheet1!A434</f>
        <v>39715</v>
      </c>
      <c r="B434" s="5">
        <f>Sheet1!B434</f>
        <v>0.58333333333333337</v>
      </c>
      <c r="C434" s="6">
        <f>Sheet1!C434</f>
        <v>195.65</v>
      </c>
      <c r="D434" s="6">
        <f>Sheet1!D434</f>
        <v>197.15</v>
      </c>
      <c r="E434" s="6">
        <f>Sheet1!E434</f>
        <v>194.8</v>
      </c>
      <c r="F434" s="6">
        <f>Sheet1!F434</f>
        <v>195.8</v>
      </c>
      <c r="H434" s="6">
        <f ca="1">IF(ROW($H434)-1&lt;$I$1,$F434,AVERAGE($F434:OFFSET($F434,(($I$1-1)*-1),0)))</f>
        <v>194.08333333333334</v>
      </c>
      <c r="J434" s="6">
        <f ca="1">IF(ROW($J434)-1&lt;$K$1,$F434,AVERAGE($F434:OFFSET($F434,(($K$1-1)*-1),0)))</f>
        <v>200.56607142857146</v>
      </c>
      <c r="L434" s="7">
        <f t="shared" ca="1" si="36"/>
        <v>-1</v>
      </c>
      <c r="M434" s="7" t="str">
        <f t="shared" ca="1" si="37"/>
        <v/>
      </c>
      <c r="N434" s="6" t="str">
        <f t="shared" ca="1" si="38"/>
        <v/>
      </c>
      <c r="O434" s="6">
        <f t="shared" si="39"/>
        <v>0.75</v>
      </c>
      <c r="Q434" s="6">
        <v>2.8499999999999943</v>
      </c>
      <c r="R434" s="9">
        <f t="shared" si="40"/>
        <v>1068.749999999998</v>
      </c>
      <c r="S434" s="7">
        <f t="shared" si="41"/>
        <v>-1781.2500000000109</v>
      </c>
    </row>
    <row r="435" spans="1:19" x14ac:dyDescent="0.25">
      <c r="A435" s="4">
        <f>Sheet1!A435</f>
        <v>39716</v>
      </c>
      <c r="B435" s="5">
        <f>Sheet1!B435</f>
        <v>0.58333333333333337</v>
      </c>
      <c r="C435" s="6">
        <f>Sheet1!C435</f>
        <v>195.3</v>
      </c>
      <c r="D435" s="6">
        <f>Sheet1!D435</f>
        <v>198.65</v>
      </c>
      <c r="E435" s="6">
        <f>Sheet1!E435</f>
        <v>193.9</v>
      </c>
      <c r="F435" s="6">
        <f>Sheet1!F435</f>
        <v>197.75</v>
      </c>
      <c r="H435" s="6">
        <f ca="1">IF(ROW($H435)-1&lt;$I$1,$F435,AVERAGE($F435:OFFSET($F435,(($I$1-1)*-1),0)))</f>
        <v>194.86666666666667</v>
      </c>
      <c r="J435" s="6">
        <f ca="1">IF(ROW($J435)-1&lt;$K$1,$F435,AVERAGE($F435:OFFSET($F435,(($K$1-1)*-1),0)))</f>
        <v>200.59464285714287</v>
      </c>
      <c r="L435" s="7">
        <f t="shared" ca="1" si="36"/>
        <v>-1</v>
      </c>
      <c r="M435" s="7" t="str">
        <f t="shared" ca="1" si="37"/>
        <v/>
      </c>
      <c r="N435" s="6" t="str">
        <f t="shared" ca="1" si="38"/>
        <v/>
      </c>
      <c r="O435" s="6">
        <f t="shared" si="39"/>
        <v>1.9499999999999886</v>
      </c>
      <c r="Q435" s="6">
        <v>0.90000000000000568</v>
      </c>
      <c r="R435" s="9">
        <f t="shared" si="40"/>
        <v>337.50000000000216</v>
      </c>
      <c r="S435" s="7">
        <f t="shared" si="41"/>
        <v>-1781.2500000000109</v>
      </c>
    </row>
    <row r="436" spans="1:19" x14ac:dyDescent="0.25">
      <c r="A436" s="4">
        <f>Sheet1!A436</f>
        <v>39717</v>
      </c>
      <c r="B436" s="5">
        <f>Sheet1!B436</f>
        <v>0.58333333333333337</v>
      </c>
      <c r="C436" s="6">
        <f>Sheet1!C436</f>
        <v>197.75</v>
      </c>
      <c r="D436" s="6">
        <f>Sheet1!D436</f>
        <v>197.8</v>
      </c>
      <c r="E436" s="6">
        <f>Sheet1!E436</f>
        <v>193</v>
      </c>
      <c r="F436" s="6">
        <f>Sheet1!F436</f>
        <v>194.3</v>
      </c>
      <c r="H436" s="6">
        <f ca="1">IF(ROW($H436)-1&lt;$I$1,$F436,AVERAGE($F436:OFFSET($F436,(($I$1-1)*-1),0)))</f>
        <v>195.48333333333332</v>
      </c>
      <c r="J436" s="6">
        <f ca="1">IF(ROW($J436)-1&lt;$K$1,$F436,AVERAGE($F436:OFFSET($F436,(($K$1-1)*-1),0)))</f>
        <v>200.45892857142863</v>
      </c>
      <c r="L436" s="7">
        <f t="shared" ca="1" si="36"/>
        <v>-1</v>
      </c>
      <c r="M436" s="7" t="str">
        <f t="shared" ca="1" si="37"/>
        <v/>
      </c>
      <c r="N436" s="6" t="str">
        <f t="shared" ca="1" si="38"/>
        <v/>
      </c>
      <c r="O436" s="6">
        <f t="shared" si="39"/>
        <v>-3.4499999999999886</v>
      </c>
      <c r="Q436" s="6">
        <v>4.3499999999999943</v>
      </c>
      <c r="R436" s="9">
        <f t="shared" si="40"/>
        <v>1631.249999999998</v>
      </c>
      <c r="S436" s="7">
        <f t="shared" si="41"/>
        <v>-1781.2500000000109</v>
      </c>
    </row>
    <row r="437" spans="1:19" x14ac:dyDescent="0.25">
      <c r="A437" s="4">
        <f>Sheet1!A437</f>
        <v>39720</v>
      </c>
      <c r="B437" s="5">
        <f>Sheet1!B437</f>
        <v>0.58333333333333337</v>
      </c>
      <c r="C437" s="6">
        <f>Sheet1!C437</f>
        <v>194.15</v>
      </c>
      <c r="D437" s="6">
        <f>Sheet1!D437</f>
        <v>194.15</v>
      </c>
      <c r="E437" s="6">
        <f>Sheet1!E437</f>
        <v>189.45</v>
      </c>
      <c r="F437" s="6">
        <f>Sheet1!F437</f>
        <v>190.4</v>
      </c>
      <c r="H437" s="6">
        <f ca="1">IF(ROW($H437)-1&lt;$I$1,$F437,AVERAGE($F437:OFFSET($F437,(($I$1-1)*-1),0)))</f>
        <v>195.00833333333335</v>
      </c>
      <c r="J437" s="6">
        <f ca="1">IF(ROW($J437)-1&lt;$K$1,$F437,AVERAGE($F437:OFFSET($F437,(($K$1-1)*-1),0)))</f>
        <v>200.10714285714289</v>
      </c>
      <c r="L437" s="7">
        <f t="shared" ca="1" si="36"/>
        <v>-1</v>
      </c>
      <c r="M437" s="7" t="str">
        <f t="shared" ca="1" si="37"/>
        <v/>
      </c>
      <c r="N437" s="6" t="str">
        <f t="shared" ca="1" si="38"/>
        <v/>
      </c>
      <c r="O437" s="6">
        <f t="shared" si="39"/>
        <v>-3.9000000000000057</v>
      </c>
      <c r="Q437" s="6">
        <v>8.25</v>
      </c>
      <c r="R437" s="9">
        <f t="shared" si="40"/>
        <v>3093.75</v>
      </c>
      <c r="S437" s="7">
        <f t="shared" si="41"/>
        <v>-1781.2500000000109</v>
      </c>
    </row>
    <row r="438" spans="1:19" x14ac:dyDescent="0.25">
      <c r="A438" s="4">
        <f>Sheet1!A438</f>
        <v>39721</v>
      </c>
      <c r="B438" s="5">
        <f>Sheet1!B438</f>
        <v>0.58333333333333337</v>
      </c>
      <c r="C438" s="6">
        <f>Sheet1!C438</f>
        <v>189.95</v>
      </c>
      <c r="D438" s="6">
        <f>Sheet1!D438</f>
        <v>191.5</v>
      </c>
      <c r="E438" s="6">
        <f>Sheet1!E438</f>
        <v>188.95</v>
      </c>
      <c r="F438" s="6">
        <f>Sheet1!F438</f>
        <v>190.6</v>
      </c>
      <c r="H438" s="6">
        <f ca="1">IF(ROW($H438)-1&lt;$I$1,$F438,AVERAGE($F438:OFFSET($F438,(($I$1-1)*-1),0)))</f>
        <v>193.98333333333335</v>
      </c>
      <c r="J438" s="6">
        <f ca="1">IF(ROW($J438)-1&lt;$K$1,$F438,AVERAGE($F438:OFFSET($F438,(($K$1-1)*-1),0)))</f>
        <v>199.72321428571431</v>
      </c>
      <c r="L438" s="7">
        <f t="shared" ca="1" si="36"/>
        <v>-1</v>
      </c>
      <c r="M438" s="7" t="str">
        <f t="shared" ca="1" si="37"/>
        <v/>
      </c>
      <c r="N438" s="6" t="str">
        <f t="shared" ca="1" si="38"/>
        <v/>
      </c>
      <c r="O438" s="6">
        <f t="shared" si="39"/>
        <v>0.19999999999998863</v>
      </c>
      <c r="Q438" s="6">
        <v>8.0500000000000114</v>
      </c>
      <c r="R438" s="9">
        <f t="shared" si="40"/>
        <v>3018.7500000000041</v>
      </c>
      <c r="S438" s="7">
        <f t="shared" si="41"/>
        <v>-1781.2500000000109</v>
      </c>
    </row>
    <row r="439" spans="1:19" x14ac:dyDescent="0.25">
      <c r="A439" s="4">
        <f>Sheet1!A439</f>
        <v>39722</v>
      </c>
      <c r="B439" s="5">
        <f>Sheet1!B439</f>
        <v>0.58333333333333337</v>
      </c>
      <c r="C439" s="6">
        <f>Sheet1!C439</f>
        <v>191.25</v>
      </c>
      <c r="D439" s="6">
        <f>Sheet1!D439</f>
        <v>192.05</v>
      </c>
      <c r="E439" s="6">
        <f>Sheet1!E439</f>
        <v>188.6</v>
      </c>
      <c r="F439" s="6">
        <f>Sheet1!F439</f>
        <v>189.25</v>
      </c>
      <c r="H439" s="6">
        <f ca="1">IF(ROW($H439)-1&lt;$I$1,$F439,AVERAGE($F439:OFFSET($F439,(($I$1-1)*-1),0)))</f>
        <v>193.01666666666665</v>
      </c>
      <c r="J439" s="6">
        <f ca="1">IF(ROW($J439)-1&lt;$K$1,$F439,AVERAGE($F439:OFFSET($F439,(($K$1-1)*-1),0)))</f>
        <v>199.20357142857142</v>
      </c>
      <c r="L439" s="7">
        <f t="shared" ca="1" si="36"/>
        <v>-1</v>
      </c>
      <c r="M439" s="7" t="str">
        <f t="shared" ca="1" si="37"/>
        <v/>
      </c>
      <c r="N439" s="6" t="str">
        <f t="shared" ca="1" si="38"/>
        <v/>
      </c>
      <c r="O439" s="6">
        <f t="shared" si="39"/>
        <v>-1.3499999999999943</v>
      </c>
      <c r="Q439" s="6">
        <v>9.4000000000000057</v>
      </c>
      <c r="R439" s="9">
        <f t="shared" si="40"/>
        <v>3525.0000000000023</v>
      </c>
      <c r="S439" s="7">
        <f t="shared" si="41"/>
        <v>-1781.2500000000109</v>
      </c>
    </row>
    <row r="440" spans="1:19" x14ac:dyDescent="0.25">
      <c r="A440" s="4">
        <f>Sheet1!A440</f>
        <v>39723</v>
      </c>
      <c r="B440" s="5">
        <f>Sheet1!B440</f>
        <v>0.58333333333333337</v>
      </c>
      <c r="C440" s="6">
        <f>Sheet1!C440</f>
        <v>189.25</v>
      </c>
      <c r="D440" s="6">
        <f>Sheet1!D440</f>
        <v>189.65</v>
      </c>
      <c r="E440" s="6">
        <f>Sheet1!E440</f>
        <v>184.95</v>
      </c>
      <c r="F440" s="6">
        <f>Sheet1!F440</f>
        <v>185.6</v>
      </c>
      <c r="H440" s="6">
        <f ca="1">IF(ROW($H440)-1&lt;$I$1,$F440,AVERAGE($F440:OFFSET($F440,(($I$1-1)*-1),0)))</f>
        <v>191.31666666666669</v>
      </c>
      <c r="J440" s="6">
        <f ca="1">IF(ROW($J440)-1&lt;$K$1,$F440,AVERAGE($F440:OFFSET($F440,(($K$1-1)*-1),0)))</f>
        <v>198.53392857142859</v>
      </c>
      <c r="L440" s="7">
        <f t="shared" ca="1" si="36"/>
        <v>-1</v>
      </c>
      <c r="M440" s="7" t="str">
        <f t="shared" ca="1" si="37"/>
        <v/>
      </c>
      <c r="N440" s="6" t="str">
        <f t="shared" ca="1" si="38"/>
        <v/>
      </c>
      <c r="O440" s="6">
        <f t="shared" si="39"/>
        <v>-3.6500000000000057</v>
      </c>
      <c r="Q440" s="6">
        <v>13.050000000000011</v>
      </c>
      <c r="R440" s="9">
        <f t="shared" si="40"/>
        <v>4893.7500000000045</v>
      </c>
      <c r="S440" s="7">
        <f t="shared" si="41"/>
        <v>-1781.2500000000109</v>
      </c>
    </row>
    <row r="441" spans="1:19" x14ac:dyDescent="0.25">
      <c r="A441" s="4">
        <f>Sheet1!A441</f>
        <v>39724</v>
      </c>
      <c r="B441" s="5">
        <f>Sheet1!B441</f>
        <v>0.58333333333333337</v>
      </c>
      <c r="C441" s="6">
        <f>Sheet1!C441</f>
        <v>185.3</v>
      </c>
      <c r="D441" s="6">
        <f>Sheet1!D441</f>
        <v>186</v>
      </c>
      <c r="E441" s="6">
        <f>Sheet1!E441</f>
        <v>181.75</v>
      </c>
      <c r="F441" s="6">
        <f>Sheet1!F441</f>
        <v>182.2</v>
      </c>
      <c r="H441" s="6">
        <f ca="1">IF(ROW($H441)-1&lt;$I$1,$F441,AVERAGE($F441:OFFSET($F441,(($I$1-1)*-1),0)))</f>
        <v>188.72500000000002</v>
      </c>
      <c r="J441" s="6">
        <f ca="1">IF(ROW($J441)-1&lt;$K$1,$F441,AVERAGE($F441:OFFSET($F441,(($K$1-1)*-1),0)))</f>
        <v>197.77500000000001</v>
      </c>
      <c r="L441" s="7">
        <f t="shared" ca="1" si="36"/>
        <v>-1</v>
      </c>
      <c r="M441" s="7" t="str">
        <f t="shared" ca="1" si="37"/>
        <v/>
      </c>
      <c r="N441" s="6" t="str">
        <f t="shared" ca="1" si="38"/>
        <v/>
      </c>
      <c r="O441" s="6">
        <f t="shared" si="39"/>
        <v>-3.4000000000000057</v>
      </c>
      <c r="Q441" s="6">
        <v>16.450000000000017</v>
      </c>
      <c r="R441" s="9">
        <f t="shared" si="40"/>
        <v>6168.7500000000064</v>
      </c>
      <c r="S441" s="7">
        <f t="shared" si="41"/>
        <v>-1781.2500000000109</v>
      </c>
    </row>
    <row r="442" spans="1:19" x14ac:dyDescent="0.25">
      <c r="A442" s="4">
        <f>Sheet1!A442</f>
        <v>39727</v>
      </c>
      <c r="B442" s="5">
        <f>Sheet1!B442</f>
        <v>0.58333333333333337</v>
      </c>
      <c r="C442" s="6">
        <f>Sheet1!C442</f>
        <v>181.05</v>
      </c>
      <c r="D442" s="6">
        <f>Sheet1!D442</f>
        <v>182.2</v>
      </c>
      <c r="E442" s="6">
        <f>Sheet1!E442</f>
        <v>173.1</v>
      </c>
      <c r="F442" s="6">
        <f>Sheet1!F442</f>
        <v>174.65</v>
      </c>
      <c r="H442" s="6">
        <f ca="1">IF(ROW($H442)-1&lt;$I$1,$F442,AVERAGE($F442:OFFSET($F442,(($I$1-1)*-1),0)))</f>
        <v>185.45000000000002</v>
      </c>
      <c r="J442" s="6">
        <f ca="1">IF(ROW($J442)-1&lt;$K$1,$F442,AVERAGE($F442:OFFSET($F442,(($K$1-1)*-1),0)))</f>
        <v>196.58035714285714</v>
      </c>
      <c r="L442" s="7">
        <f t="shared" ca="1" si="36"/>
        <v>-1</v>
      </c>
      <c r="M442" s="7" t="str">
        <f t="shared" ca="1" si="37"/>
        <v/>
      </c>
      <c r="N442" s="6" t="str">
        <f t="shared" ca="1" si="38"/>
        <v/>
      </c>
      <c r="O442" s="6">
        <f t="shared" si="39"/>
        <v>-7.5499999999999829</v>
      </c>
      <c r="Q442" s="6">
        <v>24</v>
      </c>
      <c r="R442" s="9">
        <f t="shared" si="40"/>
        <v>9000</v>
      </c>
      <c r="S442" s="7">
        <f t="shared" si="41"/>
        <v>-1781.2500000000109</v>
      </c>
    </row>
    <row r="443" spans="1:19" x14ac:dyDescent="0.25">
      <c r="A443" s="4">
        <f>Sheet1!A443</f>
        <v>39728</v>
      </c>
      <c r="B443" s="5">
        <f>Sheet1!B443</f>
        <v>0.58333333333333337</v>
      </c>
      <c r="C443" s="6">
        <f>Sheet1!C443</f>
        <v>174.65</v>
      </c>
      <c r="D443" s="6">
        <f>Sheet1!D443</f>
        <v>176.45</v>
      </c>
      <c r="E443" s="6">
        <f>Sheet1!E443</f>
        <v>174.15</v>
      </c>
      <c r="F443" s="6">
        <f>Sheet1!F443</f>
        <v>174.35</v>
      </c>
      <c r="H443" s="6">
        <f ca="1">IF(ROW($H443)-1&lt;$I$1,$F443,AVERAGE($F443:OFFSET($F443,(($I$1-1)*-1),0)))</f>
        <v>182.77500000000001</v>
      </c>
      <c r="J443" s="6">
        <f ca="1">IF(ROW($J443)-1&lt;$K$1,$F443,AVERAGE($F443:OFFSET($F443,(($K$1-1)*-1),0)))</f>
        <v>195.36964285714288</v>
      </c>
      <c r="L443" s="7">
        <f t="shared" ca="1" si="36"/>
        <v>-1</v>
      </c>
      <c r="M443" s="7" t="str">
        <f t="shared" ca="1" si="37"/>
        <v/>
      </c>
      <c r="N443" s="6" t="str">
        <f t="shared" ca="1" si="38"/>
        <v/>
      </c>
      <c r="O443" s="6">
        <f t="shared" si="39"/>
        <v>-0.30000000000001137</v>
      </c>
      <c r="Q443" s="6">
        <v>24.300000000000011</v>
      </c>
      <c r="R443" s="9">
        <f t="shared" si="40"/>
        <v>9112.5000000000036</v>
      </c>
      <c r="S443" s="7">
        <f t="shared" si="41"/>
        <v>-1781.2500000000109</v>
      </c>
    </row>
    <row r="444" spans="1:19" x14ac:dyDescent="0.25">
      <c r="A444" s="4">
        <f>Sheet1!A444</f>
        <v>39729</v>
      </c>
      <c r="B444" s="5">
        <f>Sheet1!B444</f>
        <v>0.58333333333333337</v>
      </c>
      <c r="C444" s="6">
        <f>Sheet1!C444</f>
        <v>174.15</v>
      </c>
      <c r="D444" s="6">
        <f>Sheet1!D444</f>
        <v>176.15</v>
      </c>
      <c r="E444" s="6">
        <f>Sheet1!E444</f>
        <v>169.5</v>
      </c>
      <c r="F444" s="6">
        <f>Sheet1!F444</f>
        <v>174.7</v>
      </c>
      <c r="H444" s="6">
        <f ca="1">IF(ROW($H444)-1&lt;$I$1,$F444,AVERAGE($F444:OFFSET($F444,(($I$1-1)*-1),0)))</f>
        <v>180.125</v>
      </c>
      <c r="J444" s="6">
        <f ca="1">IF(ROW($J444)-1&lt;$K$1,$F444,AVERAGE($F444:OFFSET($F444,(($K$1-1)*-1),0)))</f>
        <v>194.18214285714291</v>
      </c>
      <c r="L444" s="7">
        <f t="shared" ca="1" si="36"/>
        <v>-1</v>
      </c>
      <c r="M444" s="7" t="str">
        <f t="shared" ca="1" si="37"/>
        <v/>
      </c>
      <c r="N444" s="6" t="str">
        <f t="shared" ca="1" si="38"/>
        <v/>
      </c>
      <c r="O444" s="6">
        <f t="shared" si="39"/>
        <v>0.34999999999999432</v>
      </c>
      <c r="Q444" s="6">
        <v>23.950000000000017</v>
      </c>
      <c r="R444" s="9">
        <f t="shared" si="40"/>
        <v>8981.2500000000073</v>
      </c>
      <c r="S444" s="7">
        <f t="shared" si="41"/>
        <v>-1781.2500000000109</v>
      </c>
    </row>
    <row r="445" spans="1:19" x14ac:dyDescent="0.25">
      <c r="A445" s="4">
        <f>Sheet1!A445</f>
        <v>39730</v>
      </c>
      <c r="B445" s="5">
        <f>Sheet1!B445</f>
        <v>0.58333333333333337</v>
      </c>
      <c r="C445" s="6">
        <f>Sheet1!C445</f>
        <v>174.7</v>
      </c>
      <c r="D445" s="6">
        <f>Sheet1!D445</f>
        <v>176.6</v>
      </c>
      <c r="E445" s="6">
        <f>Sheet1!E445</f>
        <v>174.65</v>
      </c>
      <c r="F445" s="6">
        <f>Sheet1!F445</f>
        <v>174.8</v>
      </c>
      <c r="H445" s="6">
        <f ca="1">IF(ROW($H445)-1&lt;$I$1,$F445,AVERAGE($F445:OFFSET($F445,(($I$1-1)*-1),0)))</f>
        <v>177.71666666666667</v>
      </c>
      <c r="J445" s="6">
        <f ca="1">IF(ROW($J445)-1&lt;$K$1,$F445,AVERAGE($F445:OFFSET($F445,(($K$1-1)*-1),0)))</f>
        <v>193.07142857142861</v>
      </c>
      <c r="L445" s="7">
        <f t="shared" ca="1" si="36"/>
        <v>-1</v>
      </c>
      <c r="M445" s="7" t="str">
        <f t="shared" ca="1" si="37"/>
        <v/>
      </c>
      <c r="N445" s="6" t="str">
        <f t="shared" ca="1" si="38"/>
        <v/>
      </c>
      <c r="O445" s="6">
        <f t="shared" si="39"/>
        <v>0.10000000000002274</v>
      </c>
      <c r="Q445" s="6">
        <v>23.849999999999994</v>
      </c>
      <c r="R445" s="9">
        <f t="shared" si="40"/>
        <v>8943.7499999999982</v>
      </c>
      <c r="S445" s="7">
        <f t="shared" si="41"/>
        <v>-1781.2500000000109</v>
      </c>
    </row>
    <row r="446" spans="1:19" x14ac:dyDescent="0.25">
      <c r="A446" s="4">
        <f>Sheet1!A446</f>
        <v>39731</v>
      </c>
      <c r="B446" s="5">
        <f>Sheet1!B446</f>
        <v>0.58333333333333337</v>
      </c>
      <c r="C446" s="6">
        <f>Sheet1!C446</f>
        <v>173.55</v>
      </c>
      <c r="D446" s="6">
        <f>Sheet1!D446</f>
        <v>177.05</v>
      </c>
      <c r="E446" s="6">
        <f>Sheet1!E446</f>
        <v>170.45</v>
      </c>
      <c r="F446" s="6">
        <f>Sheet1!F446</f>
        <v>175.5</v>
      </c>
      <c r="H446" s="6">
        <f ca="1">IF(ROW($H446)-1&lt;$I$1,$F446,AVERAGE($F446:OFFSET($F446,(($I$1-1)*-1),0)))</f>
        <v>176.03333333333333</v>
      </c>
      <c r="J446" s="6">
        <f ca="1">IF(ROW($J446)-1&lt;$K$1,$F446,AVERAGE($F446:OFFSET($F446,(($K$1-1)*-1),0)))</f>
        <v>192.03214285714287</v>
      </c>
      <c r="L446" s="7">
        <f t="shared" ca="1" si="36"/>
        <v>-1</v>
      </c>
      <c r="M446" s="7" t="str">
        <f t="shared" ca="1" si="37"/>
        <v/>
      </c>
      <c r="N446" s="6" t="str">
        <f t="shared" ca="1" si="38"/>
        <v/>
      </c>
      <c r="O446" s="6">
        <f t="shared" si="39"/>
        <v>0.69999999999998863</v>
      </c>
      <c r="Q446" s="6">
        <v>23.150000000000006</v>
      </c>
      <c r="R446" s="9">
        <f t="shared" si="40"/>
        <v>8681.2500000000018</v>
      </c>
      <c r="S446" s="7">
        <f t="shared" si="41"/>
        <v>-1781.2500000000109</v>
      </c>
    </row>
    <row r="447" spans="1:19" x14ac:dyDescent="0.25">
      <c r="A447" s="4">
        <f>Sheet1!A447</f>
        <v>39734</v>
      </c>
      <c r="B447" s="5">
        <f>Sheet1!B447</f>
        <v>0.58333333333333337</v>
      </c>
      <c r="C447" s="6">
        <f>Sheet1!C447</f>
        <v>176.5</v>
      </c>
      <c r="D447" s="6">
        <f>Sheet1!D447</f>
        <v>180.5</v>
      </c>
      <c r="E447" s="6">
        <f>Sheet1!E447</f>
        <v>176.2</v>
      </c>
      <c r="F447" s="6">
        <f>Sheet1!F447</f>
        <v>177.8</v>
      </c>
      <c r="H447" s="6">
        <f ca="1">IF(ROW($H447)-1&lt;$I$1,$F447,AVERAGE($F447:OFFSET($F447,(($I$1-1)*-1),0)))</f>
        <v>175.29999999999998</v>
      </c>
      <c r="J447" s="6">
        <f ca="1">IF(ROW($J447)-1&lt;$K$1,$F447,AVERAGE($F447:OFFSET($F447,(($K$1-1)*-1),0)))</f>
        <v>191.11250000000001</v>
      </c>
      <c r="L447" s="7">
        <f t="shared" ca="1" si="36"/>
        <v>-1</v>
      </c>
      <c r="M447" s="7" t="str">
        <f t="shared" ca="1" si="37"/>
        <v/>
      </c>
      <c r="N447" s="6" t="str">
        <f t="shared" ca="1" si="38"/>
        <v/>
      </c>
      <c r="O447" s="6">
        <f t="shared" si="39"/>
        <v>2.3000000000000114</v>
      </c>
      <c r="Q447" s="6">
        <v>20.849999999999994</v>
      </c>
      <c r="R447" s="9">
        <f t="shared" si="40"/>
        <v>7818.7499999999982</v>
      </c>
      <c r="S447" s="7">
        <f t="shared" si="41"/>
        <v>-1781.2500000000109</v>
      </c>
    </row>
    <row r="448" spans="1:19" x14ac:dyDescent="0.25">
      <c r="A448" s="4">
        <f>Sheet1!A448</f>
        <v>39735</v>
      </c>
      <c r="B448" s="5">
        <f>Sheet1!B448</f>
        <v>0.58333333333333337</v>
      </c>
      <c r="C448" s="6">
        <f>Sheet1!C448</f>
        <v>179.1</v>
      </c>
      <c r="D448" s="6">
        <f>Sheet1!D448</f>
        <v>181.25</v>
      </c>
      <c r="E448" s="6">
        <f>Sheet1!E448</f>
        <v>178.5</v>
      </c>
      <c r="F448" s="6">
        <f>Sheet1!F448</f>
        <v>179.1</v>
      </c>
      <c r="H448" s="6">
        <f ca="1">IF(ROW($H448)-1&lt;$I$1,$F448,AVERAGE($F448:OFFSET($F448,(($I$1-1)*-1),0)))</f>
        <v>176.04166666666663</v>
      </c>
      <c r="J448" s="6">
        <f ca="1">IF(ROW($J448)-1&lt;$K$1,$F448,AVERAGE($F448:OFFSET($F448,(($K$1-1)*-1),0)))</f>
        <v>190.11964285714291</v>
      </c>
      <c r="L448" s="7">
        <f t="shared" ca="1" si="36"/>
        <v>-1</v>
      </c>
      <c r="M448" s="7" t="str">
        <f t="shared" ca="1" si="37"/>
        <v/>
      </c>
      <c r="N448" s="6" t="str">
        <f t="shared" ca="1" si="38"/>
        <v/>
      </c>
      <c r="O448" s="6">
        <f t="shared" si="39"/>
        <v>1.2999999999999829</v>
      </c>
      <c r="Q448" s="6">
        <v>19.550000000000011</v>
      </c>
      <c r="R448" s="9">
        <f t="shared" si="40"/>
        <v>7331.2500000000045</v>
      </c>
      <c r="S448" s="7">
        <f t="shared" si="41"/>
        <v>-1781.2500000000109</v>
      </c>
    </row>
    <row r="449" spans="1:19" x14ac:dyDescent="0.25">
      <c r="A449" s="4">
        <f>Sheet1!A449</f>
        <v>39736</v>
      </c>
      <c r="B449" s="5">
        <f>Sheet1!B449</f>
        <v>0.58333333333333337</v>
      </c>
      <c r="C449" s="6">
        <f>Sheet1!C449</f>
        <v>178.9</v>
      </c>
      <c r="D449" s="6">
        <f>Sheet1!D449</f>
        <v>178.9</v>
      </c>
      <c r="E449" s="6">
        <f>Sheet1!E449</f>
        <v>172.35</v>
      </c>
      <c r="F449" s="6">
        <f>Sheet1!F449</f>
        <v>173.4</v>
      </c>
      <c r="H449" s="6">
        <f ca="1">IF(ROW($H449)-1&lt;$I$1,$F449,AVERAGE($F449:OFFSET($F449,(($I$1-1)*-1),0)))</f>
        <v>175.88333333333333</v>
      </c>
      <c r="J449" s="6">
        <f ca="1">IF(ROW($J449)-1&lt;$K$1,$F449,AVERAGE($F449:OFFSET($F449,(($K$1-1)*-1),0)))</f>
        <v>189.0696428571429</v>
      </c>
      <c r="L449" s="7">
        <f t="shared" ca="1" si="36"/>
        <v>-1</v>
      </c>
      <c r="M449" s="7" t="str">
        <f t="shared" ca="1" si="37"/>
        <v/>
      </c>
      <c r="N449" s="6" t="str">
        <f t="shared" ca="1" si="38"/>
        <v/>
      </c>
      <c r="O449" s="6">
        <f t="shared" si="39"/>
        <v>-5.6999999999999886</v>
      </c>
      <c r="Q449" s="6">
        <v>25.25</v>
      </c>
      <c r="R449" s="9">
        <f t="shared" si="40"/>
        <v>9468.75</v>
      </c>
      <c r="S449" s="7">
        <f t="shared" si="41"/>
        <v>-1781.2500000000109</v>
      </c>
    </row>
    <row r="450" spans="1:19" x14ac:dyDescent="0.25">
      <c r="A450" s="4">
        <f>Sheet1!A450</f>
        <v>39737</v>
      </c>
      <c r="B450" s="5">
        <f>Sheet1!B450</f>
        <v>0.58333333333333337</v>
      </c>
      <c r="C450" s="6">
        <f>Sheet1!C450</f>
        <v>172.15</v>
      </c>
      <c r="D450" s="6">
        <f>Sheet1!D450</f>
        <v>175.7</v>
      </c>
      <c r="E450" s="6">
        <f>Sheet1!E450</f>
        <v>171.6</v>
      </c>
      <c r="F450" s="6">
        <f>Sheet1!F450</f>
        <v>173.1</v>
      </c>
      <c r="H450" s="6">
        <f ca="1">IF(ROW($H450)-1&lt;$I$1,$F450,AVERAGE($F450:OFFSET($F450,(($I$1-1)*-1),0)))</f>
        <v>175.61666666666667</v>
      </c>
      <c r="J450" s="6">
        <f ca="1">IF(ROW($J450)-1&lt;$K$1,$F450,AVERAGE($F450:OFFSET($F450,(($K$1-1)*-1),0)))</f>
        <v>187.99642857142859</v>
      </c>
      <c r="L450" s="7">
        <f t="shared" ca="1" si="36"/>
        <v>-1</v>
      </c>
      <c r="M450" s="7" t="str">
        <f t="shared" ca="1" si="37"/>
        <v/>
      </c>
      <c r="N450" s="6" t="str">
        <f t="shared" ca="1" si="38"/>
        <v/>
      </c>
      <c r="O450" s="6">
        <f t="shared" si="39"/>
        <v>-0.30000000000001137</v>
      </c>
      <c r="Q450" s="6">
        <v>25.550000000000011</v>
      </c>
      <c r="R450" s="9">
        <f t="shared" si="40"/>
        <v>9581.2500000000036</v>
      </c>
      <c r="S450" s="7">
        <f t="shared" si="41"/>
        <v>-1781.2500000000109</v>
      </c>
    </row>
    <row r="451" spans="1:19" x14ac:dyDescent="0.25">
      <c r="A451" s="4">
        <f>Sheet1!A451</f>
        <v>39738</v>
      </c>
      <c r="B451" s="5">
        <f>Sheet1!B451</f>
        <v>0.58333333333333337</v>
      </c>
      <c r="C451" s="6">
        <f>Sheet1!C451</f>
        <v>174.35</v>
      </c>
      <c r="D451" s="6">
        <f>Sheet1!D451</f>
        <v>176.5</v>
      </c>
      <c r="E451" s="6">
        <f>Sheet1!E451</f>
        <v>173.7</v>
      </c>
      <c r="F451" s="6">
        <f>Sheet1!F451</f>
        <v>175.75</v>
      </c>
      <c r="H451" s="6">
        <f ca="1">IF(ROW($H451)-1&lt;$I$1,$F451,AVERAGE($F451:OFFSET($F451,(($I$1-1)*-1),0)))</f>
        <v>175.77500000000001</v>
      </c>
      <c r="J451" s="6">
        <f ca="1">IF(ROW($J451)-1&lt;$K$1,$F451,AVERAGE($F451:OFFSET($F451,(($K$1-1)*-1),0)))</f>
        <v>187.12142857142857</v>
      </c>
      <c r="L451" s="7">
        <f t="shared" ref="L451:L514" ca="1" si="42">IF(ROW($L451)&gt;($K$1),IF($H451&gt;$J451,1,IF($H451&lt;$J451,-1,$L450*-1)),0)</f>
        <v>-1</v>
      </c>
      <c r="M451" s="7" t="str">
        <f t="shared" ca="1" si="37"/>
        <v/>
      </c>
      <c r="N451" s="6" t="str">
        <f t="shared" ca="1" si="38"/>
        <v/>
      </c>
      <c r="O451" s="6">
        <f t="shared" si="39"/>
        <v>2.6500000000000057</v>
      </c>
      <c r="Q451" s="6">
        <v>22.900000000000006</v>
      </c>
      <c r="R451" s="9">
        <f t="shared" si="40"/>
        <v>8587.5000000000018</v>
      </c>
      <c r="S451" s="7">
        <f t="shared" si="41"/>
        <v>-1781.2500000000109</v>
      </c>
    </row>
    <row r="452" spans="1:19" x14ac:dyDescent="0.25">
      <c r="A452" s="4">
        <f>Sheet1!A452</f>
        <v>39741</v>
      </c>
      <c r="B452" s="5">
        <f>Sheet1!B452</f>
        <v>0.58333333333333337</v>
      </c>
      <c r="C452" s="6">
        <f>Sheet1!C452</f>
        <v>177.15</v>
      </c>
      <c r="D452" s="6">
        <f>Sheet1!D452</f>
        <v>177.5</v>
      </c>
      <c r="E452" s="6">
        <f>Sheet1!E452</f>
        <v>174.45</v>
      </c>
      <c r="F452" s="6">
        <f>Sheet1!F452</f>
        <v>174.65</v>
      </c>
      <c r="H452" s="6">
        <f ca="1">IF(ROW($H452)-1&lt;$I$1,$F452,AVERAGE($F452:OFFSET($F452,(($I$1-1)*-1),0)))</f>
        <v>175.63333333333333</v>
      </c>
      <c r="J452" s="6">
        <f ca="1">IF(ROW($J452)-1&lt;$K$1,$F452,AVERAGE($F452:OFFSET($F452,(($K$1-1)*-1),0)))</f>
        <v>186.18214285714285</v>
      </c>
      <c r="L452" s="7">
        <f t="shared" ca="1" si="42"/>
        <v>-1</v>
      </c>
      <c r="M452" s="7" t="str">
        <f t="shared" ref="M452:M515" ca="1" si="43">IF(L452&lt;&gt;L451,L452,"")</f>
        <v/>
      </c>
      <c r="N452" s="6" t="str">
        <f t="shared" ref="N452:N515" ca="1" si="44">IF(M451&lt;&gt;"",C452,"")</f>
        <v/>
      </c>
      <c r="O452" s="6">
        <f t="shared" ref="O452:O515" si="45">F452-F451</f>
        <v>-1.0999999999999943</v>
      </c>
      <c r="Q452" s="6">
        <v>24</v>
      </c>
      <c r="R452" s="9">
        <f t="shared" ref="R452:R515" si="46">IF(Q452="","",Q452*375)</f>
        <v>9000</v>
      </c>
      <c r="S452" s="7">
        <f t="shared" si="41"/>
        <v>-1781.2500000000109</v>
      </c>
    </row>
    <row r="453" spans="1:19" x14ac:dyDescent="0.25">
      <c r="A453" s="4">
        <f>Sheet1!A453</f>
        <v>39742</v>
      </c>
      <c r="B453" s="5">
        <f>Sheet1!B453</f>
        <v>0.58333333333333337</v>
      </c>
      <c r="C453" s="6">
        <f>Sheet1!C453</f>
        <v>175.55</v>
      </c>
      <c r="D453" s="6">
        <f>Sheet1!D453</f>
        <v>176.65</v>
      </c>
      <c r="E453" s="6">
        <f>Sheet1!E453</f>
        <v>173.6</v>
      </c>
      <c r="F453" s="6">
        <f>Sheet1!F453</f>
        <v>174.4</v>
      </c>
      <c r="H453" s="6">
        <f ca="1">IF(ROW($H453)-1&lt;$I$1,$F453,AVERAGE($F453:OFFSET($F453,(($I$1-1)*-1),0)))</f>
        <v>175.06666666666669</v>
      </c>
      <c r="J453" s="6">
        <f ca="1">IF(ROW($J453)-1&lt;$K$1,$F453,AVERAGE($F453:OFFSET($F453,(($K$1-1)*-1),0)))</f>
        <v>185.31785714285712</v>
      </c>
      <c r="L453" s="7">
        <f t="shared" ca="1" si="42"/>
        <v>-1</v>
      </c>
      <c r="M453" s="7" t="str">
        <f t="shared" ca="1" si="43"/>
        <v/>
      </c>
      <c r="N453" s="6" t="str">
        <f t="shared" ca="1" si="44"/>
        <v/>
      </c>
      <c r="O453" s="6">
        <f t="shared" si="45"/>
        <v>-0.25</v>
      </c>
      <c r="Q453" s="6">
        <v>24.25</v>
      </c>
      <c r="R453" s="9">
        <f t="shared" si="46"/>
        <v>9093.75</v>
      </c>
      <c r="S453" s="7">
        <f t="shared" si="41"/>
        <v>-1781.2500000000109</v>
      </c>
    </row>
    <row r="454" spans="1:19" x14ac:dyDescent="0.25">
      <c r="A454" s="4">
        <f>Sheet1!A454</f>
        <v>39743</v>
      </c>
      <c r="B454" s="5">
        <f>Sheet1!B454</f>
        <v>0.58333333333333337</v>
      </c>
      <c r="C454" s="6">
        <f>Sheet1!C454</f>
        <v>174.2</v>
      </c>
      <c r="D454" s="6">
        <f>Sheet1!D454</f>
        <v>174.35</v>
      </c>
      <c r="E454" s="6">
        <f>Sheet1!E454</f>
        <v>172.3</v>
      </c>
      <c r="F454" s="6">
        <f>Sheet1!F454</f>
        <v>172.75</v>
      </c>
      <c r="H454" s="6">
        <f ca="1">IF(ROW($H454)-1&lt;$I$1,$F454,AVERAGE($F454:OFFSET($F454,(($I$1-1)*-1),0)))</f>
        <v>174.00833333333333</v>
      </c>
      <c r="J454" s="6">
        <f ca="1">IF(ROW($J454)-1&lt;$K$1,$F454,AVERAGE($F454:OFFSET($F454,(($K$1-1)*-1),0)))</f>
        <v>184.3678571428571</v>
      </c>
      <c r="L454" s="7">
        <f t="shared" ca="1" si="42"/>
        <v>-1</v>
      </c>
      <c r="M454" s="7" t="str">
        <f t="shared" ca="1" si="43"/>
        <v/>
      </c>
      <c r="N454" s="6" t="str">
        <f t="shared" ca="1" si="44"/>
        <v/>
      </c>
      <c r="O454" s="6">
        <f t="shared" si="45"/>
        <v>-1.6500000000000057</v>
      </c>
      <c r="Q454" s="6">
        <v>25.900000000000006</v>
      </c>
      <c r="R454" s="9">
        <f t="shared" si="46"/>
        <v>9712.5000000000018</v>
      </c>
      <c r="S454" s="7">
        <f t="shared" si="41"/>
        <v>-1781.2500000000109</v>
      </c>
    </row>
    <row r="455" spans="1:19" x14ac:dyDescent="0.25">
      <c r="A455" s="4">
        <f>Sheet1!A455</f>
        <v>39744</v>
      </c>
      <c r="B455" s="5">
        <f>Sheet1!B455</f>
        <v>0.58333333333333337</v>
      </c>
      <c r="C455" s="6">
        <f>Sheet1!C455</f>
        <v>172.25</v>
      </c>
      <c r="D455" s="6">
        <f>Sheet1!D455</f>
        <v>173</v>
      </c>
      <c r="E455" s="6">
        <f>Sheet1!E455</f>
        <v>169.9</v>
      </c>
      <c r="F455" s="6">
        <f>Sheet1!F455</f>
        <v>170.25</v>
      </c>
      <c r="H455" s="6">
        <f ca="1">IF(ROW($H455)-1&lt;$I$1,$F455,AVERAGE($F455:OFFSET($F455,(($I$1-1)*-1),0)))</f>
        <v>173.48333333333335</v>
      </c>
      <c r="J455" s="6">
        <f ca="1">IF(ROW($J455)-1&lt;$K$1,$F455,AVERAGE($F455:OFFSET($F455,(($K$1-1)*-1),0)))</f>
        <v>183.33392857142854</v>
      </c>
      <c r="L455" s="7">
        <f t="shared" ca="1" si="42"/>
        <v>-1</v>
      </c>
      <c r="M455" s="7" t="str">
        <f t="shared" ca="1" si="43"/>
        <v/>
      </c>
      <c r="N455" s="6" t="str">
        <f t="shared" ca="1" si="44"/>
        <v/>
      </c>
      <c r="O455" s="6">
        <f t="shared" si="45"/>
        <v>-2.5</v>
      </c>
      <c r="Q455" s="6">
        <v>28.400000000000006</v>
      </c>
      <c r="R455" s="9">
        <f t="shared" si="46"/>
        <v>10650.000000000002</v>
      </c>
      <c r="S455" s="7">
        <f t="shared" si="41"/>
        <v>-1781.2500000000109</v>
      </c>
    </row>
    <row r="456" spans="1:19" x14ac:dyDescent="0.25">
      <c r="A456" s="4">
        <f>Sheet1!A456</f>
        <v>39745</v>
      </c>
      <c r="B456" s="5">
        <f>Sheet1!B456</f>
        <v>0.58333333333333337</v>
      </c>
      <c r="C456" s="6">
        <f>Sheet1!C456</f>
        <v>170.25</v>
      </c>
      <c r="D456" s="6">
        <f>Sheet1!D456</f>
        <v>172.1</v>
      </c>
      <c r="E456" s="6">
        <f>Sheet1!E456</f>
        <v>166.45</v>
      </c>
      <c r="F456" s="6">
        <f>Sheet1!F456</f>
        <v>168.8</v>
      </c>
      <c r="H456" s="6">
        <f ca="1">IF(ROW($H456)-1&lt;$I$1,$F456,AVERAGE($F456:OFFSET($F456,(($I$1-1)*-1),0)))</f>
        <v>172.76666666666665</v>
      </c>
      <c r="J456" s="6">
        <f ca="1">IF(ROW($J456)-1&lt;$K$1,$F456,AVERAGE($F456:OFFSET($F456,(($K$1-1)*-1),0)))</f>
        <v>182.45</v>
      </c>
      <c r="L456" s="7">
        <f t="shared" ca="1" si="42"/>
        <v>-1</v>
      </c>
      <c r="M456" s="7" t="str">
        <f t="shared" ca="1" si="43"/>
        <v/>
      </c>
      <c r="N456" s="6" t="str">
        <f t="shared" ca="1" si="44"/>
        <v/>
      </c>
      <c r="O456" s="6">
        <f t="shared" si="45"/>
        <v>-1.4499999999999886</v>
      </c>
      <c r="Q456" s="6">
        <v>29.849999999999994</v>
      </c>
      <c r="R456" s="9">
        <f t="shared" si="46"/>
        <v>11193.749999999998</v>
      </c>
      <c r="S456" s="7">
        <f t="shared" si="41"/>
        <v>-1781.2500000000109</v>
      </c>
    </row>
    <row r="457" spans="1:19" x14ac:dyDescent="0.25">
      <c r="A457" s="4">
        <f>Sheet1!A457</f>
        <v>39748</v>
      </c>
      <c r="B457" s="5">
        <f>Sheet1!B457</f>
        <v>0.58333333333333337</v>
      </c>
      <c r="C457" s="6">
        <f>Sheet1!C457</f>
        <v>168.2</v>
      </c>
      <c r="D457" s="6">
        <f>Sheet1!D457</f>
        <v>168.65</v>
      </c>
      <c r="E457" s="6">
        <f>Sheet1!E457</f>
        <v>165.2</v>
      </c>
      <c r="F457" s="6">
        <f>Sheet1!F457</f>
        <v>167.9</v>
      </c>
      <c r="H457" s="6">
        <f ca="1">IF(ROW($H457)-1&lt;$I$1,$F457,AVERAGE($F457:OFFSET($F457,(($I$1-1)*-1),0)))</f>
        <v>171.45833333333334</v>
      </c>
      <c r="J457" s="6">
        <f ca="1">IF(ROW($J457)-1&lt;$K$1,$F457,AVERAGE($F457:OFFSET($F457,(($K$1-1)*-1),0)))</f>
        <v>181.55178571428567</v>
      </c>
      <c r="L457" s="7">
        <f t="shared" ca="1" si="42"/>
        <v>-1</v>
      </c>
      <c r="M457" s="7" t="str">
        <f t="shared" ca="1" si="43"/>
        <v/>
      </c>
      <c r="N457" s="6" t="str">
        <f t="shared" ca="1" si="44"/>
        <v/>
      </c>
      <c r="O457" s="6">
        <f t="shared" si="45"/>
        <v>-0.90000000000000568</v>
      </c>
      <c r="Q457" s="6">
        <v>30.75</v>
      </c>
      <c r="R457" s="9">
        <f t="shared" si="46"/>
        <v>11531.25</v>
      </c>
      <c r="S457" s="7">
        <f t="shared" si="41"/>
        <v>-1781.2500000000109</v>
      </c>
    </row>
    <row r="458" spans="1:19" x14ac:dyDescent="0.25">
      <c r="A458" s="4">
        <f>Sheet1!A458</f>
        <v>39749</v>
      </c>
      <c r="B458" s="5">
        <f>Sheet1!B458</f>
        <v>0.58333333333333337</v>
      </c>
      <c r="C458" s="6">
        <f>Sheet1!C458</f>
        <v>169.1</v>
      </c>
      <c r="D458" s="6">
        <f>Sheet1!D458</f>
        <v>171.05</v>
      </c>
      <c r="E458" s="6">
        <f>Sheet1!E458</f>
        <v>167.15</v>
      </c>
      <c r="F458" s="6">
        <f>Sheet1!F458</f>
        <v>167.85</v>
      </c>
      <c r="H458" s="6">
        <f ca="1">IF(ROW($H458)-1&lt;$I$1,$F458,AVERAGE($F458:OFFSET($F458,(($I$1-1)*-1),0)))</f>
        <v>170.32500000000002</v>
      </c>
      <c r="J458" s="6">
        <f ca="1">IF(ROW($J458)-1&lt;$K$1,$F458,AVERAGE($F458:OFFSET($F458,(($K$1-1)*-1),0)))</f>
        <v>180.7392857142857</v>
      </c>
      <c r="L458" s="7">
        <f t="shared" ca="1" si="42"/>
        <v>-1</v>
      </c>
      <c r="M458" s="7" t="str">
        <f t="shared" ca="1" si="43"/>
        <v/>
      </c>
      <c r="N458" s="6" t="str">
        <f t="shared" ca="1" si="44"/>
        <v/>
      </c>
      <c r="O458" s="6">
        <f t="shared" si="45"/>
        <v>-5.0000000000011369E-2</v>
      </c>
      <c r="Q458" s="6">
        <v>30.800000000000011</v>
      </c>
      <c r="R458" s="9">
        <f t="shared" si="46"/>
        <v>11550.000000000004</v>
      </c>
      <c r="S458" s="7">
        <f t="shared" si="41"/>
        <v>-1781.2500000000109</v>
      </c>
    </row>
    <row r="459" spans="1:19" x14ac:dyDescent="0.25">
      <c r="A459" s="4">
        <f>Sheet1!A459</f>
        <v>39750</v>
      </c>
      <c r="B459" s="5">
        <f>Sheet1!B459</f>
        <v>0.58333333333333337</v>
      </c>
      <c r="C459" s="6">
        <f>Sheet1!C459</f>
        <v>169.4</v>
      </c>
      <c r="D459" s="6">
        <f>Sheet1!D459</f>
        <v>174.3</v>
      </c>
      <c r="E459" s="6">
        <f>Sheet1!E459</f>
        <v>169.4</v>
      </c>
      <c r="F459" s="6">
        <f>Sheet1!F459</f>
        <v>172.35</v>
      </c>
      <c r="H459" s="6">
        <f ca="1">IF(ROW($H459)-1&lt;$I$1,$F459,AVERAGE($F459:OFFSET($F459,(($I$1-1)*-1),0)))</f>
        <v>169.98333333333335</v>
      </c>
      <c r="J459" s="6">
        <f ca="1">IF(ROW($J459)-1&lt;$K$1,$F459,AVERAGE($F459:OFFSET($F459,(($K$1-1)*-1),0)))</f>
        <v>179.99285714285716</v>
      </c>
      <c r="L459" s="7">
        <f t="shared" ca="1" si="42"/>
        <v>-1</v>
      </c>
      <c r="M459" s="7" t="str">
        <f t="shared" ca="1" si="43"/>
        <v/>
      </c>
      <c r="N459" s="6" t="str">
        <f t="shared" ca="1" si="44"/>
        <v/>
      </c>
      <c r="O459" s="6">
        <f t="shared" si="45"/>
        <v>4.5</v>
      </c>
      <c r="Q459" s="6">
        <v>26.300000000000011</v>
      </c>
      <c r="R459" s="9">
        <f t="shared" si="46"/>
        <v>9862.5000000000036</v>
      </c>
      <c r="S459" s="7">
        <f t="shared" si="41"/>
        <v>-1781.2500000000109</v>
      </c>
    </row>
    <row r="460" spans="1:19" x14ac:dyDescent="0.25">
      <c r="A460" s="4">
        <f>Sheet1!A460</f>
        <v>39751</v>
      </c>
      <c r="B460" s="5">
        <f>Sheet1!B460</f>
        <v>0.58333333333333337</v>
      </c>
      <c r="C460" s="6">
        <f>Sheet1!C460</f>
        <v>174.55</v>
      </c>
      <c r="D460" s="6">
        <f>Sheet1!D460</f>
        <v>174.8</v>
      </c>
      <c r="E460" s="6">
        <f>Sheet1!E460</f>
        <v>170.65</v>
      </c>
      <c r="F460" s="6">
        <f>Sheet1!F460</f>
        <v>171.15</v>
      </c>
      <c r="H460" s="6">
        <f ca="1">IF(ROW($H460)-1&lt;$I$1,$F460,AVERAGE($F460:OFFSET($F460,(($I$1-1)*-1),0)))</f>
        <v>169.71666666666667</v>
      </c>
      <c r="J460" s="6">
        <f ca="1">IF(ROW($J460)-1&lt;$K$1,$F460,AVERAGE($F460:OFFSET($F460,(($K$1-1)*-1),0)))</f>
        <v>179.07857142857145</v>
      </c>
      <c r="L460" s="7">
        <f t="shared" ca="1" si="42"/>
        <v>-1</v>
      </c>
      <c r="M460" s="7" t="str">
        <f t="shared" ca="1" si="43"/>
        <v/>
      </c>
      <c r="N460" s="6" t="str">
        <f t="shared" ca="1" si="44"/>
        <v/>
      </c>
      <c r="O460" s="6">
        <f t="shared" si="45"/>
        <v>-1.1999999999999886</v>
      </c>
      <c r="Q460" s="6">
        <v>27.5</v>
      </c>
      <c r="R460" s="9">
        <f t="shared" si="46"/>
        <v>10312.5</v>
      </c>
      <c r="S460" s="7">
        <f t="shared" si="41"/>
        <v>-1781.2500000000109</v>
      </c>
    </row>
    <row r="461" spans="1:19" x14ac:dyDescent="0.25">
      <c r="A461" s="4">
        <f>Sheet1!A461</f>
        <v>39752</v>
      </c>
      <c r="B461" s="5">
        <f>Sheet1!B461</f>
        <v>0.58333333333333337</v>
      </c>
      <c r="C461" s="6">
        <f>Sheet1!C461</f>
        <v>171.15</v>
      </c>
      <c r="D461" s="6">
        <f>Sheet1!D461</f>
        <v>174.2</v>
      </c>
      <c r="E461" s="6">
        <f>Sheet1!E461</f>
        <v>169.3</v>
      </c>
      <c r="F461" s="6">
        <f>Sheet1!F461</f>
        <v>173.15</v>
      </c>
      <c r="H461" s="6">
        <f ca="1">IF(ROW($H461)-1&lt;$I$1,$F461,AVERAGE($F461:OFFSET($F461,(($I$1-1)*-1),0)))</f>
        <v>170.20000000000002</v>
      </c>
      <c r="J461" s="6">
        <f ca="1">IF(ROW($J461)-1&lt;$K$1,$F461,AVERAGE($F461:OFFSET($F461,(($K$1-1)*-1),0)))</f>
        <v>178.29642857142858</v>
      </c>
      <c r="L461" s="7">
        <f t="shared" ca="1" si="42"/>
        <v>-1</v>
      </c>
      <c r="M461" s="7" t="str">
        <f t="shared" ca="1" si="43"/>
        <v/>
      </c>
      <c r="N461" s="6" t="str">
        <f t="shared" ca="1" si="44"/>
        <v/>
      </c>
      <c r="O461" s="6">
        <f t="shared" si="45"/>
        <v>2</v>
      </c>
      <c r="Q461" s="6">
        <v>25.5</v>
      </c>
      <c r="R461" s="9">
        <f t="shared" si="46"/>
        <v>9562.5</v>
      </c>
      <c r="S461" s="7">
        <f t="shared" si="41"/>
        <v>-1781.2500000000109</v>
      </c>
    </row>
    <row r="462" spans="1:19" x14ac:dyDescent="0.25">
      <c r="A462" s="4">
        <f>Sheet1!A462</f>
        <v>39755</v>
      </c>
      <c r="B462" s="5">
        <f>Sheet1!B462</f>
        <v>0.58333333333333337</v>
      </c>
      <c r="C462" s="6">
        <f>Sheet1!C462</f>
        <v>174.15</v>
      </c>
      <c r="D462" s="6">
        <f>Sheet1!D462</f>
        <v>174.65</v>
      </c>
      <c r="E462" s="6">
        <f>Sheet1!E462</f>
        <v>171.65</v>
      </c>
      <c r="F462" s="6">
        <f>Sheet1!F462</f>
        <v>172.5</v>
      </c>
      <c r="H462" s="6">
        <f ca="1">IF(ROW($H462)-1&lt;$I$1,$F462,AVERAGE($F462:OFFSET($F462,(($I$1-1)*-1),0)))</f>
        <v>170.81666666666669</v>
      </c>
      <c r="J462" s="6">
        <f ca="1">IF(ROW($J462)-1&lt;$K$1,$F462,AVERAGE($F462:OFFSET($F462,(($K$1-1)*-1),0)))</f>
        <v>177.46428571428575</v>
      </c>
      <c r="L462" s="7">
        <f t="shared" ca="1" si="42"/>
        <v>-1</v>
      </c>
      <c r="M462" s="7" t="str">
        <f t="shared" ca="1" si="43"/>
        <v/>
      </c>
      <c r="N462" s="6" t="str">
        <f t="shared" ca="1" si="44"/>
        <v/>
      </c>
      <c r="O462" s="6">
        <f t="shared" si="45"/>
        <v>-0.65000000000000568</v>
      </c>
      <c r="Q462" s="6">
        <v>26.150000000000006</v>
      </c>
      <c r="R462" s="9">
        <f t="shared" si="46"/>
        <v>9806.2500000000018</v>
      </c>
      <c r="S462" s="7">
        <f t="shared" si="41"/>
        <v>-1781.2500000000109</v>
      </c>
    </row>
    <row r="463" spans="1:19" x14ac:dyDescent="0.25">
      <c r="A463" s="4">
        <f>Sheet1!A463</f>
        <v>39756</v>
      </c>
      <c r="B463" s="5">
        <f>Sheet1!B463</f>
        <v>0.58333333333333337</v>
      </c>
      <c r="C463" s="6">
        <f>Sheet1!C463</f>
        <v>173.15</v>
      </c>
      <c r="D463" s="6">
        <f>Sheet1!D463</f>
        <v>178.1</v>
      </c>
      <c r="E463" s="6">
        <f>Sheet1!E463</f>
        <v>172.4</v>
      </c>
      <c r="F463" s="6">
        <f>Sheet1!F463</f>
        <v>176.85</v>
      </c>
      <c r="H463" s="6">
        <f ca="1">IF(ROW($H463)-1&lt;$I$1,$F463,AVERAGE($F463:OFFSET($F463,(($I$1-1)*-1),0)))</f>
        <v>172.30833333333331</v>
      </c>
      <c r="J463" s="6">
        <f ca="1">IF(ROW($J463)-1&lt;$K$1,$F463,AVERAGE($F463:OFFSET($F463,(($K$1-1)*-1),0)))</f>
        <v>176.71785714285716</v>
      </c>
      <c r="L463" s="7">
        <f t="shared" ca="1" si="42"/>
        <v>-1</v>
      </c>
      <c r="M463" s="7" t="str">
        <f t="shared" ca="1" si="43"/>
        <v/>
      </c>
      <c r="N463" s="6" t="str">
        <f t="shared" ca="1" si="44"/>
        <v/>
      </c>
      <c r="O463" s="6">
        <f t="shared" si="45"/>
        <v>4.3499999999999943</v>
      </c>
      <c r="Q463" s="6">
        <v>21.800000000000011</v>
      </c>
      <c r="R463" s="9">
        <f t="shared" si="46"/>
        <v>8175.0000000000045</v>
      </c>
      <c r="S463" s="7">
        <f t="shared" si="41"/>
        <v>-1781.2500000000109</v>
      </c>
    </row>
    <row r="464" spans="1:19" x14ac:dyDescent="0.25">
      <c r="A464" s="4">
        <f>Sheet1!A464</f>
        <v>39757</v>
      </c>
      <c r="B464" s="5">
        <f>Sheet1!B464</f>
        <v>0.58333333333333337</v>
      </c>
      <c r="C464" s="6">
        <f>Sheet1!C464</f>
        <v>176.65</v>
      </c>
      <c r="D464" s="6">
        <f>Sheet1!D464</f>
        <v>178.65</v>
      </c>
      <c r="E464" s="6">
        <f>Sheet1!E464</f>
        <v>175.15</v>
      </c>
      <c r="F464" s="6">
        <f>Sheet1!F464</f>
        <v>176.55</v>
      </c>
      <c r="H464" s="6">
        <f ca="1">IF(ROW($H464)-1&lt;$I$1,$F464,AVERAGE($F464:OFFSET($F464,(($I$1-1)*-1),0)))</f>
        <v>173.75833333333333</v>
      </c>
      <c r="J464" s="6">
        <f ca="1">IF(ROW($J464)-1&lt;$K$1,$F464,AVERAGE($F464:OFFSET($F464,(($K$1-1)*-1),0)))</f>
        <v>176.08392857142857</v>
      </c>
      <c r="L464" s="7">
        <f t="shared" ca="1" si="42"/>
        <v>-1</v>
      </c>
      <c r="M464" s="7" t="str">
        <f t="shared" ca="1" si="43"/>
        <v/>
      </c>
      <c r="N464" s="6" t="str">
        <f t="shared" ca="1" si="44"/>
        <v/>
      </c>
      <c r="O464" s="6">
        <f t="shared" si="45"/>
        <v>-0.29999999999998295</v>
      </c>
      <c r="Q464" s="6">
        <v>22.099999999999994</v>
      </c>
      <c r="R464" s="9">
        <f t="shared" si="46"/>
        <v>8287.4999999999982</v>
      </c>
      <c r="S464" s="7">
        <f t="shared" ref="S464:S527" si="47">S463+(P464*375)</f>
        <v>-1781.2500000000109</v>
      </c>
    </row>
    <row r="465" spans="1:19" x14ac:dyDescent="0.25">
      <c r="A465" s="4">
        <f>Sheet1!A465</f>
        <v>39758</v>
      </c>
      <c r="B465" s="5">
        <f>Sheet1!B465</f>
        <v>0.58333333333333337</v>
      </c>
      <c r="C465" s="6">
        <f>Sheet1!C465</f>
        <v>175.85</v>
      </c>
      <c r="D465" s="6">
        <f>Sheet1!D465</f>
        <v>176.4</v>
      </c>
      <c r="E465" s="6">
        <f>Sheet1!E465</f>
        <v>169.5</v>
      </c>
      <c r="F465" s="6">
        <f>Sheet1!F465</f>
        <v>171.15</v>
      </c>
      <c r="H465" s="6">
        <f ca="1">IF(ROW($H465)-1&lt;$I$1,$F465,AVERAGE($F465:OFFSET($F465,(($I$1-1)*-1),0)))</f>
        <v>173.55833333333337</v>
      </c>
      <c r="J465" s="6">
        <f ca="1">IF(ROW($J465)-1&lt;$K$1,$F465,AVERAGE($F465:OFFSET($F465,(($K$1-1)*-1),0)))</f>
        <v>175.39642857142857</v>
      </c>
      <c r="L465" s="7">
        <f t="shared" ca="1" si="42"/>
        <v>-1</v>
      </c>
      <c r="M465" s="7" t="str">
        <f t="shared" ca="1" si="43"/>
        <v/>
      </c>
      <c r="N465" s="6" t="str">
        <f t="shared" ca="1" si="44"/>
        <v/>
      </c>
      <c r="O465" s="6">
        <f t="shared" si="45"/>
        <v>-5.4000000000000057</v>
      </c>
      <c r="Q465" s="6">
        <v>27.5</v>
      </c>
      <c r="R465" s="9">
        <f t="shared" si="46"/>
        <v>10312.5</v>
      </c>
      <c r="S465" s="7">
        <f t="shared" si="47"/>
        <v>-1781.2500000000109</v>
      </c>
    </row>
    <row r="466" spans="1:19" x14ac:dyDescent="0.25">
      <c r="A466" s="4">
        <f>Sheet1!A466</f>
        <v>39759</v>
      </c>
      <c r="B466" s="5">
        <f>Sheet1!B466</f>
        <v>0.58333333333333337</v>
      </c>
      <c r="C466" s="6">
        <f>Sheet1!C466</f>
        <v>171.15</v>
      </c>
      <c r="D466" s="6">
        <f>Sheet1!D466</f>
        <v>172.8</v>
      </c>
      <c r="E466" s="6">
        <f>Sheet1!E466</f>
        <v>170.8</v>
      </c>
      <c r="F466" s="6">
        <f>Sheet1!F466</f>
        <v>172.25</v>
      </c>
      <c r="H466" s="6">
        <f ca="1">IF(ROW($H466)-1&lt;$I$1,$F466,AVERAGE($F466:OFFSET($F466,(($I$1-1)*-1),0)))</f>
        <v>173.74166666666665</v>
      </c>
      <c r="J466" s="6">
        <f ca="1">IF(ROW($J466)-1&lt;$K$1,$F466,AVERAGE($F466:OFFSET($F466,(($K$1-1)*-1),0)))</f>
        <v>174.74107142857147</v>
      </c>
      <c r="L466" s="7">
        <f t="shared" ca="1" si="42"/>
        <v>-1</v>
      </c>
      <c r="M466" s="7" t="str">
        <f t="shared" ca="1" si="43"/>
        <v/>
      </c>
      <c r="N466" s="6" t="str">
        <f t="shared" ca="1" si="44"/>
        <v/>
      </c>
      <c r="O466" s="6">
        <f t="shared" si="45"/>
        <v>1.0999999999999943</v>
      </c>
      <c r="Q466" s="6">
        <v>26.400000000000006</v>
      </c>
      <c r="R466" s="9">
        <f t="shared" si="46"/>
        <v>9900.0000000000018</v>
      </c>
      <c r="S466" s="7">
        <f t="shared" si="47"/>
        <v>-1781.2500000000109</v>
      </c>
    </row>
    <row r="467" spans="1:19" x14ac:dyDescent="0.25">
      <c r="A467" s="4">
        <f>Sheet1!A467</f>
        <v>39762</v>
      </c>
      <c r="B467" s="5">
        <f>Sheet1!B467</f>
        <v>0.58333333333333337</v>
      </c>
      <c r="C467" s="6">
        <f>Sheet1!C467</f>
        <v>173.1</v>
      </c>
      <c r="D467" s="6">
        <f>Sheet1!D467</f>
        <v>176.65</v>
      </c>
      <c r="E467" s="6">
        <f>Sheet1!E467</f>
        <v>172.55</v>
      </c>
      <c r="F467" s="6">
        <f>Sheet1!F467</f>
        <v>172.95</v>
      </c>
      <c r="H467" s="6">
        <f ca="1">IF(ROW($H467)-1&lt;$I$1,$F467,AVERAGE($F467:OFFSET($F467,(($I$1-1)*-1),0)))</f>
        <v>173.70833333333334</v>
      </c>
      <c r="J467" s="6">
        <f ca="1">IF(ROW($J467)-1&lt;$K$1,$F467,AVERAGE($F467:OFFSET($F467,(($K$1-1)*-1),0)))</f>
        <v>174.15892857142856</v>
      </c>
      <c r="L467" s="7">
        <f t="shared" ca="1" si="42"/>
        <v>-1</v>
      </c>
      <c r="M467" s="7" t="str">
        <f t="shared" ca="1" si="43"/>
        <v/>
      </c>
      <c r="N467" s="6" t="str">
        <f t="shared" ca="1" si="44"/>
        <v/>
      </c>
      <c r="O467" s="6">
        <f t="shared" si="45"/>
        <v>0.69999999999998863</v>
      </c>
      <c r="Q467" s="6">
        <v>25.700000000000017</v>
      </c>
      <c r="R467" s="9">
        <f t="shared" si="46"/>
        <v>9637.5000000000073</v>
      </c>
      <c r="S467" s="7">
        <f t="shared" si="47"/>
        <v>-1781.2500000000109</v>
      </c>
    </row>
    <row r="468" spans="1:19" x14ac:dyDescent="0.25">
      <c r="A468" s="4">
        <f>Sheet1!A468</f>
        <v>39763</v>
      </c>
      <c r="B468" s="5">
        <f>Sheet1!B468</f>
        <v>0.58333333333333337</v>
      </c>
      <c r="C468" s="6">
        <f>Sheet1!C468</f>
        <v>172.95</v>
      </c>
      <c r="D468" s="6">
        <f>Sheet1!D468</f>
        <v>173.85</v>
      </c>
      <c r="E468" s="6">
        <f>Sheet1!E468</f>
        <v>171.8</v>
      </c>
      <c r="F468" s="6">
        <f>Sheet1!F468</f>
        <v>172.4</v>
      </c>
      <c r="H468" s="6">
        <f ca="1">IF(ROW($H468)-1&lt;$I$1,$F468,AVERAGE($F468:OFFSET($F468,(($I$1-1)*-1),0)))</f>
        <v>173.69166666666669</v>
      </c>
      <c r="J468" s="6">
        <f ca="1">IF(ROW($J468)-1&lt;$K$1,$F468,AVERAGE($F468:OFFSET($F468,(($K$1-1)*-1),0)))</f>
        <v>173.68749999999997</v>
      </c>
      <c r="L468" s="7">
        <f t="shared" ca="1" si="42"/>
        <v>1</v>
      </c>
      <c r="M468" s="7">
        <f t="shared" ca="1" si="43"/>
        <v>1</v>
      </c>
      <c r="N468" s="6" t="str">
        <f t="shared" ca="1" si="44"/>
        <v/>
      </c>
      <c r="O468" s="6">
        <f t="shared" si="45"/>
        <v>-0.54999999999998295</v>
      </c>
      <c r="Q468" s="6">
        <v>26.25</v>
      </c>
      <c r="R468" s="9">
        <f t="shared" si="46"/>
        <v>9843.75</v>
      </c>
      <c r="S468" s="7">
        <f t="shared" si="47"/>
        <v>-1781.2500000000109</v>
      </c>
    </row>
    <row r="469" spans="1:19" x14ac:dyDescent="0.25">
      <c r="A469" s="4">
        <f>Sheet1!A469</f>
        <v>39764</v>
      </c>
      <c r="B469" s="5">
        <f>Sheet1!B469</f>
        <v>0.58333333333333337</v>
      </c>
      <c r="C469" s="6">
        <f>Sheet1!C469</f>
        <v>173.45</v>
      </c>
      <c r="D469" s="6">
        <f>Sheet1!D469</f>
        <v>173.45</v>
      </c>
      <c r="E469" s="6">
        <f>Sheet1!E469</f>
        <v>171.05</v>
      </c>
      <c r="F469" s="6">
        <f>Sheet1!F469</f>
        <v>171.85</v>
      </c>
      <c r="H469" s="6">
        <f ca="1">IF(ROW($H469)-1&lt;$I$1,$F469,AVERAGE($F469:OFFSET($F469,(($I$1-1)*-1),0)))</f>
        <v>172.85833333333335</v>
      </c>
      <c r="J469" s="6">
        <f ca="1">IF(ROW($J469)-1&lt;$K$1,$F469,AVERAGE($F469:OFFSET($F469,(($K$1-1)*-1),0)))</f>
        <v>173.31785714285712</v>
      </c>
      <c r="L469" s="7">
        <f t="shared" ca="1" si="42"/>
        <v>-1</v>
      </c>
      <c r="M469" s="7">
        <f t="shared" ca="1" si="43"/>
        <v>-1</v>
      </c>
      <c r="N469" s="6">
        <f t="shared" ca="1" si="44"/>
        <v>173.45</v>
      </c>
      <c r="O469" s="6">
        <f t="shared" si="45"/>
        <v>-0.55000000000001137</v>
      </c>
      <c r="P469" s="6">
        <v>25.200000000000017</v>
      </c>
      <c r="Q469" s="6">
        <v>-1.5999999999999943</v>
      </c>
      <c r="R469" s="9">
        <f t="shared" si="46"/>
        <v>-599.99999999999784</v>
      </c>
      <c r="S469" s="7">
        <f t="shared" si="47"/>
        <v>7668.7499999999964</v>
      </c>
    </row>
    <row r="470" spans="1:19" x14ac:dyDescent="0.25">
      <c r="A470" s="4">
        <f>Sheet1!A470</f>
        <v>39765</v>
      </c>
      <c r="B470" s="5">
        <f>Sheet1!B470</f>
        <v>0.58333333333333337</v>
      </c>
      <c r="C470" s="6">
        <f>Sheet1!C470</f>
        <v>171.35</v>
      </c>
      <c r="D470" s="6">
        <f>Sheet1!D470</f>
        <v>174.7</v>
      </c>
      <c r="E470" s="6">
        <f>Sheet1!E470</f>
        <v>170.3</v>
      </c>
      <c r="F470" s="6">
        <f>Sheet1!F470</f>
        <v>170.4</v>
      </c>
      <c r="H470" s="6">
        <f ca="1">IF(ROW($H470)-1&lt;$I$1,$F470,AVERAGE($F470:OFFSET($F470,(($I$1-1)*-1),0)))</f>
        <v>171.83333333333334</v>
      </c>
      <c r="J470" s="6">
        <f ca="1">IF(ROW($J470)-1&lt;$K$1,$F470,AVERAGE($F470:OFFSET($F470,(($K$1-1)*-1),0)))</f>
        <v>173.16607142857146</v>
      </c>
      <c r="L470" s="7">
        <f t="shared" ca="1" si="42"/>
        <v>-1</v>
      </c>
      <c r="M470" s="7" t="str">
        <f t="shared" ca="1" si="43"/>
        <v/>
      </c>
      <c r="N470" s="6">
        <f t="shared" ca="1" si="44"/>
        <v>171.35</v>
      </c>
      <c r="O470" s="6">
        <f t="shared" si="45"/>
        <v>-1.4499999999999886</v>
      </c>
      <c r="P470" s="6">
        <v>-2.0999999999999943</v>
      </c>
      <c r="Q470" s="6">
        <v>0.94999999999998863</v>
      </c>
      <c r="R470" s="9">
        <f t="shared" si="46"/>
        <v>356.24999999999574</v>
      </c>
      <c r="S470" s="7">
        <f t="shared" si="47"/>
        <v>6881.2499999999982</v>
      </c>
    </row>
    <row r="471" spans="1:19" x14ac:dyDescent="0.25">
      <c r="A471" s="4">
        <f>Sheet1!A471</f>
        <v>39766</v>
      </c>
      <c r="B471" s="5">
        <f>Sheet1!B471</f>
        <v>0.58333333333333337</v>
      </c>
      <c r="C471" s="6">
        <f>Sheet1!C471</f>
        <v>171.25</v>
      </c>
      <c r="D471" s="6">
        <f>Sheet1!D471</f>
        <v>172.55</v>
      </c>
      <c r="E471" s="6">
        <f>Sheet1!E471</f>
        <v>170.45</v>
      </c>
      <c r="F471" s="6">
        <f>Sheet1!F471</f>
        <v>170.9</v>
      </c>
      <c r="H471" s="6">
        <f ca="1">IF(ROW($H471)-1&lt;$I$1,$F471,AVERAGE($F471:OFFSET($F471,(($I$1-1)*-1),0)))</f>
        <v>171.79166666666666</v>
      </c>
      <c r="J471" s="6">
        <f ca="1">IF(ROW($J471)-1&lt;$K$1,$F471,AVERAGE($F471:OFFSET($F471,(($K$1-1)*-1),0)))</f>
        <v>173.04285714285714</v>
      </c>
      <c r="L471" s="7">
        <f t="shared" ca="1" si="42"/>
        <v>-1</v>
      </c>
      <c r="M471" s="7" t="str">
        <f t="shared" ca="1" si="43"/>
        <v/>
      </c>
      <c r="N471" s="6" t="str">
        <f t="shared" ca="1" si="44"/>
        <v/>
      </c>
      <c r="O471" s="6">
        <f t="shared" si="45"/>
        <v>0.5</v>
      </c>
      <c r="Q471" s="6">
        <v>0.44999999999998863</v>
      </c>
      <c r="R471" s="9">
        <f t="shared" si="46"/>
        <v>168.74999999999574</v>
      </c>
      <c r="S471" s="7">
        <f t="shared" si="47"/>
        <v>6881.2499999999982</v>
      </c>
    </row>
    <row r="472" spans="1:19" x14ac:dyDescent="0.25">
      <c r="A472" s="4">
        <f>Sheet1!A472</f>
        <v>39769</v>
      </c>
      <c r="B472" s="5">
        <f>Sheet1!B472</f>
        <v>0.58333333333333337</v>
      </c>
      <c r="C472" s="6">
        <f>Sheet1!C472</f>
        <v>170.9</v>
      </c>
      <c r="D472" s="6">
        <f>Sheet1!D472</f>
        <v>171.9</v>
      </c>
      <c r="E472" s="6">
        <f>Sheet1!E472</f>
        <v>166.05</v>
      </c>
      <c r="F472" s="6">
        <f>Sheet1!F472</f>
        <v>170.15</v>
      </c>
      <c r="H472" s="6">
        <f ca="1">IF(ROW($H472)-1&lt;$I$1,$F472,AVERAGE($F472:OFFSET($F472,(($I$1-1)*-1),0)))</f>
        <v>171.44166666666669</v>
      </c>
      <c r="J472" s="6">
        <f ca="1">IF(ROW($J472)-1&lt;$K$1,$F472,AVERAGE($F472:OFFSET($F472,(($K$1-1)*-1),0)))</f>
        <v>172.88035714285712</v>
      </c>
      <c r="L472" s="7">
        <f t="shared" ca="1" si="42"/>
        <v>-1</v>
      </c>
      <c r="M472" s="7" t="str">
        <f t="shared" ca="1" si="43"/>
        <v/>
      </c>
      <c r="N472" s="6" t="str">
        <f t="shared" ca="1" si="44"/>
        <v/>
      </c>
      <c r="O472" s="6">
        <f t="shared" si="45"/>
        <v>-0.75</v>
      </c>
      <c r="Q472" s="6">
        <v>1.1999999999999886</v>
      </c>
      <c r="R472" s="9">
        <f t="shared" si="46"/>
        <v>449.99999999999574</v>
      </c>
      <c r="S472" s="7">
        <f t="shared" si="47"/>
        <v>6881.2499999999982</v>
      </c>
    </row>
    <row r="473" spans="1:19" x14ac:dyDescent="0.25">
      <c r="A473" s="4">
        <f>Sheet1!A473</f>
        <v>39770</v>
      </c>
      <c r="B473" s="5">
        <f>Sheet1!B473</f>
        <v>0.58333333333333337</v>
      </c>
      <c r="C473" s="6">
        <f>Sheet1!C473</f>
        <v>170.35</v>
      </c>
      <c r="D473" s="6">
        <f>Sheet1!D473</f>
        <v>171.3</v>
      </c>
      <c r="E473" s="6">
        <f>Sheet1!E473</f>
        <v>169.15</v>
      </c>
      <c r="F473" s="6">
        <f>Sheet1!F473</f>
        <v>170.05</v>
      </c>
      <c r="H473" s="6">
        <f ca="1">IF(ROW($H473)-1&lt;$I$1,$F473,AVERAGE($F473:OFFSET($F473,(($I$1-1)*-1),0)))</f>
        <v>170.95833333333334</v>
      </c>
      <c r="J473" s="6">
        <f ca="1">IF(ROW($J473)-1&lt;$K$1,$F473,AVERAGE($F473:OFFSET($F473,(($K$1-1)*-1),0)))</f>
        <v>172.71071428571426</v>
      </c>
      <c r="L473" s="7">
        <f t="shared" ca="1" si="42"/>
        <v>-1</v>
      </c>
      <c r="M473" s="7" t="str">
        <f t="shared" ca="1" si="43"/>
        <v/>
      </c>
      <c r="N473" s="6" t="str">
        <f t="shared" ca="1" si="44"/>
        <v/>
      </c>
      <c r="O473" s="6">
        <f t="shared" si="45"/>
        <v>-9.9999999999994316E-2</v>
      </c>
      <c r="Q473" s="6">
        <v>1.2999999999999829</v>
      </c>
      <c r="R473" s="9">
        <f t="shared" si="46"/>
        <v>487.49999999999363</v>
      </c>
      <c r="S473" s="7">
        <f t="shared" si="47"/>
        <v>6881.2499999999982</v>
      </c>
    </row>
    <row r="474" spans="1:19" x14ac:dyDescent="0.25">
      <c r="A474" s="4">
        <f>Sheet1!A474</f>
        <v>39771</v>
      </c>
      <c r="B474" s="5">
        <f>Sheet1!B474</f>
        <v>0.58333333333333337</v>
      </c>
      <c r="C474" s="6">
        <f>Sheet1!C474</f>
        <v>169.6</v>
      </c>
      <c r="D474" s="6">
        <f>Sheet1!D474</f>
        <v>173.3</v>
      </c>
      <c r="E474" s="6">
        <f>Sheet1!E474</f>
        <v>168.15</v>
      </c>
      <c r="F474" s="6">
        <f>Sheet1!F474</f>
        <v>169.5</v>
      </c>
      <c r="H474" s="6">
        <f ca="1">IF(ROW($H474)-1&lt;$I$1,$F474,AVERAGE($F474:OFFSET($F474,(($I$1-1)*-1),0)))</f>
        <v>170.47499999999999</v>
      </c>
      <c r="J474" s="6">
        <f ca="1">IF(ROW($J474)-1&lt;$K$1,$F474,AVERAGE($F474:OFFSET($F474,(($K$1-1)*-1),0)))</f>
        <v>172.49642857142857</v>
      </c>
      <c r="L474" s="7">
        <f t="shared" ca="1" si="42"/>
        <v>-1</v>
      </c>
      <c r="M474" s="7" t="str">
        <f t="shared" ca="1" si="43"/>
        <v/>
      </c>
      <c r="N474" s="6" t="str">
        <f t="shared" ca="1" si="44"/>
        <v/>
      </c>
      <c r="O474" s="6">
        <f t="shared" si="45"/>
        <v>-0.55000000000001137</v>
      </c>
      <c r="Q474" s="6">
        <v>1.8499999999999943</v>
      </c>
      <c r="R474" s="9">
        <f t="shared" si="46"/>
        <v>693.74999999999784</v>
      </c>
      <c r="S474" s="7">
        <f t="shared" si="47"/>
        <v>6881.2499999999982</v>
      </c>
    </row>
    <row r="475" spans="1:19" x14ac:dyDescent="0.25">
      <c r="A475" s="4">
        <f>Sheet1!A475</f>
        <v>39772</v>
      </c>
      <c r="B475" s="5">
        <f>Sheet1!B475</f>
        <v>0.58333333333333337</v>
      </c>
      <c r="C475" s="6">
        <f>Sheet1!C475</f>
        <v>168.95</v>
      </c>
      <c r="D475" s="6">
        <f>Sheet1!D475</f>
        <v>168.95</v>
      </c>
      <c r="E475" s="6">
        <f>Sheet1!E475</f>
        <v>166.55</v>
      </c>
      <c r="F475" s="6">
        <f>Sheet1!F475</f>
        <v>166.8</v>
      </c>
      <c r="H475" s="6">
        <f ca="1">IF(ROW($H475)-1&lt;$I$1,$F475,AVERAGE($F475:OFFSET($F475,(($I$1-1)*-1),0)))</f>
        <v>169.63333333333333</v>
      </c>
      <c r="J475" s="6">
        <f ca="1">IF(ROW($J475)-1&lt;$K$1,$F475,AVERAGE($F475:OFFSET($F475,(($K$1-1)*-1),0)))</f>
        <v>172.10357142857146</v>
      </c>
      <c r="L475" s="7">
        <f t="shared" ca="1" si="42"/>
        <v>-1</v>
      </c>
      <c r="M475" s="7" t="str">
        <f t="shared" ca="1" si="43"/>
        <v/>
      </c>
      <c r="N475" s="6" t="str">
        <f t="shared" ca="1" si="44"/>
        <v/>
      </c>
      <c r="O475" s="6">
        <f t="shared" si="45"/>
        <v>-2.6999999999999886</v>
      </c>
      <c r="Q475" s="6">
        <v>4.5499999999999829</v>
      </c>
      <c r="R475" s="9">
        <f t="shared" si="46"/>
        <v>1706.2499999999936</v>
      </c>
      <c r="S475" s="7">
        <f t="shared" si="47"/>
        <v>6881.2499999999982</v>
      </c>
    </row>
    <row r="476" spans="1:19" x14ac:dyDescent="0.25">
      <c r="A476" s="4">
        <f>Sheet1!A476</f>
        <v>39773</v>
      </c>
      <c r="B476" s="5">
        <f>Sheet1!B476</f>
        <v>0.58333333333333337</v>
      </c>
      <c r="C476" s="6">
        <f>Sheet1!C476</f>
        <v>166.45</v>
      </c>
      <c r="D476" s="6">
        <f>Sheet1!D476</f>
        <v>168.55</v>
      </c>
      <c r="E476" s="6">
        <f>Sheet1!E476</f>
        <v>166.1</v>
      </c>
      <c r="F476" s="6">
        <f>Sheet1!F476</f>
        <v>166.2</v>
      </c>
      <c r="H476" s="6">
        <f ca="1">IF(ROW($H476)-1&lt;$I$1,$F476,AVERAGE($F476:OFFSET($F476,(($I$1-1)*-1),0)))</f>
        <v>168.93333333333337</v>
      </c>
      <c r="J476" s="6">
        <f ca="1">IF(ROW($J476)-1&lt;$K$1,$F476,AVERAGE($F476:OFFSET($F476,(($K$1-1)*-1),0)))</f>
        <v>171.64285714285714</v>
      </c>
      <c r="L476" s="7">
        <f t="shared" ca="1" si="42"/>
        <v>-1</v>
      </c>
      <c r="M476" s="7" t="str">
        <f t="shared" ca="1" si="43"/>
        <v/>
      </c>
      <c r="N476" s="6" t="str">
        <f t="shared" ca="1" si="44"/>
        <v/>
      </c>
      <c r="O476" s="6">
        <f t="shared" si="45"/>
        <v>-0.60000000000002274</v>
      </c>
      <c r="Q476" s="6">
        <v>5.1500000000000057</v>
      </c>
      <c r="R476" s="9">
        <f t="shared" si="46"/>
        <v>1931.250000000002</v>
      </c>
      <c r="S476" s="7">
        <f t="shared" si="47"/>
        <v>6881.2499999999982</v>
      </c>
    </row>
    <row r="477" spans="1:19" x14ac:dyDescent="0.25">
      <c r="A477" s="4">
        <f>Sheet1!A477</f>
        <v>39776</v>
      </c>
      <c r="B477" s="5">
        <f>Sheet1!B477</f>
        <v>0.58333333333333337</v>
      </c>
      <c r="C477" s="6">
        <f>Sheet1!C477</f>
        <v>166.5</v>
      </c>
      <c r="D477" s="6">
        <f>Sheet1!D477</f>
        <v>170.7</v>
      </c>
      <c r="E477" s="6">
        <f>Sheet1!E477</f>
        <v>166.35</v>
      </c>
      <c r="F477" s="6">
        <f>Sheet1!F477</f>
        <v>169.5</v>
      </c>
      <c r="H477" s="6">
        <f ca="1">IF(ROW($H477)-1&lt;$I$1,$F477,AVERAGE($F477:OFFSET($F477,(($I$1-1)*-1),0)))</f>
        <v>168.70000000000002</v>
      </c>
      <c r="J477" s="6">
        <f ca="1">IF(ROW($J477)-1&lt;$K$1,$F477,AVERAGE($F477:OFFSET($F477,(($K$1-1)*-1),0)))</f>
        <v>171.50357142857143</v>
      </c>
      <c r="L477" s="7">
        <f t="shared" ca="1" si="42"/>
        <v>-1</v>
      </c>
      <c r="M477" s="7" t="str">
        <f t="shared" ca="1" si="43"/>
        <v/>
      </c>
      <c r="N477" s="6" t="str">
        <f t="shared" ca="1" si="44"/>
        <v/>
      </c>
      <c r="O477" s="6">
        <f t="shared" si="45"/>
        <v>3.3000000000000114</v>
      </c>
      <c r="Q477" s="6">
        <v>1.8499999999999943</v>
      </c>
      <c r="R477" s="9">
        <f t="shared" si="46"/>
        <v>693.74999999999784</v>
      </c>
      <c r="S477" s="7">
        <f t="shared" si="47"/>
        <v>6881.2499999999982</v>
      </c>
    </row>
    <row r="478" spans="1:19" x14ac:dyDescent="0.25">
      <c r="A478" s="4">
        <f>Sheet1!A478</f>
        <v>39777</v>
      </c>
      <c r="B478" s="5">
        <f>Sheet1!B478</f>
        <v>0.58333333333333337</v>
      </c>
      <c r="C478" s="6">
        <f>Sheet1!C478</f>
        <v>169.55</v>
      </c>
      <c r="D478" s="6">
        <f>Sheet1!D478</f>
        <v>171.25</v>
      </c>
      <c r="E478" s="6">
        <f>Sheet1!E478</f>
        <v>168.75</v>
      </c>
      <c r="F478" s="6">
        <f>Sheet1!F478</f>
        <v>169.85</v>
      </c>
      <c r="H478" s="6">
        <f ca="1">IF(ROW($H478)-1&lt;$I$1,$F478,AVERAGE($F478:OFFSET($F478,(($I$1-1)*-1),0)))</f>
        <v>168.65</v>
      </c>
      <c r="J478" s="6">
        <f ca="1">IF(ROW($J478)-1&lt;$K$1,$F478,AVERAGE($F478:OFFSET($F478,(($K$1-1)*-1),0)))</f>
        <v>171.38750000000002</v>
      </c>
      <c r="L478" s="7">
        <f t="shared" ca="1" si="42"/>
        <v>-1</v>
      </c>
      <c r="M478" s="7" t="str">
        <f t="shared" ca="1" si="43"/>
        <v/>
      </c>
      <c r="N478" s="6" t="str">
        <f t="shared" ca="1" si="44"/>
        <v/>
      </c>
      <c r="O478" s="6">
        <f t="shared" si="45"/>
        <v>0.34999999999999432</v>
      </c>
      <c r="Q478" s="6">
        <v>1.5</v>
      </c>
      <c r="R478" s="9">
        <f t="shared" si="46"/>
        <v>562.5</v>
      </c>
      <c r="S478" s="7">
        <f t="shared" si="47"/>
        <v>6881.2499999999982</v>
      </c>
    </row>
    <row r="479" spans="1:19" x14ac:dyDescent="0.25">
      <c r="A479" s="4">
        <f>Sheet1!A479</f>
        <v>39778</v>
      </c>
      <c r="B479" s="5">
        <f>Sheet1!B479</f>
        <v>0.58333333333333337</v>
      </c>
      <c r="C479" s="6">
        <f>Sheet1!C479</f>
        <v>169.7</v>
      </c>
      <c r="D479" s="6">
        <f>Sheet1!D479</f>
        <v>172.25</v>
      </c>
      <c r="E479" s="6">
        <f>Sheet1!E479</f>
        <v>169.35</v>
      </c>
      <c r="F479" s="6">
        <f>Sheet1!F479</f>
        <v>171.75</v>
      </c>
      <c r="H479" s="6">
        <f ca="1">IF(ROW($H479)-1&lt;$I$1,$F479,AVERAGE($F479:OFFSET($F479,(($I$1-1)*-1),0)))</f>
        <v>168.93333333333334</v>
      </c>
      <c r="J479" s="6">
        <f ca="1">IF(ROW($J479)-1&lt;$K$1,$F479,AVERAGE($F479:OFFSET($F479,(($K$1-1)*-1),0)))</f>
        <v>171.24464285714288</v>
      </c>
      <c r="L479" s="7">
        <f t="shared" ca="1" si="42"/>
        <v>-1</v>
      </c>
      <c r="M479" s="7" t="str">
        <f t="shared" ca="1" si="43"/>
        <v/>
      </c>
      <c r="N479" s="6" t="str">
        <f t="shared" ca="1" si="44"/>
        <v/>
      </c>
      <c r="O479" s="6">
        <f t="shared" si="45"/>
        <v>1.9000000000000057</v>
      </c>
      <c r="Q479" s="6">
        <v>-0.40000000000000568</v>
      </c>
      <c r="R479" s="9">
        <f t="shared" si="46"/>
        <v>-150.00000000000213</v>
      </c>
      <c r="S479" s="7">
        <f t="shared" si="47"/>
        <v>6881.2499999999982</v>
      </c>
    </row>
    <row r="480" spans="1:19" x14ac:dyDescent="0.25">
      <c r="A480" s="4">
        <f>Sheet1!A480</f>
        <v>39780</v>
      </c>
      <c r="B480" s="5">
        <f>Sheet1!B480</f>
        <v>0.58333333333333337</v>
      </c>
      <c r="C480" s="6">
        <f>Sheet1!C480</f>
        <v>172.95</v>
      </c>
      <c r="D480" s="6">
        <f>Sheet1!D480</f>
        <v>172.95</v>
      </c>
      <c r="E480" s="6">
        <f>Sheet1!E480</f>
        <v>170.35</v>
      </c>
      <c r="F480" s="6">
        <f>Sheet1!F480</f>
        <v>171.55</v>
      </c>
      <c r="H480" s="6">
        <f ca="1">IF(ROW($H480)-1&lt;$I$1,$F480,AVERAGE($F480:OFFSET($F480,(($I$1-1)*-1),0)))</f>
        <v>169.27500000000001</v>
      </c>
      <c r="J480" s="6">
        <f ca="1">IF(ROW($J480)-1&lt;$K$1,$F480,AVERAGE($F480:OFFSET($F480,(($K$1-1)*-1),0)))</f>
        <v>171.13392857142861</v>
      </c>
      <c r="L480" s="7">
        <f t="shared" ca="1" si="42"/>
        <v>-1</v>
      </c>
      <c r="M480" s="7" t="str">
        <f t="shared" ca="1" si="43"/>
        <v/>
      </c>
      <c r="N480" s="6" t="str">
        <f t="shared" ca="1" si="44"/>
        <v/>
      </c>
      <c r="O480" s="6">
        <f t="shared" si="45"/>
        <v>-0.19999999999998863</v>
      </c>
      <c r="Q480" s="6">
        <v>-0.20000000000001705</v>
      </c>
      <c r="R480" s="9">
        <f t="shared" si="46"/>
        <v>-75.000000000006395</v>
      </c>
      <c r="S480" s="7">
        <f t="shared" si="47"/>
        <v>6881.2499999999982</v>
      </c>
    </row>
    <row r="481" spans="1:19" x14ac:dyDescent="0.25">
      <c r="A481" s="4">
        <f>Sheet1!A481</f>
        <v>39783</v>
      </c>
      <c r="B481" s="5">
        <f>Sheet1!B481</f>
        <v>0.58333333333333337</v>
      </c>
      <c r="C481" s="6">
        <f>Sheet1!C481</f>
        <v>171.25</v>
      </c>
      <c r="D481" s="6">
        <f>Sheet1!D481</f>
        <v>171.45</v>
      </c>
      <c r="E481" s="6">
        <f>Sheet1!E481</f>
        <v>168.35</v>
      </c>
      <c r="F481" s="6">
        <f>Sheet1!F481</f>
        <v>169</v>
      </c>
      <c r="H481" s="6">
        <f ca="1">IF(ROW($H481)-1&lt;$I$1,$F481,AVERAGE($F481:OFFSET($F481,(($I$1-1)*-1),0)))</f>
        <v>169.64166666666665</v>
      </c>
      <c r="J481" s="6">
        <f ca="1">IF(ROW($J481)-1&lt;$K$1,$F481,AVERAGE($F481:OFFSET($F481,(($K$1-1)*-1),0)))</f>
        <v>170.94107142857146</v>
      </c>
      <c r="L481" s="7">
        <f t="shared" ca="1" si="42"/>
        <v>-1</v>
      </c>
      <c r="M481" s="7" t="str">
        <f t="shared" ca="1" si="43"/>
        <v/>
      </c>
      <c r="N481" s="6" t="str">
        <f t="shared" ca="1" si="44"/>
        <v/>
      </c>
      <c r="O481" s="6">
        <f t="shared" si="45"/>
        <v>-2.5500000000000114</v>
      </c>
      <c r="Q481" s="6">
        <v>2.3499999999999943</v>
      </c>
      <c r="R481" s="9">
        <f t="shared" si="46"/>
        <v>881.24999999999784</v>
      </c>
      <c r="S481" s="7">
        <f t="shared" si="47"/>
        <v>6881.2499999999982</v>
      </c>
    </row>
    <row r="482" spans="1:19" x14ac:dyDescent="0.25">
      <c r="A482" s="4">
        <f>Sheet1!A482</f>
        <v>39784</v>
      </c>
      <c r="B482" s="5">
        <f>Sheet1!B482</f>
        <v>0.58333333333333337</v>
      </c>
      <c r="C482" s="6">
        <f>Sheet1!C482</f>
        <v>168.95</v>
      </c>
      <c r="D482" s="6">
        <f>Sheet1!D482</f>
        <v>169.75</v>
      </c>
      <c r="E482" s="6">
        <f>Sheet1!E482</f>
        <v>166.35</v>
      </c>
      <c r="F482" s="6">
        <f>Sheet1!F482</f>
        <v>167.35</v>
      </c>
      <c r="H482" s="6">
        <f ca="1">IF(ROW($H482)-1&lt;$I$1,$F482,AVERAGE($F482:OFFSET($F482,(($I$1-1)*-1),0)))</f>
        <v>169.83333333333334</v>
      </c>
      <c r="J482" s="6">
        <f ca="1">IF(ROW($J482)-1&lt;$K$1,$F482,AVERAGE($F482:OFFSET($F482,(($K$1-1)*-1),0)))</f>
        <v>170.74821428571431</v>
      </c>
      <c r="L482" s="7">
        <f t="shared" ca="1" si="42"/>
        <v>-1</v>
      </c>
      <c r="M482" s="7" t="str">
        <f t="shared" ca="1" si="43"/>
        <v/>
      </c>
      <c r="N482" s="6" t="str">
        <f t="shared" ca="1" si="44"/>
        <v/>
      </c>
      <c r="O482" s="6">
        <f t="shared" si="45"/>
        <v>-1.6500000000000057</v>
      </c>
      <c r="Q482" s="6">
        <v>4</v>
      </c>
      <c r="R482" s="9">
        <f t="shared" si="46"/>
        <v>1500</v>
      </c>
      <c r="S482" s="7">
        <f t="shared" si="47"/>
        <v>6881.2499999999982</v>
      </c>
    </row>
    <row r="483" spans="1:19" x14ac:dyDescent="0.25">
      <c r="A483" s="4">
        <f>Sheet1!A483</f>
        <v>39785</v>
      </c>
      <c r="B483" s="5">
        <f>Sheet1!B483</f>
        <v>0.58333333333333337</v>
      </c>
      <c r="C483" s="6">
        <f>Sheet1!C483</f>
        <v>167.1</v>
      </c>
      <c r="D483" s="6">
        <f>Sheet1!D483</f>
        <v>168.45</v>
      </c>
      <c r="E483" s="6">
        <f>Sheet1!E483</f>
        <v>165.75</v>
      </c>
      <c r="F483" s="6">
        <f>Sheet1!F483</f>
        <v>166.7</v>
      </c>
      <c r="H483" s="6">
        <f ca="1">IF(ROW($H483)-1&lt;$I$1,$F483,AVERAGE($F483:OFFSET($F483,(($I$1-1)*-1),0)))</f>
        <v>169.36666666666667</v>
      </c>
      <c r="J483" s="6">
        <f ca="1">IF(ROW($J483)-1&lt;$K$1,$F483,AVERAGE($F483:OFFSET($F483,(($K$1-1)*-1),0)))</f>
        <v>170.62142857142859</v>
      </c>
      <c r="L483" s="7">
        <f t="shared" ca="1" si="42"/>
        <v>-1</v>
      </c>
      <c r="M483" s="7" t="str">
        <f t="shared" ca="1" si="43"/>
        <v/>
      </c>
      <c r="N483" s="6" t="str">
        <f t="shared" ca="1" si="44"/>
        <v/>
      </c>
      <c r="O483" s="6">
        <f t="shared" si="45"/>
        <v>-0.65000000000000568</v>
      </c>
      <c r="Q483" s="6">
        <v>4.6500000000000057</v>
      </c>
      <c r="R483" s="9">
        <f t="shared" si="46"/>
        <v>1743.750000000002</v>
      </c>
      <c r="S483" s="7">
        <f t="shared" si="47"/>
        <v>6881.2499999999982</v>
      </c>
    </row>
    <row r="484" spans="1:19" x14ac:dyDescent="0.25">
      <c r="A484" s="4">
        <f>Sheet1!A484</f>
        <v>39786</v>
      </c>
      <c r="B484" s="5">
        <f>Sheet1!B484</f>
        <v>0.58333333333333337</v>
      </c>
      <c r="C484" s="6">
        <f>Sheet1!C484</f>
        <v>166</v>
      </c>
      <c r="D484" s="6">
        <f>Sheet1!D484</f>
        <v>166.4</v>
      </c>
      <c r="E484" s="6">
        <f>Sheet1!E484</f>
        <v>161</v>
      </c>
      <c r="F484" s="6">
        <f>Sheet1!F484</f>
        <v>161.6</v>
      </c>
      <c r="H484" s="6">
        <f ca="1">IF(ROW($H484)-1&lt;$I$1,$F484,AVERAGE($F484:OFFSET($F484,(($I$1-1)*-1),0)))</f>
        <v>167.99166666666665</v>
      </c>
      <c r="J484" s="6">
        <f ca="1">IF(ROW($J484)-1&lt;$K$1,$F484,AVERAGE($F484:OFFSET($F484,(($K$1-1)*-1),0)))</f>
        <v>170.36428571428573</v>
      </c>
      <c r="L484" s="7">
        <f t="shared" ca="1" si="42"/>
        <v>-1</v>
      </c>
      <c r="M484" s="7" t="str">
        <f t="shared" ca="1" si="43"/>
        <v/>
      </c>
      <c r="N484" s="6" t="str">
        <f t="shared" ca="1" si="44"/>
        <v/>
      </c>
      <c r="O484" s="6">
        <f t="shared" si="45"/>
        <v>-5.0999999999999943</v>
      </c>
      <c r="Q484" s="6">
        <v>9.75</v>
      </c>
      <c r="R484" s="9">
        <f t="shared" si="46"/>
        <v>3656.25</v>
      </c>
      <c r="S484" s="7">
        <f t="shared" si="47"/>
        <v>6881.2499999999982</v>
      </c>
    </row>
    <row r="485" spans="1:19" x14ac:dyDescent="0.25">
      <c r="A485" s="4">
        <f>Sheet1!A485</f>
        <v>39787</v>
      </c>
      <c r="B485" s="5">
        <f>Sheet1!B485</f>
        <v>0.58333333333333337</v>
      </c>
      <c r="C485" s="6">
        <f>Sheet1!C485</f>
        <v>162.1</v>
      </c>
      <c r="D485" s="6">
        <f>Sheet1!D485</f>
        <v>163.44999999999999</v>
      </c>
      <c r="E485" s="6">
        <f>Sheet1!E485</f>
        <v>157.6</v>
      </c>
      <c r="F485" s="6">
        <f>Sheet1!F485</f>
        <v>158.65</v>
      </c>
      <c r="H485" s="6">
        <f ca="1">IF(ROW($H485)-1&lt;$I$1,$F485,AVERAGE($F485:OFFSET($F485,(($I$1-1)*-1),0)))</f>
        <v>165.80833333333331</v>
      </c>
      <c r="J485" s="6">
        <f ca="1">IF(ROW($J485)-1&lt;$K$1,$F485,AVERAGE($F485:OFFSET($F485,(($K$1-1)*-1),0)))</f>
        <v>170.03392857142859</v>
      </c>
      <c r="L485" s="7">
        <f t="shared" ca="1" si="42"/>
        <v>-1</v>
      </c>
      <c r="M485" s="7" t="str">
        <f t="shared" ca="1" si="43"/>
        <v/>
      </c>
      <c r="N485" s="6" t="str">
        <f t="shared" ca="1" si="44"/>
        <v/>
      </c>
      <c r="O485" s="6">
        <f t="shared" si="45"/>
        <v>-2.9499999999999886</v>
      </c>
      <c r="Q485" s="6">
        <v>12.699999999999989</v>
      </c>
      <c r="R485" s="9">
        <f t="shared" si="46"/>
        <v>4762.4999999999955</v>
      </c>
      <c r="S485" s="7">
        <f t="shared" si="47"/>
        <v>6881.2499999999982</v>
      </c>
    </row>
    <row r="486" spans="1:19" x14ac:dyDescent="0.25">
      <c r="A486" s="4">
        <f>Sheet1!A486</f>
        <v>39790</v>
      </c>
      <c r="B486" s="5">
        <f>Sheet1!B486</f>
        <v>0.58333333333333337</v>
      </c>
      <c r="C486" s="6">
        <f>Sheet1!C486</f>
        <v>160.44999999999999</v>
      </c>
      <c r="D486" s="6">
        <f>Sheet1!D486</f>
        <v>165.35</v>
      </c>
      <c r="E486" s="6">
        <f>Sheet1!E486</f>
        <v>160.4</v>
      </c>
      <c r="F486" s="6">
        <f>Sheet1!F486</f>
        <v>164.95</v>
      </c>
      <c r="H486" s="6">
        <f ca="1">IF(ROW($H486)-1&lt;$I$1,$F486,AVERAGE($F486:OFFSET($F486,(($I$1-1)*-1),0)))</f>
        <v>164.70833333333334</v>
      </c>
      <c r="J486" s="6">
        <f ca="1">IF(ROW($J486)-1&lt;$K$1,$F486,AVERAGE($F486:OFFSET($F486,(($K$1-1)*-1),0)))</f>
        <v>169.93035714285716</v>
      </c>
      <c r="L486" s="7">
        <f t="shared" ca="1" si="42"/>
        <v>-1</v>
      </c>
      <c r="M486" s="7" t="str">
        <f t="shared" ca="1" si="43"/>
        <v/>
      </c>
      <c r="N486" s="6" t="str">
        <f t="shared" ca="1" si="44"/>
        <v/>
      </c>
      <c r="O486" s="6">
        <f t="shared" si="45"/>
        <v>6.2999999999999829</v>
      </c>
      <c r="Q486" s="6">
        <v>6.4000000000000057</v>
      </c>
      <c r="R486" s="9">
        <f t="shared" si="46"/>
        <v>2400.0000000000023</v>
      </c>
      <c r="S486" s="7">
        <f t="shared" si="47"/>
        <v>6881.2499999999982</v>
      </c>
    </row>
    <row r="487" spans="1:19" x14ac:dyDescent="0.25">
      <c r="A487" s="4">
        <f>Sheet1!A487</f>
        <v>39791</v>
      </c>
      <c r="B487" s="5">
        <f>Sheet1!B487</f>
        <v>0.58333333333333337</v>
      </c>
      <c r="C487" s="6">
        <f>Sheet1!C487</f>
        <v>164.5</v>
      </c>
      <c r="D487" s="6">
        <f>Sheet1!D487</f>
        <v>167.55</v>
      </c>
      <c r="E487" s="6">
        <f>Sheet1!E487</f>
        <v>162.44999999999999</v>
      </c>
      <c r="F487" s="6">
        <f>Sheet1!F487</f>
        <v>165.3</v>
      </c>
      <c r="H487" s="6">
        <f ca="1">IF(ROW($H487)-1&lt;$I$1,$F487,AVERAGE($F487:OFFSET($F487,(($I$1-1)*-1),0)))</f>
        <v>164.09166666666667</v>
      </c>
      <c r="J487" s="6">
        <f ca="1">IF(ROW($J487)-1&lt;$K$1,$F487,AVERAGE($F487:OFFSET($F487,(($K$1-1)*-1),0)))</f>
        <v>169.67857142857147</v>
      </c>
      <c r="L487" s="7">
        <f t="shared" ca="1" si="42"/>
        <v>-1</v>
      </c>
      <c r="M487" s="7" t="str">
        <f t="shared" ca="1" si="43"/>
        <v/>
      </c>
      <c r="N487" s="6" t="str">
        <f t="shared" ca="1" si="44"/>
        <v/>
      </c>
      <c r="O487" s="6">
        <f t="shared" si="45"/>
        <v>0.35000000000002274</v>
      </c>
      <c r="Q487" s="6">
        <v>6.0499999999999829</v>
      </c>
      <c r="R487" s="9">
        <f t="shared" si="46"/>
        <v>2268.7499999999936</v>
      </c>
      <c r="S487" s="7">
        <f t="shared" si="47"/>
        <v>6881.2499999999982</v>
      </c>
    </row>
    <row r="488" spans="1:19" x14ac:dyDescent="0.25">
      <c r="A488" s="4">
        <f>Sheet1!A488</f>
        <v>39792</v>
      </c>
      <c r="B488" s="5">
        <f>Sheet1!B488</f>
        <v>0.58333333333333337</v>
      </c>
      <c r="C488" s="6">
        <f>Sheet1!C488</f>
        <v>165.3</v>
      </c>
      <c r="D488" s="6">
        <f>Sheet1!D488</f>
        <v>167.15</v>
      </c>
      <c r="E488" s="6">
        <f>Sheet1!E488</f>
        <v>164.65</v>
      </c>
      <c r="F488" s="6">
        <f>Sheet1!F488</f>
        <v>166.5</v>
      </c>
      <c r="H488" s="6">
        <f ca="1">IF(ROW($H488)-1&lt;$I$1,$F488,AVERAGE($F488:OFFSET($F488,(($I$1-1)*-1),0)))</f>
        <v>163.94999999999996</v>
      </c>
      <c r="J488" s="6">
        <f ca="1">IF(ROW($J488)-1&lt;$K$1,$F488,AVERAGE($F488:OFFSET($F488,(($K$1-1)*-1),0)))</f>
        <v>169.51249999999999</v>
      </c>
      <c r="L488" s="7">
        <f t="shared" ca="1" si="42"/>
        <v>-1</v>
      </c>
      <c r="M488" s="7" t="str">
        <f t="shared" ca="1" si="43"/>
        <v/>
      </c>
      <c r="N488" s="6" t="str">
        <f t="shared" ca="1" si="44"/>
        <v/>
      </c>
      <c r="O488" s="6">
        <f t="shared" si="45"/>
        <v>1.1999999999999886</v>
      </c>
      <c r="Q488" s="6">
        <v>4.8499999999999943</v>
      </c>
      <c r="R488" s="9">
        <f t="shared" si="46"/>
        <v>1818.749999999998</v>
      </c>
      <c r="S488" s="7">
        <f t="shared" si="47"/>
        <v>6881.2499999999982</v>
      </c>
    </row>
    <row r="489" spans="1:19" x14ac:dyDescent="0.25">
      <c r="A489" s="4">
        <f>Sheet1!A489</f>
        <v>39793</v>
      </c>
      <c r="B489" s="5">
        <f>Sheet1!B489</f>
        <v>0.58333333333333337</v>
      </c>
      <c r="C489" s="6">
        <f>Sheet1!C489</f>
        <v>166.65</v>
      </c>
      <c r="D489" s="6">
        <f>Sheet1!D489</f>
        <v>169.15</v>
      </c>
      <c r="E489" s="6">
        <f>Sheet1!E489</f>
        <v>166.65</v>
      </c>
      <c r="F489" s="6">
        <f>Sheet1!F489</f>
        <v>168.15</v>
      </c>
      <c r="H489" s="6">
        <f ca="1">IF(ROW($H489)-1&lt;$I$1,$F489,AVERAGE($F489:OFFSET($F489,(($I$1-1)*-1),0)))</f>
        <v>164.19166666666666</v>
      </c>
      <c r="J489" s="6">
        <f ca="1">IF(ROW($J489)-1&lt;$K$1,$F489,AVERAGE($F489:OFFSET($F489,(($K$1-1)*-1),0)))</f>
        <v>169.33392857142857</v>
      </c>
      <c r="L489" s="7">
        <f t="shared" ca="1" si="42"/>
        <v>-1</v>
      </c>
      <c r="M489" s="7" t="str">
        <f t="shared" ca="1" si="43"/>
        <v/>
      </c>
      <c r="N489" s="6" t="str">
        <f t="shared" ca="1" si="44"/>
        <v/>
      </c>
      <c r="O489" s="6">
        <f t="shared" si="45"/>
        <v>1.6500000000000057</v>
      </c>
      <c r="Q489" s="6">
        <v>3.1999999999999886</v>
      </c>
      <c r="R489" s="9">
        <f t="shared" si="46"/>
        <v>1199.9999999999957</v>
      </c>
      <c r="S489" s="7">
        <f t="shared" si="47"/>
        <v>6881.2499999999982</v>
      </c>
    </row>
    <row r="490" spans="1:19" x14ac:dyDescent="0.25">
      <c r="A490" s="4">
        <f>Sheet1!A490</f>
        <v>39794</v>
      </c>
      <c r="B490" s="5">
        <f>Sheet1!B490</f>
        <v>0.58333333333333337</v>
      </c>
      <c r="C490" s="6">
        <f>Sheet1!C490</f>
        <v>167.15</v>
      </c>
      <c r="D490" s="6">
        <f>Sheet1!D490</f>
        <v>168.9</v>
      </c>
      <c r="E490" s="6">
        <f>Sheet1!E490</f>
        <v>165.85</v>
      </c>
      <c r="F490" s="6">
        <f>Sheet1!F490</f>
        <v>167.6</v>
      </c>
      <c r="H490" s="6">
        <f ca="1">IF(ROW($H490)-1&lt;$I$1,$F490,AVERAGE($F490:OFFSET($F490,(($I$1-1)*-1),0)))</f>
        <v>165.19166666666669</v>
      </c>
      <c r="J490" s="6">
        <f ca="1">IF(ROW($J490)-1&lt;$K$1,$F490,AVERAGE($F490:OFFSET($F490,(($K$1-1)*-1),0)))</f>
        <v>169.15892857142856</v>
      </c>
      <c r="L490" s="7">
        <f t="shared" ca="1" si="42"/>
        <v>-1</v>
      </c>
      <c r="M490" s="7" t="str">
        <f t="shared" ca="1" si="43"/>
        <v/>
      </c>
      <c r="N490" s="6" t="str">
        <f t="shared" ca="1" si="44"/>
        <v/>
      </c>
      <c r="O490" s="6">
        <f t="shared" si="45"/>
        <v>-0.55000000000001137</v>
      </c>
      <c r="Q490" s="6">
        <v>3.75</v>
      </c>
      <c r="R490" s="9">
        <f t="shared" si="46"/>
        <v>1406.25</v>
      </c>
      <c r="S490" s="7">
        <f t="shared" si="47"/>
        <v>6881.2499999999982</v>
      </c>
    </row>
    <row r="491" spans="1:19" x14ac:dyDescent="0.25">
      <c r="A491" s="4">
        <f>Sheet1!A491</f>
        <v>39797</v>
      </c>
      <c r="B491" s="5">
        <f>Sheet1!B491</f>
        <v>0.58333333333333337</v>
      </c>
      <c r="C491" s="6">
        <f>Sheet1!C491</f>
        <v>168.45</v>
      </c>
      <c r="D491" s="6">
        <f>Sheet1!D491</f>
        <v>169.45</v>
      </c>
      <c r="E491" s="6">
        <f>Sheet1!E491</f>
        <v>165.35</v>
      </c>
      <c r="F491" s="6">
        <f>Sheet1!F491</f>
        <v>166</v>
      </c>
      <c r="H491" s="6">
        <f ca="1">IF(ROW($H491)-1&lt;$I$1,$F491,AVERAGE($F491:OFFSET($F491,(($I$1-1)*-1),0)))</f>
        <v>166.41666666666666</v>
      </c>
      <c r="J491" s="6">
        <f ca="1">IF(ROW($J491)-1&lt;$K$1,$F491,AVERAGE($F491:OFFSET($F491,(($K$1-1)*-1),0)))</f>
        <v>168.77142857142857</v>
      </c>
      <c r="L491" s="7">
        <f t="shared" ca="1" si="42"/>
        <v>-1</v>
      </c>
      <c r="M491" s="7" t="str">
        <f t="shared" ca="1" si="43"/>
        <v/>
      </c>
      <c r="N491" s="6" t="str">
        <f t="shared" ca="1" si="44"/>
        <v/>
      </c>
      <c r="O491" s="6">
        <f t="shared" si="45"/>
        <v>-1.5999999999999943</v>
      </c>
      <c r="Q491" s="6">
        <v>5.3499999999999943</v>
      </c>
      <c r="R491" s="9">
        <f t="shared" si="46"/>
        <v>2006.249999999998</v>
      </c>
      <c r="S491" s="7">
        <f t="shared" si="47"/>
        <v>6881.2499999999982</v>
      </c>
    </row>
    <row r="492" spans="1:19" x14ac:dyDescent="0.25">
      <c r="A492" s="4">
        <f>Sheet1!A492</f>
        <v>39798</v>
      </c>
      <c r="B492" s="5">
        <f>Sheet1!B492</f>
        <v>0.58333333333333337</v>
      </c>
      <c r="C492" s="6">
        <f>Sheet1!C492</f>
        <v>166.25</v>
      </c>
      <c r="D492" s="6">
        <f>Sheet1!D492</f>
        <v>167.4</v>
      </c>
      <c r="E492" s="6">
        <f>Sheet1!E492</f>
        <v>165.7</v>
      </c>
      <c r="F492" s="6">
        <f>Sheet1!F492</f>
        <v>166.55</v>
      </c>
      <c r="H492" s="6">
        <f ca="1">IF(ROW($H492)-1&lt;$I$1,$F492,AVERAGE($F492:OFFSET($F492,(($I$1-1)*-1),0)))</f>
        <v>166.68333333333337</v>
      </c>
      <c r="J492" s="6">
        <f ca="1">IF(ROW($J492)-1&lt;$K$1,$F492,AVERAGE($F492:OFFSET($F492,(($K$1-1)*-1),0)))</f>
        <v>168.41428571428574</v>
      </c>
      <c r="L492" s="7">
        <f t="shared" ca="1" si="42"/>
        <v>-1</v>
      </c>
      <c r="M492" s="7" t="str">
        <f t="shared" ca="1" si="43"/>
        <v/>
      </c>
      <c r="N492" s="6" t="str">
        <f t="shared" ca="1" si="44"/>
        <v/>
      </c>
      <c r="O492" s="6">
        <f t="shared" si="45"/>
        <v>0.55000000000001137</v>
      </c>
      <c r="Q492" s="6">
        <v>4.7999999999999829</v>
      </c>
      <c r="R492" s="9">
        <f t="shared" si="46"/>
        <v>1799.9999999999936</v>
      </c>
      <c r="S492" s="7">
        <f t="shared" si="47"/>
        <v>6881.2499999999982</v>
      </c>
    </row>
    <row r="493" spans="1:19" x14ac:dyDescent="0.25">
      <c r="A493" s="4">
        <f>Sheet1!A493</f>
        <v>39799</v>
      </c>
      <c r="B493" s="5">
        <f>Sheet1!B493</f>
        <v>0.58333333333333337</v>
      </c>
      <c r="C493" s="6">
        <f>Sheet1!C493</f>
        <v>167.65</v>
      </c>
      <c r="D493" s="6">
        <f>Sheet1!D493</f>
        <v>169.25</v>
      </c>
      <c r="E493" s="6">
        <f>Sheet1!E493</f>
        <v>166.35</v>
      </c>
      <c r="F493" s="6">
        <f>Sheet1!F493</f>
        <v>167.75</v>
      </c>
      <c r="H493" s="6">
        <f ca="1">IF(ROW($H493)-1&lt;$I$1,$F493,AVERAGE($F493:OFFSET($F493,(($I$1-1)*-1),0)))</f>
        <v>167.09166666666667</v>
      </c>
      <c r="J493" s="6">
        <f ca="1">IF(ROW($J493)-1&lt;$K$1,$F493,AVERAGE($F493:OFFSET($F493,(($K$1-1)*-1),0)))</f>
        <v>168.29285714285717</v>
      </c>
      <c r="L493" s="7">
        <f t="shared" ca="1" si="42"/>
        <v>-1</v>
      </c>
      <c r="M493" s="7" t="str">
        <f t="shared" ca="1" si="43"/>
        <v/>
      </c>
      <c r="N493" s="6" t="str">
        <f t="shared" ca="1" si="44"/>
        <v/>
      </c>
      <c r="O493" s="6">
        <f t="shared" si="45"/>
        <v>1.1999999999999886</v>
      </c>
      <c r="Q493" s="6">
        <v>3.5999999999999943</v>
      </c>
      <c r="R493" s="9">
        <f t="shared" si="46"/>
        <v>1349.999999999998</v>
      </c>
      <c r="S493" s="7">
        <f t="shared" si="47"/>
        <v>6881.2499999999982</v>
      </c>
    </row>
    <row r="494" spans="1:19" x14ac:dyDescent="0.25">
      <c r="A494" s="4">
        <f>Sheet1!A494</f>
        <v>39800</v>
      </c>
      <c r="B494" s="5">
        <f>Sheet1!B494</f>
        <v>0.58333333333333337</v>
      </c>
      <c r="C494" s="6">
        <f>Sheet1!C494</f>
        <v>167.95</v>
      </c>
      <c r="D494" s="6">
        <f>Sheet1!D494</f>
        <v>169.05</v>
      </c>
      <c r="E494" s="6">
        <f>Sheet1!E494</f>
        <v>167.15</v>
      </c>
      <c r="F494" s="6">
        <f>Sheet1!F494</f>
        <v>167.95</v>
      </c>
      <c r="H494" s="6">
        <f ca="1">IF(ROW($H494)-1&lt;$I$1,$F494,AVERAGE($F494:OFFSET($F494,(($I$1-1)*-1),0)))</f>
        <v>167.33333333333334</v>
      </c>
      <c r="J494" s="6">
        <f ca="1">IF(ROW($J494)-1&lt;$K$1,$F494,AVERAGE($F494:OFFSET($F494,(($K$1-1)*-1),0)))</f>
        <v>168.13928571428571</v>
      </c>
      <c r="L494" s="7">
        <f t="shared" ca="1" si="42"/>
        <v>-1</v>
      </c>
      <c r="M494" s="7" t="str">
        <f t="shared" ca="1" si="43"/>
        <v/>
      </c>
      <c r="N494" s="6" t="str">
        <f t="shared" ca="1" si="44"/>
        <v/>
      </c>
      <c r="O494" s="6">
        <f t="shared" si="45"/>
        <v>0.19999999999998863</v>
      </c>
      <c r="Q494" s="6">
        <v>3.4000000000000057</v>
      </c>
      <c r="R494" s="9">
        <f t="shared" si="46"/>
        <v>1275.000000000002</v>
      </c>
      <c r="S494" s="7">
        <f t="shared" si="47"/>
        <v>6881.2499999999982</v>
      </c>
    </row>
    <row r="495" spans="1:19" x14ac:dyDescent="0.25">
      <c r="A495" s="4">
        <f>Sheet1!A495</f>
        <v>39801</v>
      </c>
      <c r="B495" s="5">
        <f>Sheet1!B495</f>
        <v>0.58333333333333337</v>
      </c>
      <c r="C495" s="6">
        <f>Sheet1!C495</f>
        <v>167.7</v>
      </c>
      <c r="D495" s="6">
        <f>Sheet1!D495</f>
        <v>167.8</v>
      </c>
      <c r="E495" s="6">
        <f>Sheet1!E495</f>
        <v>165.7</v>
      </c>
      <c r="F495" s="6">
        <f>Sheet1!F495</f>
        <v>166.4</v>
      </c>
      <c r="H495" s="6">
        <f ca="1">IF(ROW($H495)-1&lt;$I$1,$F495,AVERAGE($F495:OFFSET($F495,(($I$1-1)*-1),0)))</f>
        <v>167.04166666666669</v>
      </c>
      <c r="J495" s="6">
        <f ca="1">IF(ROW($J495)-1&lt;$K$1,$F495,AVERAGE($F495:OFFSET($F495,(($K$1-1)*-1),0)))</f>
        <v>167.90535714285713</v>
      </c>
      <c r="L495" s="7">
        <f t="shared" ca="1" si="42"/>
        <v>-1</v>
      </c>
      <c r="M495" s="7" t="str">
        <f t="shared" ca="1" si="43"/>
        <v/>
      </c>
      <c r="N495" s="6" t="str">
        <f t="shared" ca="1" si="44"/>
        <v/>
      </c>
      <c r="O495" s="6">
        <f t="shared" si="45"/>
        <v>-1.5499999999999829</v>
      </c>
      <c r="Q495" s="6">
        <v>4.9499999999999886</v>
      </c>
      <c r="R495" s="9">
        <f t="shared" si="46"/>
        <v>1856.2499999999957</v>
      </c>
      <c r="S495" s="7">
        <f t="shared" si="47"/>
        <v>6881.2499999999982</v>
      </c>
    </row>
    <row r="496" spans="1:19" x14ac:dyDescent="0.25">
      <c r="A496" s="4">
        <f>Sheet1!A496</f>
        <v>39804</v>
      </c>
      <c r="B496" s="5">
        <f>Sheet1!B496</f>
        <v>0.58333333333333337</v>
      </c>
      <c r="C496" s="6">
        <f>Sheet1!C496</f>
        <v>166.45</v>
      </c>
      <c r="D496" s="6">
        <f>Sheet1!D496</f>
        <v>166.7</v>
      </c>
      <c r="E496" s="6">
        <f>Sheet1!E496</f>
        <v>162.5</v>
      </c>
      <c r="F496" s="6">
        <f>Sheet1!F496</f>
        <v>163.80000000000001</v>
      </c>
      <c r="H496" s="6">
        <f ca="1">IF(ROW($H496)-1&lt;$I$1,$F496,AVERAGE($F496:OFFSET($F496,(($I$1-1)*-1),0)))</f>
        <v>166.40833333333333</v>
      </c>
      <c r="J496" s="6">
        <f ca="1">IF(ROW($J496)-1&lt;$K$1,$F496,AVERAGE($F496:OFFSET($F496,(($K$1-1)*-1),0)))</f>
        <v>167.59821428571428</v>
      </c>
      <c r="L496" s="7">
        <f t="shared" ca="1" si="42"/>
        <v>-1</v>
      </c>
      <c r="M496" s="7" t="str">
        <f t="shared" ca="1" si="43"/>
        <v/>
      </c>
      <c r="N496" s="6" t="str">
        <f t="shared" ca="1" si="44"/>
        <v/>
      </c>
      <c r="O496" s="6">
        <f t="shared" si="45"/>
        <v>-2.5999999999999943</v>
      </c>
      <c r="Q496" s="6">
        <v>7.5499999999999829</v>
      </c>
      <c r="R496" s="9">
        <f t="shared" si="46"/>
        <v>2831.2499999999936</v>
      </c>
      <c r="S496" s="7">
        <f t="shared" si="47"/>
        <v>6881.2499999999982</v>
      </c>
    </row>
    <row r="497" spans="1:19" x14ac:dyDescent="0.25">
      <c r="A497" s="4">
        <f>Sheet1!A497</f>
        <v>39805</v>
      </c>
      <c r="B497" s="5">
        <f>Sheet1!B497</f>
        <v>0.58333333333333337</v>
      </c>
      <c r="C497" s="6">
        <f>Sheet1!C497</f>
        <v>163.44999999999999</v>
      </c>
      <c r="D497" s="6">
        <f>Sheet1!D497</f>
        <v>164.35</v>
      </c>
      <c r="E497" s="6">
        <f>Sheet1!E497</f>
        <v>162.5</v>
      </c>
      <c r="F497" s="6">
        <f>Sheet1!F497</f>
        <v>162.9</v>
      </c>
      <c r="H497" s="6">
        <f ca="1">IF(ROW($H497)-1&lt;$I$1,$F497,AVERAGE($F497:OFFSET($F497,(($I$1-1)*-1),0)))</f>
        <v>165.89166666666668</v>
      </c>
      <c r="J497" s="6">
        <f ca="1">IF(ROW($J497)-1&lt;$K$1,$F497,AVERAGE($F497:OFFSET($F497,(($K$1-1)*-1),0)))</f>
        <v>167.27857142857141</v>
      </c>
      <c r="L497" s="7">
        <f t="shared" ca="1" si="42"/>
        <v>-1</v>
      </c>
      <c r="M497" s="7" t="str">
        <f t="shared" ca="1" si="43"/>
        <v/>
      </c>
      <c r="N497" s="6" t="str">
        <f t="shared" ca="1" si="44"/>
        <v/>
      </c>
      <c r="O497" s="6">
        <f t="shared" si="45"/>
        <v>-0.90000000000000568</v>
      </c>
      <c r="Q497" s="6">
        <v>8.4499999999999886</v>
      </c>
      <c r="R497" s="9">
        <f t="shared" si="46"/>
        <v>3168.7499999999959</v>
      </c>
      <c r="S497" s="7">
        <f t="shared" si="47"/>
        <v>6881.2499999999982</v>
      </c>
    </row>
    <row r="498" spans="1:19" x14ac:dyDescent="0.25">
      <c r="A498" s="4">
        <f>Sheet1!A498</f>
        <v>39806</v>
      </c>
      <c r="B498" s="5">
        <f>Sheet1!B498</f>
        <v>0.58333333333333337</v>
      </c>
      <c r="C498" s="6">
        <f>Sheet1!C498</f>
        <v>162.94999999999999</v>
      </c>
      <c r="D498" s="6">
        <f>Sheet1!D498</f>
        <v>164</v>
      </c>
      <c r="E498" s="6">
        <f>Sheet1!E498</f>
        <v>162.80000000000001</v>
      </c>
      <c r="F498" s="6">
        <f>Sheet1!F498</f>
        <v>163.5</v>
      </c>
      <c r="H498" s="6">
        <f ca="1">IF(ROW($H498)-1&lt;$I$1,$F498,AVERAGE($F498:OFFSET($F498,(($I$1-1)*-1),0)))</f>
        <v>165.38333333333335</v>
      </c>
      <c r="J498" s="6">
        <f ca="1">IF(ROW($J498)-1&lt;$K$1,$F498,AVERAGE($F498:OFFSET($F498,(($K$1-1)*-1),0)))</f>
        <v>167.03214285714284</v>
      </c>
      <c r="L498" s="7">
        <f t="shared" ca="1" si="42"/>
        <v>-1</v>
      </c>
      <c r="M498" s="7" t="str">
        <f t="shared" ca="1" si="43"/>
        <v/>
      </c>
      <c r="N498" s="6" t="str">
        <f t="shared" ca="1" si="44"/>
        <v/>
      </c>
      <c r="O498" s="6">
        <f t="shared" si="45"/>
        <v>0.59999999999999432</v>
      </c>
      <c r="Q498" s="6">
        <v>7.8499999999999943</v>
      </c>
      <c r="R498" s="9">
        <f t="shared" si="46"/>
        <v>2943.7499999999977</v>
      </c>
      <c r="S498" s="7">
        <f t="shared" si="47"/>
        <v>6881.2499999999982</v>
      </c>
    </row>
    <row r="499" spans="1:19" x14ac:dyDescent="0.25">
      <c r="A499" s="4">
        <f>Sheet1!A499</f>
        <v>39808</v>
      </c>
      <c r="B499" s="5">
        <f>Sheet1!B499</f>
        <v>0.58333333333333337</v>
      </c>
      <c r="C499" s="6">
        <f>Sheet1!C499</f>
        <v>163.75</v>
      </c>
      <c r="D499" s="6">
        <f>Sheet1!D499</f>
        <v>164.8</v>
      </c>
      <c r="E499" s="6">
        <f>Sheet1!E499</f>
        <v>163.4</v>
      </c>
      <c r="F499" s="6">
        <f>Sheet1!F499</f>
        <v>163.85</v>
      </c>
      <c r="H499" s="6">
        <f ca="1">IF(ROW($H499)-1&lt;$I$1,$F499,AVERAGE($F499:OFFSET($F499,(($I$1-1)*-1),0)))</f>
        <v>164.73333333333335</v>
      </c>
      <c r="J499" s="6">
        <f ca="1">IF(ROW($J499)-1&lt;$K$1,$F499,AVERAGE($F499:OFFSET($F499,(($K$1-1)*-1),0)))</f>
        <v>166.78035714285716</v>
      </c>
      <c r="L499" s="7">
        <f t="shared" ca="1" si="42"/>
        <v>-1</v>
      </c>
      <c r="M499" s="7" t="str">
        <f t="shared" ca="1" si="43"/>
        <v/>
      </c>
      <c r="N499" s="6" t="str">
        <f t="shared" ca="1" si="44"/>
        <v/>
      </c>
      <c r="O499" s="6">
        <f t="shared" si="45"/>
        <v>0.34999999999999432</v>
      </c>
      <c r="Q499" s="6">
        <v>7.5</v>
      </c>
      <c r="R499" s="9">
        <f t="shared" si="46"/>
        <v>2812.5</v>
      </c>
      <c r="S499" s="7">
        <f t="shared" si="47"/>
        <v>6881.2499999999982</v>
      </c>
    </row>
    <row r="500" spans="1:19" x14ac:dyDescent="0.25">
      <c r="A500" s="4">
        <f>Sheet1!A500</f>
        <v>39811</v>
      </c>
      <c r="B500" s="5">
        <f>Sheet1!B500</f>
        <v>0.58333333333333337</v>
      </c>
      <c r="C500" s="6">
        <f>Sheet1!C500</f>
        <v>163.69999999999999</v>
      </c>
      <c r="D500" s="6">
        <f>Sheet1!D500</f>
        <v>164.8</v>
      </c>
      <c r="E500" s="6">
        <f>Sheet1!E500</f>
        <v>161.69999999999999</v>
      </c>
      <c r="F500" s="6">
        <f>Sheet1!F500</f>
        <v>162.1</v>
      </c>
      <c r="H500" s="6">
        <f ca="1">IF(ROW($H500)-1&lt;$I$1,$F500,AVERAGE($F500:OFFSET($F500,(($I$1-1)*-1),0)))</f>
        <v>163.75833333333335</v>
      </c>
      <c r="J500" s="6">
        <f ca="1">IF(ROW($J500)-1&lt;$K$1,$F500,AVERAGE($F500:OFFSET($F500,(($K$1-1)*-1),0)))</f>
        <v>166.49285714285719</v>
      </c>
      <c r="L500" s="7">
        <f t="shared" ca="1" si="42"/>
        <v>-1</v>
      </c>
      <c r="M500" s="7" t="str">
        <f t="shared" ca="1" si="43"/>
        <v/>
      </c>
      <c r="N500" s="6" t="str">
        <f t="shared" ca="1" si="44"/>
        <v/>
      </c>
      <c r="O500" s="6">
        <f t="shared" si="45"/>
        <v>-1.75</v>
      </c>
      <c r="Q500" s="6">
        <v>9.25</v>
      </c>
      <c r="R500" s="9">
        <f t="shared" si="46"/>
        <v>3468.75</v>
      </c>
      <c r="S500" s="7">
        <f t="shared" si="47"/>
        <v>6881.2499999999982</v>
      </c>
    </row>
    <row r="501" spans="1:19" x14ac:dyDescent="0.25">
      <c r="A501" s="4">
        <f>Sheet1!A501</f>
        <v>39812</v>
      </c>
      <c r="B501" s="5">
        <f>Sheet1!B501</f>
        <v>0.58333333333333337</v>
      </c>
      <c r="C501" s="6">
        <f>Sheet1!C501</f>
        <v>162.05000000000001</v>
      </c>
      <c r="D501" s="6">
        <f>Sheet1!D501</f>
        <v>163.44999999999999</v>
      </c>
      <c r="E501" s="6">
        <f>Sheet1!E501</f>
        <v>162</v>
      </c>
      <c r="F501" s="6">
        <f>Sheet1!F501</f>
        <v>163</v>
      </c>
      <c r="H501" s="6">
        <f ca="1">IF(ROW($H501)-1&lt;$I$1,$F501,AVERAGE($F501:OFFSET($F501,(($I$1-1)*-1),0)))</f>
        <v>163.19166666666669</v>
      </c>
      <c r="J501" s="6">
        <f ca="1">IF(ROW($J501)-1&lt;$K$1,$F501,AVERAGE($F501:OFFSET($F501,(($K$1-1)*-1),0)))</f>
        <v>166.2410714285715</v>
      </c>
      <c r="L501" s="7">
        <f t="shared" ca="1" si="42"/>
        <v>-1</v>
      </c>
      <c r="M501" s="7" t="str">
        <f t="shared" ca="1" si="43"/>
        <v/>
      </c>
      <c r="N501" s="6" t="str">
        <f t="shared" ca="1" si="44"/>
        <v/>
      </c>
      <c r="O501" s="6">
        <f t="shared" si="45"/>
        <v>0.90000000000000568</v>
      </c>
      <c r="Q501" s="6">
        <v>8.3499999999999943</v>
      </c>
      <c r="R501" s="9">
        <f t="shared" si="46"/>
        <v>3131.2499999999977</v>
      </c>
      <c r="S501" s="7">
        <f t="shared" si="47"/>
        <v>6881.2499999999982</v>
      </c>
    </row>
    <row r="502" spans="1:19" x14ac:dyDescent="0.25">
      <c r="A502" s="4">
        <f>Sheet1!A502</f>
        <v>39813</v>
      </c>
      <c r="B502" s="5">
        <f>Sheet1!B502</f>
        <v>0.58333333333333337</v>
      </c>
      <c r="C502" s="6">
        <f>Sheet1!C502</f>
        <v>163.19999999999999</v>
      </c>
      <c r="D502" s="6">
        <f>Sheet1!D502</f>
        <v>168.45</v>
      </c>
      <c r="E502" s="6">
        <f>Sheet1!E502</f>
        <v>162.69999999999999</v>
      </c>
      <c r="F502" s="6">
        <f>Sheet1!F502</f>
        <v>167.5</v>
      </c>
      <c r="H502" s="6">
        <f ca="1">IF(ROW($H502)-1&lt;$I$1,$F502,AVERAGE($F502:OFFSET($F502,(($I$1-1)*-1),0)))</f>
        <v>163.80833333333334</v>
      </c>
      <c r="J502" s="6">
        <f ca="1">IF(ROW($J502)-1&lt;$K$1,$F502,AVERAGE($F502:OFFSET($F502,(($K$1-1)*-1),0)))</f>
        <v>166.16964285714289</v>
      </c>
      <c r="L502" s="7">
        <f t="shared" ca="1" si="42"/>
        <v>-1</v>
      </c>
      <c r="M502" s="7" t="str">
        <f t="shared" ca="1" si="43"/>
        <v/>
      </c>
      <c r="N502" s="6" t="str">
        <f t="shared" ca="1" si="44"/>
        <v/>
      </c>
      <c r="O502" s="6">
        <f t="shared" si="45"/>
        <v>4.5</v>
      </c>
      <c r="Q502" s="6">
        <v>3.8499999999999943</v>
      </c>
      <c r="R502" s="9">
        <f t="shared" si="46"/>
        <v>1443.749999999998</v>
      </c>
      <c r="S502" s="7">
        <f t="shared" si="47"/>
        <v>6881.2499999999982</v>
      </c>
    </row>
    <row r="503" spans="1:19" x14ac:dyDescent="0.25">
      <c r="A503" s="4">
        <f>Sheet1!A503</f>
        <v>39815</v>
      </c>
      <c r="B503" s="5">
        <f>Sheet1!B503</f>
        <v>0.58333333333333337</v>
      </c>
      <c r="C503" s="6">
        <f>Sheet1!C503</f>
        <v>167.3</v>
      </c>
      <c r="D503" s="6">
        <f>Sheet1!D503</f>
        <v>167.5</v>
      </c>
      <c r="E503" s="6">
        <f>Sheet1!E503</f>
        <v>164.55</v>
      </c>
      <c r="F503" s="6">
        <f>Sheet1!F503</f>
        <v>166.35</v>
      </c>
      <c r="H503" s="6">
        <f ca="1">IF(ROW($H503)-1&lt;$I$1,$F503,AVERAGE($F503:OFFSET($F503,(($I$1-1)*-1),0)))</f>
        <v>164.38333333333335</v>
      </c>
      <c r="J503" s="6">
        <f ca="1">IF(ROW($J503)-1&lt;$K$1,$F503,AVERAGE($F503:OFFSET($F503,(($K$1-1)*-1),0)))</f>
        <v>166.15357142857144</v>
      </c>
      <c r="L503" s="7">
        <f t="shared" ca="1" si="42"/>
        <v>-1</v>
      </c>
      <c r="M503" s="7" t="str">
        <f t="shared" ca="1" si="43"/>
        <v/>
      </c>
      <c r="N503" s="6" t="str">
        <f t="shared" ca="1" si="44"/>
        <v/>
      </c>
      <c r="O503" s="6">
        <f t="shared" si="45"/>
        <v>-1.1500000000000057</v>
      </c>
      <c r="Q503" s="6">
        <v>5</v>
      </c>
      <c r="R503" s="9">
        <f t="shared" si="46"/>
        <v>1875</v>
      </c>
      <c r="S503" s="7">
        <f t="shared" si="47"/>
        <v>6881.2499999999982</v>
      </c>
    </row>
    <row r="504" spans="1:19" x14ac:dyDescent="0.25">
      <c r="A504" s="4">
        <f>Sheet1!A504</f>
        <v>39818</v>
      </c>
      <c r="B504" s="5">
        <f>Sheet1!B504</f>
        <v>0.58333333333333337</v>
      </c>
      <c r="C504" s="6">
        <f>Sheet1!C504</f>
        <v>166.35</v>
      </c>
      <c r="D504" s="6">
        <f>Sheet1!D504</f>
        <v>167.05</v>
      </c>
      <c r="E504" s="6">
        <f>Sheet1!E504</f>
        <v>161.5</v>
      </c>
      <c r="F504" s="6">
        <f>Sheet1!F504</f>
        <v>163.15</v>
      </c>
      <c r="H504" s="6">
        <f ca="1">IF(ROW($H504)-1&lt;$I$1,$F504,AVERAGE($F504:OFFSET($F504,(($I$1-1)*-1),0)))</f>
        <v>164.32500000000002</v>
      </c>
      <c r="J504" s="6">
        <f ca="1">IF(ROW($J504)-1&lt;$K$1,$F504,AVERAGE($F504:OFFSET($F504,(($K$1-1)*-1),0)))</f>
        <v>166.04464285714286</v>
      </c>
      <c r="L504" s="7">
        <f t="shared" ca="1" si="42"/>
        <v>-1</v>
      </c>
      <c r="M504" s="7" t="str">
        <f t="shared" ca="1" si="43"/>
        <v/>
      </c>
      <c r="N504" s="6" t="str">
        <f t="shared" ca="1" si="44"/>
        <v/>
      </c>
      <c r="O504" s="6">
        <f t="shared" si="45"/>
        <v>-3.1999999999999886</v>
      </c>
      <c r="Q504" s="6">
        <v>8.1999999999999886</v>
      </c>
      <c r="R504" s="9">
        <f t="shared" si="46"/>
        <v>3074.9999999999959</v>
      </c>
      <c r="S504" s="7">
        <f t="shared" si="47"/>
        <v>6881.2499999999982</v>
      </c>
    </row>
    <row r="505" spans="1:19" x14ac:dyDescent="0.25">
      <c r="A505" s="4">
        <f>Sheet1!A505</f>
        <v>39819</v>
      </c>
      <c r="B505" s="5">
        <f>Sheet1!B505</f>
        <v>0.58333333333333337</v>
      </c>
      <c r="C505" s="6">
        <f>Sheet1!C505</f>
        <v>163.95</v>
      </c>
      <c r="D505" s="6">
        <f>Sheet1!D505</f>
        <v>172.15</v>
      </c>
      <c r="E505" s="6">
        <f>Sheet1!E505</f>
        <v>163.69999999999999</v>
      </c>
      <c r="F505" s="6">
        <f>Sheet1!F505</f>
        <v>171.55</v>
      </c>
      <c r="H505" s="6">
        <f ca="1">IF(ROW($H505)-1&lt;$I$1,$F505,AVERAGE($F505:OFFSET($F505,(($I$1-1)*-1),0)))</f>
        <v>165.60833333333335</v>
      </c>
      <c r="J505" s="6">
        <f ca="1">IF(ROW($J505)-1&lt;$K$1,$F505,AVERAGE($F505:OFFSET($F505,(($K$1-1)*-1),0)))</f>
        <v>166.11785714285716</v>
      </c>
      <c r="L505" s="7">
        <f t="shared" ca="1" si="42"/>
        <v>-1</v>
      </c>
      <c r="M505" s="7" t="str">
        <f t="shared" ca="1" si="43"/>
        <v/>
      </c>
      <c r="N505" s="6" t="str">
        <f t="shared" ca="1" si="44"/>
        <v/>
      </c>
      <c r="O505" s="6">
        <f t="shared" si="45"/>
        <v>8.4000000000000057</v>
      </c>
      <c r="Q505" s="6">
        <v>-0.20000000000001705</v>
      </c>
      <c r="R505" s="9">
        <f t="shared" si="46"/>
        <v>-75.000000000006395</v>
      </c>
      <c r="S505" s="7">
        <f t="shared" si="47"/>
        <v>6881.2499999999982</v>
      </c>
    </row>
    <row r="506" spans="1:19" x14ac:dyDescent="0.25">
      <c r="A506" s="4">
        <f>Sheet1!A506</f>
        <v>39820</v>
      </c>
      <c r="B506" s="5">
        <f>Sheet1!B506</f>
        <v>0.58333333333333337</v>
      </c>
      <c r="C506" s="6">
        <f>Sheet1!C506</f>
        <v>171.45</v>
      </c>
      <c r="D506" s="6">
        <f>Sheet1!D506</f>
        <v>172.65</v>
      </c>
      <c r="E506" s="6">
        <f>Sheet1!E506</f>
        <v>169.2</v>
      </c>
      <c r="F506" s="6">
        <f>Sheet1!F506</f>
        <v>169.65</v>
      </c>
      <c r="H506" s="6">
        <f ca="1">IF(ROW($H506)-1&lt;$I$1,$F506,AVERAGE($F506:OFFSET($F506,(($I$1-1)*-1),0)))</f>
        <v>166.86666666666665</v>
      </c>
      <c r="J506" s="6">
        <f ca="1">IF(ROW($J506)-1&lt;$K$1,$F506,AVERAGE($F506:OFFSET($F506,(($K$1-1)*-1),0)))</f>
        <v>166.11071428571427</v>
      </c>
      <c r="L506" s="7">
        <f t="shared" ca="1" si="42"/>
        <v>1</v>
      </c>
      <c r="M506" s="7">
        <f t="shared" ca="1" si="43"/>
        <v>1</v>
      </c>
      <c r="N506" s="6" t="str">
        <f t="shared" ca="1" si="44"/>
        <v/>
      </c>
      <c r="O506" s="6">
        <f t="shared" si="45"/>
        <v>-1.9000000000000057</v>
      </c>
      <c r="Q506" s="6">
        <v>1.6999999999999886</v>
      </c>
      <c r="R506" s="9">
        <f t="shared" si="46"/>
        <v>637.49999999999568</v>
      </c>
      <c r="S506" s="7">
        <f t="shared" si="47"/>
        <v>6881.2499999999982</v>
      </c>
    </row>
    <row r="507" spans="1:19" x14ac:dyDescent="0.25">
      <c r="A507" s="4">
        <f>Sheet1!A507</f>
        <v>39821</v>
      </c>
      <c r="B507" s="5">
        <f>Sheet1!B507</f>
        <v>0.58333333333333337</v>
      </c>
      <c r="C507" s="6">
        <f>Sheet1!C507</f>
        <v>169.15</v>
      </c>
      <c r="D507" s="6">
        <f>Sheet1!D507</f>
        <v>171.85</v>
      </c>
      <c r="E507" s="6">
        <f>Sheet1!E507</f>
        <v>168.5</v>
      </c>
      <c r="F507" s="6">
        <f>Sheet1!F507</f>
        <v>168.9</v>
      </c>
      <c r="H507" s="6">
        <f ca="1">IF(ROW($H507)-1&lt;$I$1,$F507,AVERAGE($F507:OFFSET($F507,(($I$1-1)*-1),0)))</f>
        <v>167.85</v>
      </c>
      <c r="J507" s="6">
        <f ca="1">IF(ROW($J507)-1&lt;$K$1,$F507,AVERAGE($F507:OFFSET($F507,(($K$1-1)*-1),0)))</f>
        <v>166.00892857142853</v>
      </c>
      <c r="L507" s="7">
        <f t="shared" ca="1" si="42"/>
        <v>1</v>
      </c>
      <c r="M507" s="7" t="str">
        <f t="shared" ca="1" si="43"/>
        <v/>
      </c>
      <c r="N507" s="6">
        <f t="shared" ca="1" si="44"/>
        <v>169.15</v>
      </c>
      <c r="O507" s="6">
        <f t="shared" si="45"/>
        <v>-0.75</v>
      </c>
      <c r="P507" s="6">
        <v>2.1999999999999886</v>
      </c>
      <c r="Q507" s="6">
        <v>-0.25</v>
      </c>
      <c r="R507" s="9">
        <f t="shared" si="46"/>
        <v>-93.75</v>
      </c>
      <c r="S507" s="7">
        <f t="shared" si="47"/>
        <v>7706.2499999999936</v>
      </c>
    </row>
    <row r="508" spans="1:19" x14ac:dyDescent="0.25">
      <c r="A508" s="4">
        <f>Sheet1!A508</f>
        <v>39822</v>
      </c>
      <c r="B508" s="5">
        <f>Sheet1!B508</f>
        <v>0.58333333333333337</v>
      </c>
      <c r="C508" s="6">
        <f>Sheet1!C508</f>
        <v>169.5</v>
      </c>
      <c r="D508" s="6">
        <f>Sheet1!D508</f>
        <v>174.95</v>
      </c>
      <c r="E508" s="6">
        <f>Sheet1!E508</f>
        <v>169.2</v>
      </c>
      <c r="F508" s="6">
        <f>Sheet1!F508</f>
        <v>172.35</v>
      </c>
      <c r="H508" s="6">
        <f ca="1">IF(ROW($H508)-1&lt;$I$1,$F508,AVERAGE($F508:OFFSET($F508,(($I$1-1)*-1),0)))</f>
        <v>168.65833333333333</v>
      </c>
      <c r="J508" s="6">
        <f ca="1">IF(ROW($J508)-1&lt;$K$1,$F508,AVERAGE($F508:OFFSET($F508,(($K$1-1)*-1),0)))</f>
        <v>166.03749999999997</v>
      </c>
      <c r="L508" s="7">
        <f t="shared" ca="1" si="42"/>
        <v>1</v>
      </c>
      <c r="M508" s="7" t="str">
        <f t="shared" ca="1" si="43"/>
        <v/>
      </c>
      <c r="N508" s="6" t="str">
        <f t="shared" ca="1" si="44"/>
        <v/>
      </c>
      <c r="O508" s="6">
        <f t="shared" si="45"/>
        <v>3.4499999999999886</v>
      </c>
      <c r="Q508" s="6">
        <v>3.1999999999999886</v>
      </c>
      <c r="R508" s="9">
        <f t="shared" si="46"/>
        <v>1199.9999999999957</v>
      </c>
      <c r="S508" s="7">
        <f t="shared" si="47"/>
        <v>7706.2499999999936</v>
      </c>
    </row>
    <row r="509" spans="1:19" x14ac:dyDescent="0.25">
      <c r="A509" s="4">
        <f>Sheet1!A509</f>
        <v>39825</v>
      </c>
      <c r="B509" s="5">
        <f>Sheet1!B509</f>
        <v>0.58333333333333337</v>
      </c>
      <c r="C509" s="6">
        <f>Sheet1!C509</f>
        <v>172.2</v>
      </c>
      <c r="D509" s="6">
        <f>Sheet1!D509</f>
        <v>174.3</v>
      </c>
      <c r="E509" s="6">
        <f>Sheet1!E509</f>
        <v>169.75</v>
      </c>
      <c r="F509" s="6">
        <f>Sheet1!F509</f>
        <v>169.95</v>
      </c>
      <c r="H509" s="6">
        <f ca="1">IF(ROW($H509)-1&lt;$I$1,$F509,AVERAGE($F509:OFFSET($F509,(($I$1-1)*-1),0)))</f>
        <v>169.25833333333333</v>
      </c>
      <c r="J509" s="6">
        <f ca="1">IF(ROW($J509)-1&lt;$K$1,$F509,AVERAGE($F509:OFFSET($F509,(($K$1-1)*-1),0)))</f>
        <v>166.07142857142858</v>
      </c>
      <c r="L509" s="7">
        <f t="shared" ca="1" si="42"/>
        <v>1</v>
      </c>
      <c r="M509" s="7" t="str">
        <f t="shared" ca="1" si="43"/>
        <v/>
      </c>
      <c r="N509" s="6" t="str">
        <f t="shared" ca="1" si="44"/>
        <v/>
      </c>
      <c r="O509" s="6">
        <f t="shared" si="45"/>
        <v>-2.4000000000000057</v>
      </c>
      <c r="Q509" s="6">
        <v>0.79999999999998295</v>
      </c>
      <c r="R509" s="9">
        <f t="shared" si="46"/>
        <v>299.99999999999363</v>
      </c>
      <c r="S509" s="7">
        <f t="shared" si="47"/>
        <v>7706.2499999999936</v>
      </c>
    </row>
    <row r="510" spans="1:19" x14ac:dyDescent="0.25">
      <c r="A510" s="4">
        <f>Sheet1!A510</f>
        <v>39826</v>
      </c>
      <c r="B510" s="5">
        <f>Sheet1!B510</f>
        <v>0.58333333333333337</v>
      </c>
      <c r="C510" s="6">
        <f>Sheet1!C510</f>
        <v>169.5</v>
      </c>
      <c r="D510" s="6">
        <f>Sheet1!D510</f>
        <v>172.3</v>
      </c>
      <c r="E510" s="6">
        <f>Sheet1!E510</f>
        <v>169</v>
      </c>
      <c r="F510" s="6">
        <f>Sheet1!F510</f>
        <v>170.2</v>
      </c>
      <c r="H510" s="6">
        <f ca="1">IF(ROW($H510)-1&lt;$I$1,$F510,AVERAGE($F510:OFFSET($F510,(($I$1-1)*-1),0)))</f>
        <v>170.43333333333337</v>
      </c>
      <c r="J510" s="6">
        <f ca="1">IF(ROW($J510)-1&lt;$K$1,$F510,AVERAGE($F510:OFFSET($F510,(($K$1-1)*-1),0)))</f>
        <v>166.17321428571429</v>
      </c>
      <c r="L510" s="7">
        <f t="shared" ca="1" si="42"/>
        <v>1</v>
      </c>
      <c r="M510" s="7" t="str">
        <f t="shared" ca="1" si="43"/>
        <v/>
      </c>
      <c r="N510" s="6" t="str">
        <f t="shared" ca="1" si="44"/>
        <v/>
      </c>
      <c r="O510" s="6">
        <f t="shared" si="45"/>
        <v>0.25</v>
      </c>
      <c r="Q510" s="6">
        <v>1.0499999999999829</v>
      </c>
      <c r="R510" s="9">
        <f t="shared" si="46"/>
        <v>393.74999999999363</v>
      </c>
      <c r="S510" s="7">
        <f t="shared" si="47"/>
        <v>7706.2499999999936</v>
      </c>
    </row>
    <row r="511" spans="1:19" x14ac:dyDescent="0.25">
      <c r="A511" s="4">
        <f>Sheet1!A511</f>
        <v>39827</v>
      </c>
      <c r="B511" s="5">
        <f>Sheet1!B511</f>
        <v>0.58333333333333337</v>
      </c>
      <c r="C511" s="6">
        <f>Sheet1!C511</f>
        <v>171.25</v>
      </c>
      <c r="D511" s="6">
        <f>Sheet1!D511</f>
        <v>172.1</v>
      </c>
      <c r="E511" s="6">
        <f>Sheet1!E511</f>
        <v>169.8</v>
      </c>
      <c r="F511" s="6">
        <f>Sheet1!F511</f>
        <v>170.1</v>
      </c>
      <c r="H511" s="6">
        <f ca="1">IF(ROW($H511)-1&lt;$I$1,$F511,AVERAGE($F511:OFFSET($F511,(($I$1-1)*-1),0)))</f>
        <v>170.19166666666666</v>
      </c>
      <c r="J511" s="6">
        <f ca="1">IF(ROW($J511)-1&lt;$K$1,$F511,AVERAGE($F511:OFFSET($F511,(($K$1-1)*-1),0)))</f>
        <v>166.29464285714289</v>
      </c>
      <c r="L511" s="7">
        <f t="shared" ca="1" si="42"/>
        <v>1</v>
      </c>
      <c r="M511" s="7" t="str">
        <f t="shared" ca="1" si="43"/>
        <v/>
      </c>
      <c r="N511" s="6" t="str">
        <f t="shared" ca="1" si="44"/>
        <v/>
      </c>
      <c r="O511" s="6">
        <f t="shared" si="45"/>
        <v>-9.9999999999994316E-2</v>
      </c>
      <c r="Q511" s="6">
        <v>0.94999999999998863</v>
      </c>
      <c r="R511" s="9">
        <f t="shared" si="46"/>
        <v>356.24999999999574</v>
      </c>
      <c r="S511" s="7">
        <f t="shared" si="47"/>
        <v>7706.2499999999936</v>
      </c>
    </row>
    <row r="512" spans="1:19" x14ac:dyDescent="0.25">
      <c r="A512" s="4">
        <f>Sheet1!A512</f>
        <v>39828</v>
      </c>
      <c r="B512" s="5">
        <f>Sheet1!B512</f>
        <v>0.58333333333333337</v>
      </c>
      <c r="C512" s="6">
        <f>Sheet1!C512</f>
        <v>170.45</v>
      </c>
      <c r="D512" s="6">
        <f>Sheet1!D512</f>
        <v>171.1</v>
      </c>
      <c r="E512" s="6">
        <f>Sheet1!E512</f>
        <v>168.7</v>
      </c>
      <c r="F512" s="6">
        <f>Sheet1!F512</f>
        <v>169.35</v>
      </c>
      <c r="H512" s="6">
        <f ca="1">IF(ROW($H512)-1&lt;$I$1,$F512,AVERAGE($F512:OFFSET($F512,(($I$1-1)*-1),0)))</f>
        <v>170.14166666666668</v>
      </c>
      <c r="J512" s="6">
        <f ca="1">IF(ROW($J512)-1&lt;$K$1,$F512,AVERAGE($F512:OFFSET($F512,(($K$1-1)*-1),0)))</f>
        <v>166.57142857142861</v>
      </c>
      <c r="L512" s="7">
        <f t="shared" ca="1" si="42"/>
        <v>1</v>
      </c>
      <c r="M512" s="7" t="str">
        <f t="shared" ca="1" si="43"/>
        <v/>
      </c>
      <c r="N512" s="6" t="str">
        <f t="shared" ca="1" si="44"/>
        <v/>
      </c>
      <c r="O512" s="6">
        <f t="shared" si="45"/>
        <v>-0.75</v>
      </c>
      <c r="Q512" s="6">
        <v>0.19999999999998863</v>
      </c>
      <c r="R512" s="9">
        <f t="shared" si="46"/>
        <v>74.999999999995737</v>
      </c>
      <c r="S512" s="7">
        <f t="shared" si="47"/>
        <v>7706.2499999999936</v>
      </c>
    </row>
    <row r="513" spans="1:19" x14ac:dyDescent="0.25">
      <c r="A513" s="4">
        <f>Sheet1!A513</f>
        <v>39829</v>
      </c>
      <c r="B513" s="5">
        <f>Sheet1!B513</f>
        <v>0.58333333333333337</v>
      </c>
      <c r="C513" s="6">
        <f>Sheet1!C513</f>
        <v>170.95</v>
      </c>
      <c r="D513" s="6">
        <f>Sheet1!D513</f>
        <v>172.95</v>
      </c>
      <c r="E513" s="6">
        <f>Sheet1!E513</f>
        <v>170.45</v>
      </c>
      <c r="F513" s="6">
        <f>Sheet1!F513</f>
        <v>171.25</v>
      </c>
      <c r="H513" s="6">
        <f ca="1">IF(ROW($H513)-1&lt;$I$1,$F513,AVERAGE($F513:OFFSET($F513,(($I$1-1)*-1),0)))</f>
        <v>170.53333333333333</v>
      </c>
      <c r="J513" s="6">
        <f ca="1">IF(ROW($J513)-1&lt;$K$1,$F513,AVERAGE($F513:OFFSET($F513,(($K$1-1)*-1),0)))</f>
        <v>167.02142857142863</v>
      </c>
      <c r="L513" s="7">
        <f t="shared" ca="1" si="42"/>
        <v>1</v>
      </c>
      <c r="M513" s="7" t="str">
        <f t="shared" ca="1" si="43"/>
        <v/>
      </c>
      <c r="N513" s="6" t="str">
        <f t="shared" ca="1" si="44"/>
        <v/>
      </c>
      <c r="O513" s="6">
        <f t="shared" si="45"/>
        <v>1.9000000000000057</v>
      </c>
      <c r="Q513" s="6">
        <v>2.0999999999999943</v>
      </c>
      <c r="R513" s="9">
        <f t="shared" si="46"/>
        <v>787.49999999999784</v>
      </c>
      <c r="S513" s="7">
        <f t="shared" si="47"/>
        <v>7706.2499999999936</v>
      </c>
    </row>
    <row r="514" spans="1:19" x14ac:dyDescent="0.25">
      <c r="A514" s="4">
        <f>Sheet1!A514</f>
        <v>39833</v>
      </c>
      <c r="B514" s="5">
        <f>Sheet1!B514</f>
        <v>0.58333333333333337</v>
      </c>
      <c r="C514" s="6">
        <f>Sheet1!C514</f>
        <v>170.6</v>
      </c>
      <c r="D514" s="6">
        <f>Sheet1!D514</f>
        <v>171.8</v>
      </c>
      <c r="E514" s="6">
        <f>Sheet1!E514</f>
        <v>169.35</v>
      </c>
      <c r="F514" s="6">
        <f>Sheet1!F514</f>
        <v>170.35</v>
      </c>
      <c r="H514" s="6">
        <f ca="1">IF(ROW($H514)-1&lt;$I$1,$F514,AVERAGE($F514:OFFSET($F514,(($I$1-1)*-1),0)))</f>
        <v>170.20000000000002</v>
      </c>
      <c r="J514" s="6">
        <f ca="1">IF(ROW($J514)-1&lt;$K$1,$F514,AVERAGE($F514:OFFSET($F514,(($K$1-1)*-1),0)))</f>
        <v>167.21428571428575</v>
      </c>
      <c r="L514" s="7">
        <f t="shared" ca="1" si="42"/>
        <v>1</v>
      </c>
      <c r="M514" s="7" t="str">
        <f t="shared" ca="1" si="43"/>
        <v/>
      </c>
      <c r="N514" s="6" t="str">
        <f t="shared" ca="1" si="44"/>
        <v/>
      </c>
      <c r="O514" s="6">
        <f t="shared" si="45"/>
        <v>-0.90000000000000568</v>
      </c>
      <c r="Q514" s="6">
        <v>1.1999999999999886</v>
      </c>
      <c r="R514" s="9">
        <f t="shared" si="46"/>
        <v>449.99999999999574</v>
      </c>
      <c r="S514" s="7">
        <f t="shared" si="47"/>
        <v>7706.2499999999936</v>
      </c>
    </row>
    <row r="515" spans="1:19" x14ac:dyDescent="0.25">
      <c r="A515" s="4">
        <f>Sheet1!A515</f>
        <v>39834</v>
      </c>
      <c r="B515" s="5">
        <f>Sheet1!B515</f>
        <v>0.58333333333333337</v>
      </c>
      <c r="C515" s="6">
        <f>Sheet1!C515</f>
        <v>170.45</v>
      </c>
      <c r="D515" s="6">
        <f>Sheet1!D515</f>
        <v>173.45</v>
      </c>
      <c r="E515" s="6">
        <f>Sheet1!E515</f>
        <v>168.15</v>
      </c>
      <c r="F515" s="6">
        <f>Sheet1!F515</f>
        <v>173</v>
      </c>
      <c r="H515" s="6">
        <f ca="1">IF(ROW($H515)-1&lt;$I$1,$F515,AVERAGE($F515:OFFSET($F515,(($I$1-1)*-1),0)))</f>
        <v>170.70833333333334</v>
      </c>
      <c r="J515" s="6">
        <f ca="1">IF(ROW($J515)-1&lt;$K$1,$F515,AVERAGE($F515:OFFSET($F515,(($K$1-1)*-1),0)))</f>
        <v>167.48928571428573</v>
      </c>
      <c r="L515" s="7">
        <f t="shared" ref="L515:L578" ca="1" si="48">IF(ROW($L515)&gt;($K$1),IF($H515&gt;$J515,1,IF($H515&lt;$J515,-1,$L514*-1)),0)</f>
        <v>1</v>
      </c>
      <c r="M515" s="7" t="str">
        <f t="shared" ca="1" si="43"/>
        <v/>
      </c>
      <c r="N515" s="6" t="str">
        <f t="shared" ca="1" si="44"/>
        <v/>
      </c>
      <c r="O515" s="6">
        <f t="shared" si="45"/>
        <v>2.6500000000000057</v>
      </c>
      <c r="Q515" s="6">
        <v>3.8499999999999943</v>
      </c>
      <c r="R515" s="9">
        <f t="shared" si="46"/>
        <v>1443.749999999998</v>
      </c>
      <c r="S515" s="7">
        <f t="shared" si="47"/>
        <v>7706.2499999999936</v>
      </c>
    </row>
    <row r="516" spans="1:19" x14ac:dyDescent="0.25">
      <c r="A516" s="4">
        <f>Sheet1!A516</f>
        <v>39835</v>
      </c>
      <c r="B516" s="5">
        <f>Sheet1!B516</f>
        <v>0.58333333333333337</v>
      </c>
      <c r="C516" s="6">
        <f>Sheet1!C516</f>
        <v>173.2</v>
      </c>
      <c r="D516" s="6">
        <f>Sheet1!D516</f>
        <v>175.85</v>
      </c>
      <c r="E516" s="6">
        <f>Sheet1!E516</f>
        <v>173</v>
      </c>
      <c r="F516" s="6">
        <f>Sheet1!F516</f>
        <v>174.9</v>
      </c>
      <c r="H516" s="6">
        <f ca="1">IF(ROW($H516)-1&lt;$I$1,$F516,AVERAGE($F516:OFFSET($F516,(($I$1-1)*-1),0)))</f>
        <v>171.49166666666667</v>
      </c>
      <c r="J516" s="6">
        <f ca="1">IF(ROW($J516)-1&lt;$K$1,$F516,AVERAGE($F516:OFFSET($F516,(($K$1-1)*-1),0)))</f>
        <v>167.78928571428574</v>
      </c>
      <c r="L516" s="7">
        <f t="shared" ca="1" si="48"/>
        <v>1</v>
      </c>
      <c r="M516" s="7" t="str">
        <f t="shared" ref="M516:M579" ca="1" si="49">IF(L516&lt;&gt;L515,L516,"")</f>
        <v/>
      </c>
      <c r="N516" s="6" t="str">
        <f t="shared" ref="N516:N579" ca="1" si="50">IF(M515&lt;&gt;"",C516,"")</f>
        <v/>
      </c>
      <c r="O516" s="6">
        <f t="shared" ref="O516:O579" si="51">F516-F515</f>
        <v>1.9000000000000057</v>
      </c>
      <c r="Q516" s="6">
        <v>5.75</v>
      </c>
      <c r="R516" s="9">
        <f t="shared" ref="R516:R579" si="52">IF(Q516="","",Q516*375)</f>
        <v>2156.25</v>
      </c>
      <c r="S516" s="7">
        <f t="shared" si="47"/>
        <v>7706.2499999999936</v>
      </c>
    </row>
    <row r="517" spans="1:19" x14ac:dyDescent="0.25">
      <c r="A517" s="4">
        <f>Sheet1!A517</f>
        <v>39836</v>
      </c>
      <c r="B517" s="5">
        <f>Sheet1!B517</f>
        <v>0.58333333333333337</v>
      </c>
      <c r="C517" s="6">
        <f>Sheet1!C517</f>
        <v>174.45</v>
      </c>
      <c r="D517" s="6">
        <f>Sheet1!D517</f>
        <v>176.05</v>
      </c>
      <c r="E517" s="6">
        <f>Sheet1!E517</f>
        <v>173.45</v>
      </c>
      <c r="F517" s="6">
        <f>Sheet1!F517</f>
        <v>175.1</v>
      </c>
      <c r="H517" s="6">
        <f ca="1">IF(ROW($H517)-1&lt;$I$1,$F517,AVERAGE($F517:OFFSET($F517,(($I$1-1)*-1),0)))</f>
        <v>172.32500000000002</v>
      </c>
      <c r="J517" s="6">
        <f ca="1">IF(ROW($J517)-1&lt;$K$1,$F517,AVERAGE($F517:OFFSET($F517,(($K$1-1)*-1),0)))</f>
        <v>168.03749999999999</v>
      </c>
      <c r="L517" s="7">
        <f t="shared" ca="1" si="48"/>
        <v>1</v>
      </c>
      <c r="M517" s="7" t="str">
        <f t="shared" ca="1" si="49"/>
        <v/>
      </c>
      <c r="N517" s="6" t="str">
        <f t="shared" ca="1" si="50"/>
        <v/>
      </c>
      <c r="O517" s="6">
        <f t="shared" si="51"/>
        <v>0.19999999999998863</v>
      </c>
      <c r="Q517" s="6">
        <v>5.9499999999999886</v>
      </c>
      <c r="R517" s="9">
        <f t="shared" si="52"/>
        <v>2231.2499999999959</v>
      </c>
      <c r="S517" s="7">
        <f t="shared" si="47"/>
        <v>7706.2499999999936</v>
      </c>
    </row>
    <row r="518" spans="1:19" x14ac:dyDescent="0.25">
      <c r="A518" s="4">
        <f>Sheet1!A518</f>
        <v>39839</v>
      </c>
      <c r="B518" s="5">
        <f>Sheet1!B518</f>
        <v>0.58333333333333337</v>
      </c>
      <c r="C518" s="6">
        <f>Sheet1!C518</f>
        <v>174.5</v>
      </c>
      <c r="D518" s="6">
        <f>Sheet1!D518</f>
        <v>177.95</v>
      </c>
      <c r="E518" s="6">
        <f>Sheet1!E518</f>
        <v>174.2</v>
      </c>
      <c r="F518" s="6">
        <f>Sheet1!F518</f>
        <v>177.65</v>
      </c>
      <c r="H518" s="6">
        <f ca="1">IF(ROW($H518)-1&lt;$I$1,$F518,AVERAGE($F518:OFFSET($F518,(($I$1-1)*-1),0)))</f>
        <v>173.70833333333334</v>
      </c>
      <c r="J518" s="6">
        <f ca="1">IF(ROW($J518)-1&lt;$K$1,$F518,AVERAGE($F518:OFFSET($F518,(($K$1-1)*-1),0)))</f>
        <v>168.39642857142854</v>
      </c>
      <c r="L518" s="7">
        <f t="shared" ca="1" si="48"/>
        <v>1</v>
      </c>
      <c r="M518" s="7" t="str">
        <f t="shared" ca="1" si="49"/>
        <v/>
      </c>
      <c r="N518" s="6" t="str">
        <f t="shared" ca="1" si="50"/>
        <v/>
      </c>
      <c r="O518" s="6">
        <f t="shared" si="51"/>
        <v>2.5500000000000114</v>
      </c>
      <c r="Q518" s="6">
        <v>8.5</v>
      </c>
      <c r="R518" s="9">
        <f t="shared" si="52"/>
        <v>3187.5</v>
      </c>
      <c r="S518" s="7">
        <f t="shared" si="47"/>
        <v>7706.2499999999936</v>
      </c>
    </row>
    <row r="519" spans="1:19" x14ac:dyDescent="0.25">
      <c r="A519" s="4">
        <f>Sheet1!A519</f>
        <v>39840</v>
      </c>
      <c r="B519" s="5">
        <f>Sheet1!B519</f>
        <v>0.58333333333333337</v>
      </c>
      <c r="C519" s="6">
        <f>Sheet1!C519</f>
        <v>177.9</v>
      </c>
      <c r="D519" s="6">
        <f>Sheet1!D519</f>
        <v>178.85</v>
      </c>
      <c r="E519" s="6">
        <f>Sheet1!E519</f>
        <v>175.8</v>
      </c>
      <c r="F519" s="6">
        <f>Sheet1!F519</f>
        <v>177.35</v>
      </c>
      <c r="H519" s="6">
        <f ca="1">IF(ROW($H519)-1&lt;$I$1,$F519,AVERAGE($F519:OFFSET($F519,(($I$1-1)*-1),0)))</f>
        <v>174.72499999999999</v>
      </c>
      <c r="J519" s="6">
        <f ca="1">IF(ROW($J519)-1&lt;$K$1,$F519,AVERAGE($F519:OFFSET($F519,(($K$1-1)*-1),0)))</f>
        <v>168.8017857142857</v>
      </c>
      <c r="L519" s="7">
        <f t="shared" ca="1" si="48"/>
        <v>1</v>
      </c>
      <c r="M519" s="7" t="str">
        <f t="shared" ca="1" si="49"/>
        <v/>
      </c>
      <c r="N519" s="6" t="str">
        <f t="shared" ca="1" si="50"/>
        <v/>
      </c>
      <c r="O519" s="6">
        <f t="shared" si="51"/>
        <v>-0.30000000000001137</v>
      </c>
      <c r="Q519" s="6">
        <v>8.1999999999999886</v>
      </c>
      <c r="R519" s="9">
        <f t="shared" si="52"/>
        <v>3074.9999999999959</v>
      </c>
      <c r="S519" s="7">
        <f t="shared" si="47"/>
        <v>7706.2499999999936</v>
      </c>
    </row>
    <row r="520" spans="1:19" x14ac:dyDescent="0.25">
      <c r="A520" s="4">
        <f>Sheet1!A520</f>
        <v>39841</v>
      </c>
      <c r="B520" s="5">
        <f>Sheet1!B520</f>
        <v>0.58333333333333337</v>
      </c>
      <c r="C520" s="6">
        <f>Sheet1!C520</f>
        <v>177.45</v>
      </c>
      <c r="D520" s="6">
        <f>Sheet1!D520</f>
        <v>178.2</v>
      </c>
      <c r="E520" s="6">
        <f>Sheet1!E520</f>
        <v>176.35</v>
      </c>
      <c r="F520" s="6">
        <f>Sheet1!F520</f>
        <v>177.95</v>
      </c>
      <c r="H520" s="6">
        <f ca="1">IF(ROW($H520)-1&lt;$I$1,$F520,AVERAGE($F520:OFFSET($F520,(($I$1-1)*-1),0)))</f>
        <v>175.99166666666667</v>
      </c>
      <c r="J520" s="6">
        <f ca="1">IF(ROW($J520)-1&lt;$K$1,$F520,AVERAGE($F520:OFFSET($F520,(($K$1-1)*-1),0)))</f>
        <v>169.20892857142854</v>
      </c>
      <c r="L520" s="7">
        <f t="shared" ca="1" si="48"/>
        <v>1</v>
      </c>
      <c r="M520" s="7" t="str">
        <f t="shared" ca="1" si="49"/>
        <v/>
      </c>
      <c r="N520" s="6" t="str">
        <f t="shared" ca="1" si="50"/>
        <v/>
      </c>
      <c r="O520" s="6">
        <f t="shared" si="51"/>
        <v>0.59999999999999432</v>
      </c>
      <c r="Q520" s="6">
        <v>8.7999999999999829</v>
      </c>
      <c r="R520" s="9">
        <f t="shared" si="52"/>
        <v>3299.9999999999936</v>
      </c>
      <c r="S520" s="7">
        <f t="shared" si="47"/>
        <v>7706.2499999999936</v>
      </c>
    </row>
    <row r="521" spans="1:19" x14ac:dyDescent="0.25">
      <c r="A521" s="4">
        <f>Sheet1!A521</f>
        <v>39842</v>
      </c>
      <c r="B521" s="5">
        <f>Sheet1!B521</f>
        <v>0.58333333333333337</v>
      </c>
      <c r="C521" s="6">
        <f>Sheet1!C521</f>
        <v>177.75</v>
      </c>
      <c r="D521" s="6">
        <f>Sheet1!D521</f>
        <v>177.95</v>
      </c>
      <c r="E521" s="6">
        <f>Sheet1!E521</f>
        <v>176.1</v>
      </c>
      <c r="F521" s="6">
        <f>Sheet1!F521</f>
        <v>176.95</v>
      </c>
      <c r="H521" s="6">
        <f ca="1">IF(ROW($H521)-1&lt;$I$1,$F521,AVERAGE($F521:OFFSET($F521,(($I$1-1)*-1),0)))</f>
        <v>176.65</v>
      </c>
      <c r="J521" s="6">
        <f ca="1">IF(ROW($J521)-1&lt;$K$1,$F521,AVERAGE($F521:OFFSET($F521,(($K$1-1)*-1),0)))</f>
        <v>169.53749999999997</v>
      </c>
      <c r="L521" s="7">
        <f t="shared" ca="1" si="48"/>
        <v>1</v>
      </c>
      <c r="M521" s="7" t="str">
        <f t="shared" ca="1" si="49"/>
        <v/>
      </c>
      <c r="N521" s="6" t="str">
        <f t="shared" ca="1" si="50"/>
        <v/>
      </c>
      <c r="O521" s="6">
        <f t="shared" si="51"/>
        <v>-1</v>
      </c>
      <c r="Q521" s="6">
        <v>7.7999999999999829</v>
      </c>
      <c r="R521" s="9">
        <f t="shared" si="52"/>
        <v>2924.9999999999936</v>
      </c>
      <c r="S521" s="7">
        <f t="shared" si="47"/>
        <v>7706.2499999999936</v>
      </c>
    </row>
    <row r="522" spans="1:19" x14ac:dyDescent="0.25">
      <c r="A522" s="4">
        <f>Sheet1!A522</f>
        <v>39843</v>
      </c>
      <c r="B522" s="5">
        <f>Sheet1!B522</f>
        <v>0.58333333333333337</v>
      </c>
      <c r="C522" s="6">
        <f>Sheet1!C522</f>
        <v>176.75</v>
      </c>
      <c r="D522" s="6">
        <f>Sheet1!D522</f>
        <v>177.3</v>
      </c>
      <c r="E522" s="6">
        <f>Sheet1!E522</f>
        <v>173.35</v>
      </c>
      <c r="F522" s="6">
        <f>Sheet1!F522</f>
        <v>174.35</v>
      </c>
      <c r="H522" s="6">
        <f ca="1">IF(ROW($H522)-1&lt;$I$1,$F522,AVERAGE($F522:OFFSET($F522,(($I$1-1)*-1),0)))</f>
        <v>176.55833333333331</v>
      </c>
      <c r="J522" s="6">
        <f ca="1">IF(ROW($J522)-1&lt;$K$1,$F522,AVERAGE($F522:OFFSET($F522,(($K$1-1)*-1),0)))</f>
        <v>169.76607142857142</v>
      </c>
      <c r="L522" s="7">
        <f t="shared" ca="1" si="48"/>
        <v>1</v>
      </c>
      <c r="M522" s="7" t="str">
        <f t="shared" ca="1" si="49"/>
        <v/>
      </c>
      <c r="N522" s="6" t="str">
        <f t="shared" ca="1" si="50"/>
        <v/>
      </c>
      <c r="O522" s="6">
        <f t="shared" si="51"/>
        <v>-2.5999999999999943</v>
      </c>
      <c r="Q522" s="6">
        <v>5.1999999999999886</v>
      </c>
      <c r="R522" s="9">
        <f t="shared" si="52"/>
        <v>1949.9999999999957</v>
      </c>
      <c r="S522" s="7">
        <f t="shared" si="47"/>
        <v>7706.2499999999936</v>
      </c>
    </row>
    <row r="523" spans="1:19" x14ac:dyDescent="0.25">
      <c r="A523" s="4">
        <f>Sheet1!A523</f>
        <v>39846</v>
      </c>
      <c r="B523" s="5">
        <f>Sheet1!B523</f>
        <v>0.58333333333333337</v>
      </c>
      <c r="C523" s="6">
        <f>Sheet1!C523</f>
        <v>174.35</v>
      </c>
      <c r="D523" s="6">
        <f>Sheet1!D523</f>
        <v>175.95</v>
      </c>
      <c r="E523" s="6">
        <f>Sheet1!E523</f>
        <v>172.45</v>
      </c>
      <c r="F523" s="6">
        <f>Sheet1!F523</f>
        <v>175.2</v>
      </c>
      <c r="H523" s="6">
        <f ca="1">IF(ROW($H523)-1&lt;$I$1,$F523,AVERAGE($F523:OFFSET($F523,(($I$1-1)*-1),0)))</f>
        <v>176.57500000000002</v>
      </c>
      <c r="J523" s="6">
        <f ca="1">IF(ROW($J523)-1&lt;$K$1,$F523,AVERAGE($F523:OFFSET($F523,(($K$1-1)*-1),0)))</f>
        <v>170.08035714285714</v>
      </c>
      <c r="L523" s="7">
        <f t="shared" ca="1" si="48"/>
        <v>1</v>
      </c>
      <c r="M523" s="7" t="str">
        <f t="shared" ca="1" si="49"/>
        <v/>
      </c>
      <c r="N523" s="6" t="str">
        <f t="shared" ca="1" si="50"/>
        <v/>
      </c>
      <c r="O523" s="6">
        <f t="shared" si="51"/>
        <v>0.84999999999999432</v>
      </c>
      <c r="Q523" s="6">
        <v>6.0499999999999829</v>
      </c>
      <c r="R523" s="9">
        <f t="shared" si="52"/>
        <v>2268.7499999999936</v>
      </c>
      <c r="S523" s="7">
        <f t="shared" si="47"/>
        <v>7706.2499999999936</v>
      </c>
    </row>
    <row r="524" spans="1:19" x14ac:dyDescent="0.25">
      <c r="A524" s="4">
        <f>Sheet1!A524</f>
        <v>39847</v>
      </c>
      <c r="B524" s="5">
        <f>Sheet1!B524</f>
        <v>0.58333333333333337</v>
      </c>
      <c r="C524" s="6">
        <f>Sheet1!C524</f>
        <v>175.2</v>
      </c>
      <c r="D524" s="6">
        <f>Sheet1!D524</f>
        <v>175.65</v>
      </c>
      <c r="E524" s="6">
        <f>Sheet1!E524</f>
        <v>173.25</v>
      </c>
      <c r="F524" s="6">
        <f>Sheet1!F524</f>
        <v>174.7</v>
      </c>
      <c r="H524" s="6">
        <f ca="1">IF(ROW($H524)-1&lt;$I$1,$F524,AVERAGE($F524:OFFSET($F524,(($I$1-1)*-1),0)))</f>
        <v>176.08333333333334</v>
      </c>
      <c r="J524" s="6">
        <f ca="1">IF(ROW($J524)-1&lt;$K$1,$F524,AVERAGE($F524:OFFSET($F524,(($K$1-1)*-1),0)))</f>
        <v>170.46964285714284</v>
      </c>
      <c r="L524" s="7">
        <f t="shared" ca="1" si="48"/>
        <v>1</v>
      </c>
      <c r="M524" s="7" t="str">
        <f t="shared" ca="1" si="49"/>
        <v/>
      </c>
      <c r="N524" s="6" t="str">
        <f t="shared" ca="1" si="50"/>
        <v/>
      </c>
      <c r="O524" s="6">
        <f t="shared" si="51"/>
        <v>-0.5</v>
      </c>
      <c r="Q524" s="6">
        <v>5.5499999999999829</v>
      </c>
      <c r="R524" s="9">
        <f t="shared" si="52"/>
        <v>2081.2499999999936</v>
      </c>
      <c r="S524" s="7">
        <f t="shared" si="47"/>
        <v>7706.2499999999936</v>
      </c>
    </row>
    <row r="525" spans="1:19" x14ac:dyDescent="0.25">
      <c r="A525" s="4">
        <f>Sheet1!A525</f>
        <v>39848</v>
      </c>
      <c r="B525" s="5">
        <f>Sheet1!B525</f>
        <v>0.58333333333333337</v>
      </c>
      <c r="C525" s="6">
        <f>Sheet1!C525</f>
        <v>174.6</v>
      </c>
      <c r="D525" s="6">
        <f>Sheet1!D525</f>
        <v>174.7</v>
      </c>
      <c r="E525" s="6">
        <f>Sheet1!E525</f>
        <v>170.75</v>
      </c>
      <c r="F525" s="6">
        <f>Sheet1!F525</f>
        <v>171.35</v>
      </c>
      <c r="H525" s="6">
        <f ca="1">IF(ROW($H525)-1&lt;$I$1,$F525,AVERAGE($F525:OFFSET($F525,(($I$1-1)*-1),0)))</f>
        <v>175.08333333333334</v>
      </c>
      <c r="J525" s="6">
        <f ca="1">IF(ROW($J525)-1&lt;$K$1,$F525,AVERAGE($F525:OFFSET($F525,(($K$1-1)*-1),0)))</f>
        <v>170.77142857142854</v>
      </c>
      <c r="L525" s="7">
        <f t="shared" ca="1" si="48"/>
        <v>1</v>
      </c>
      <c r="M525" s="7" t="str">
        <f t="shared" ca="1" si="49"/>
        <v/>
      </c>
      <c r="N525" s="6" t="str">
        <f t="shared" ca="1" si="50"/>
        <v/>
      </c>
      <c r="O525" s="6">
        <f t="shared" si="51"/>
        <v>-3.3499999999999943</v>
      </c>
      <c r="Q525" s="6">
        <v>2.1999999999999886</v>
      </c>
      <c r="R525" s="9">
        <f t="shared" si="52"/>
        <v>824.99999999999568</v>
      </c>
      <c r="S525" s="7">
        <f t="shared" si="47"/>
        <v>7706.2499999999936</v>
      </c>
    </row>
    <row r="526" spans="1:19" x14ac:dyDescent="0.25">
      <c r="A526" s="4">
        <f>Sheet1!A526</f>
        <v>39849</v>
      </c>
      <c r="B526" s="5">
        <f>Sheet1!B526</f>
        <v>0.58333333333333337</v>
      </c>
      <c r="C526" s="6">
        <f>Sheet1!C526</f>
        <v>171.3</v>
      </c>
      <c r="D526" s="6">
        <f>Sheet1!D526</f>
        <v>175.3</v>
      </c>
      <c r="E526" s="6">
        <f>Sheet1!E526</f>
        <v>169.55</v>
      </c>
      <c r="F526" s="6">
        <f>Sheet1!F526</f>
        <v>174.65</v>
      </c>
      <c r="H526" s="6">
        <f ca="1">IF(ROW($H526)-1&lt;$I$1,$F526,AVERAGE($F526:OFFSET($F526,(($I$1-1)*-1),0)))</f>
        <v>174.53333333333333</v>
      </c>
      <c r="J526" s="6">
        <f ca="1">IF(ROW($J526)-1&lt;$K$1,$F526,AVERAGE($F526:OFFSET($F526,(($K$1-1)*-1),0)))</f>
        <v>171.16964285714283</v>
      </c>
      <c r="L526" s="7">
        <f t="shared" ca="1" si="48"/>
        <v>1</v>
      </c>
      <c r="M526" s="7" t="str">
        <f t="shared" ca="1" si="49"/>
        <v/>
      </c>
      <c r="N526" s="6" t="str">
        <f t="shared" ca="1" si="50"/>
        <v/>
      </c>
      <c r="O526" s="6">
        <f t="shared" si="51"/>
        <v>3.3000000000000114</v>
      </c>
      <c r="Q526" s="6">
        <v>5.5</v>
      </c>
      <c r="R526" s="9">
        <f t="shared" si="52"/>
        <v>2062.5</v>
      </c>
      <c r="S526" s="7">
        <f t="shared" si="47"/>
        <v>7706.2499999999936</v>
      </c>
    </row>
    <row r="527" spans="1:19" x14ac:dyDescent="0.25">
      <c r="A527" s="4">
        <f>Sheet1!A527</f>
        <v>39850</v>
      </c>
      <c r="B527" s="5">
        <f>Sheet1!B527</f>
        <v>0.58333333333333337</v>
      </c>
      <c r="C527" s="6">
        <f>Sheet1!C527</f>
        <v>174.35</v>
      </c>
      <c r="D527" s="6">
        <f>Sheet1!D527</f>
        <v>176.2</v>
      </c>
      <c r="E527" s="6">
        <f>Sheet1!E527</f>
        <v>173.2</v>
      </c>
      <c r="F527" s="6">
        <f>Sheet1!F527</f>
        <v>175</v>
      </c>
      <c r="H527" s="6">
        <f ca="1">IF(ROW($H527)-1&lt;$I$1,$F527,AVERAGE($F527:OFFSET($F527,(($I$1-1)*-1),0)))</f>
        <v>174.20833333333334</v>
      </c>
      <c r="J527" s="6">
        <f ca="1">IF(ROW($J527)-1&lt;$K$1,$F527,AVERAGE($F527:OFFSET($F527,(($K$1-1)*-1),0)))</f>
        <v>171.56785714285712</v>
      </c>
      <c r="L527" s="7">
        <f t="shared" ca="1" si="48"/>
        <v>1</v>
      </c>
      <c r="M527" s="7" t="str">
        <f t="shared" ca="1" si="49"/>
        <v/>
      </c>
      <c r="N527" s="6" t="str">
        <f t="shared" ca="1" si="50"/>
        <v/>
      </c>
      <c r="O527" s="6">
        <f t="shared" si="51"/>
        <v>0.34999999999999432</v>
      </c>
      <c r="Q527" s="6">
        <v>5.8499999999999943</v>
      </c>
      <c r="R527" s="9">
        <f t="shared" si="52"/>
        <v>2193.7499999999977</v>
      </c>
      <c r="S527" s="7">
        <f t="shared" si="47"/>
        <v>7706.2499999999936</v>
      </c>
    </row>
    <row r="528" spans="1:19" x14ac:dyDescent="0.25">
      <c r="A528" s="4">
        <f>Sheet1!A528</f>
        <v>39853</v>
      </c>
      <c r="B528" s="5">
        <f>Sheet1!B528</f>
        <v>0.58333333333333337</v>
      </c>
      <c r="C528" s="6">
        <f>Sheet1!C528</f>
        <v>174.65</v>
      </c>
      <c r="D528" s="6">
        <f>Sheet1!D528</f>
        <v>177.6</v>
      </c>
      <c r="E528" s="6">
        <f>Sheet1!E528</f>
        <v>173.7</v>
      </c>
      <c r="F528" s="6">
        <f>Sheet1!F528</f>
        <v>176.85</v>
      </c>
      <c r="H528" s="6">
        <f ca="1">IF(ROW($H528)-1&lt;$I$1,$F528,AVERAGE($F528:OFFSET($F528,(($I$1-1)*-1),0)))</f>
        <v>174.625</v>
      </c>
      <c r="J528" s="6">
        <f ca="1">IF(ROW($J528)-1&lt;$K$1,$F528,AVERAGE($F528:OFFSET($F528,(($K$1-1)*-1),0)))</f>
        <v>172.09464285714284</v>
      </c>
      <c r="L528" s="7">
        <f t="shared" ca="1" si="48"/>
        <v>1</v>
      </c>
      <c r="M528" s="7" t="str">
        <f t="shared" ca="1" si="49"/>
        <v/>
      </c>
      <c r="N528" s="6" t="str">
        <f t="shared" ca="1" si="50"/>
        <v/>
      </c>
      <c r="O528" s="6">
        <f t="shared" si="51"/>
        <v>1.8499999999999943</v>
      </c>
      <c r="Q528" s="6">
        <v>7.6999999999999886</v>
      </c>
      <c r="R528" s="9">
        <f t="shared" si="52"/>
        <v>2887.4999999999959</v>
      </c>
      <c r="S528" s="7">
        <f t="shared" ref="S528:S591" si="53">S527+(P528*375)</f>
        <v>7706.2499999999936</v>
      </c>
    </row>
    <row r="529" spans="1:19" x14ac:dyDescent="0.25">
      <c r="A529" s="4">
        <f>Sheet1!A529</f>
        <v>39854</v>
      </c>
      <c r="B529" s="5">
        <f>Sheet1!B529</f>
        <v>0.58333333333333337</v>
      </c>
      <c r="C529" s="6">
        <f>Sheet1!C529</f>
        <v>176.2</v>
      </c>
      <c r="D529" s="6">
        <f>Sheet1!D529</f>
        <v>176.85</v>
      </c>
      <c r="E529" s="6">
        <f>Sheet1!E529</f>
        <v>171.85</v>
      </c>
      <c r="F529" s="6">
        <f>Sheet1!F529</f>
        <v>172.3</v>
      </c>
      <c r="H529" s="6">
        <f ca="1">IF(ROW($H529)-1&lt;$I$1,$F529,AVERAGE($F529:OFFSET($F529,(($I$1-1)*-1),0)))</f>
        <v>174.14166666666665</v>
      </c>
      <c r="J529" s="6">
        <f ca="1">IF(ROW($J529)-1&lt;$K$1,$F529,AVERAGE($F529:OFFSET($F529,(($K$1-1)*-1),0)))</f>
        <v>172.42678571428567</v>
      </c>
      <c r="L529" s="7">
        <f t="shared" ca="1" si="48"/>
        <v>1</v>
      </c>
      <c r="M529" s="7" t="str">
        <f t="shared" ca="1" si="49"/>
        <v/>
      </c>
      <c r="N529" s="6" t="str">
        <f t="shared" ca="1" si="50"/>
        <v/>
      </c>
      <c r="O529" s="6">
        <f t="shared" si="51"/>
        <v>-4.5499999999999829</v>
      </c>
      <c r="Q529" s="6">
        <v>3.1500000000000057</v>
      </c>
      <c r="R529" s="9">
        <f t="shared" si="52"/>
        <v>1181.250000000002</v>
      </c>
      <c r="S529" s="7">
        <f t="shared" si="53"/>
        <v>7706.2499999999936</v>
      </c>
    </row>
    <row r="530" spans="1:19" x14ac:dyDescent="0.25">
      <c r="A530" s="4">
        <f>Sheet1!A530</f>
        <v>39855</v>
      </c>
      <c r="B530" s="5">
        <f>Sheet1!B530</f>
        <v>0.58333333333333337</v>
      </c>
      <c r="C530" s="6">
        <f>Sheet1!C530</f>
        <v>169.95</v>
      </c>
      <c r="D530" s="6">
        <f>Sheet1!D530</f>
        <v>173.3</v>
      </c>
      <c r="E530" s="6">
        <f>Sheet1!E530</f>
        <v>169.1</v>
      </c>
      <c r="F530" s="6">
        <f>Sheet1!F530</f>
        <v>171.1</v>
      </c>
      <c r="H530" s="6">
        <f ca="1">IF(ROW($H530)-1&lt;$I$1,$F530,AVERAGE($F530:OFFSET($F530,(($I$1-1)*-1),0)))</f>
        <v>173.54166666666666</v>
      </c>
      <c r="J530" s="6">
        <f ca="1">IF(ROW($J530)-1&lt;$K$1,$F530,AVERAGE($F530:OFFSET($F530,(($K$1-1)*-1),0)))</f>
        <v>172.5553571428571</v>
      </c>
      <c r="L530" s="7">
        <f t="shared" ca="1" si="48"/>
        <v>1</v>
      </c>
      <c r="M530" s="7" t="str">
        <f t="shared" ca="1" si="49"/>
        <v/>
      </c>
      <c r="N530" s="6" t="str">
        <f t="shared" ca="1" si="50"/>
        <v/>
      </c>
      <c r="O530" s="6">
        <f t="shared" si="51"/>
        <v>-1.2000000000000171</v>
      </c>
      <c r="Q530" s="6">
        <v>1.9499999999999886</v>
      </c>
      <c r="R530" s="9">
        <f t="shared" si="52"/>
        <v>731.24999999999568</v>
      </c>
      <c r="S530" s="7">
        <f t="shared" si="53"/>
        <v>7706.2499999999936</v>
      </c>
    </row>
    <row r="531" spans="1:19" x14ac:dyDescent="0.25">
      <c r="A531" s="4">
        <f>Sheet1!A531</f>
        <v>39856</v>
      </c>
      <c r="B531" s="5">
        <f>Sheet1!B531</f>
        <v>0.58333333333333337</v>
      </c>
      <c r="C531" s="6">
        <f>Sheet1!C531</f>
        <v>170.4</v>
      </c>
      <c r="D531" s="6">
        <f>Sheet1!D531</f>
        <v>171.7</v>
      </c>
      <c r="E531" s="6">
        <f>Sheet1!E531</f>
        <v>166.85</v>
      </c>
      <c r="F531" s="6">
        <f>Sheet1!F531</f>
        <v>167.75</v>
      </c>
      <c r="H531" s="6">
        <f ca="1">IF(ROW($H531)-1&lt;$I$1,$F531,AVERAGE($F531:OFFSET($F531,(($I$1-1)*-1),0)))</f>
        <v>172.94166666666669</v>
      </c>
      <c r="J531" s="6">
        <f ca="1">IF(ROW($J531)-1&lt;$K$1,$F531,AVERAGE($F531:OFFSET($F531,(($K$1-1)*-1),0)))</f>
        <v>172.60535714285714</v>
      </c>
      <c r="L531" s="7">
        <f t="shared" ca="1" si="48"/>
        <v>1</v>
      </c>
      <c r="M531" s="7" t="str">
        <f t="shared" ca="1" si="49"/>
        <v/>
      </c>
      <c r="N531" s="6" t="str">
        <f t="shared" ca="1" si="50"/>
        <v/>
      </c>
      <c r="O531" s="6">
        <f t="shared" si="51"/>
        <v>-3.3499999999999943</v>
      </c>
      <c r="Q531" s="6">
        <v>-1.4000000000000057</v>
      </c>
      <c r="R531" s="9">
        <f t="shared" si="52"/>
        <v>-525.00000000000216</v>
      </c>
      <c r="S531" s="7">
        <f t="shared" si="53"/>
        <v>7706.2499999999936</v>
      </c>
    </row>
    <row r="532" spans="1:19" x14ac:dyDescent="0.25">
      <c r="A532" s="4">
        <f>Sheet1!A532</f>
        <v>39857</v>
      </c>
      <c r="B532" s="5">
        <f>Sheet1!B532</f>
        <v>0.58333333333333337</v>
      </c>
      <c r="C532" s="6">
        <f>Sheet1!C532</f>
        <v>168.8</v>
      </c>
      <c r="D532" s="6">
        <f>Sheet1!D532</f>
        <v>169.2</v>
      </c>
      <c r="E532" s="6">
        <f>Sheet1!E532</f>
        <v>167.1</v>
      </c>
      <c r="F532" s="6">
        <f>Sheet1!F532</f>
        <v>168.3</v>
      </c>
      <c r="H532" s="6">
        <f ca="1">IF(ROW($H532)-1&lt;$I$1,$F532,AVERAGE($F532:OFFSET($F532,(($I$1-1)*-1),0)))</f>
        <v>171.88333333333335</v>
      </c>
      <c r="J532" s="6">
        <f ca="1">IF(ROW($J532)-1&lt;$K$1,$F532,AVERAGE($F532:OFFSET($F532,(($K$1-1)*-1),0)))</f>
        <v>172.78928571428568</v>
      </c>
      <c r="L532" s="7">
        <f t="shared" ca="1" si="48"/>
        <v>-1</v>
      </c>
      <c r="M532" s="7">
        <f t="shared" ca="1" si="49"/>
        <v>-1</v>
      </c>
      <c r="N532" s="6" t="str">
        <f t="shared" ca="1" si="50"/>
        <v/>
      </c>
      <c r="O532" s="6">
        <f t="shared" si="51"/>
        <v>0.55000000000001137</v>
      </c>
      <c r="Q532" s="6">
        <v>-0.84999999999999432</v>
      </c>
      <c r="R532" s="9">
        <f t="shared" si="52"/>
        <v>-318.74999999999784</v>
      </c>
      <c r="S532" s="7">
        <f t="shared" si="53"/>
        <v>7706.2499999999936</v>
      </c>
    </row>
    <row r="533" spans="1:19" x14ac:dyDescent="0.25">
      <c r="A533" s="4">
        <f>Sheet1!A533</f>
        <v>39861</v>
      </c>
      <c r="B533" s="5">
        <f>Sheet1!B533</f>
        <v>0.58333333333333337</v>
      </c>
      <c r="C533" s="6">
        <f>Sheet1!C533</f>
        <v>167.45</v>
      </c>
      <c r="D533" s="6">
        <f>Sheet1!D533</f>
        <v>168.1</v>
      </c>
      <c r="E533" s="6">
        <f>Sheet1!E533</f>
        <v>166</v>
      </c>
      <c r="F533" s="6">
        <f>Sheet1!F533</f>
        <v>166.35</v>
      </c>
      <c r="H533" s="6">
        <f ca="1">IF(ROW($H533)-1&lt;$I$1,$F533,AVERAGE($F533:OFFSET($F533,(($I$1-1)*-1),0)))</f>
        <v>170.44166666666666</v>
      </c>
      <c r="J533" s="6">
        <f ca="1">IF(ROW($J533)-1&lt;$K$1,$F533,AVERAGE($F533:OFFSET($F533,(($K$1-1)*-1),0)))</f>
        <v>172.60357142857143</v>
      </c>
      <c r="L533" s="7">
        <f t="shared" ca="1" si="48"/>
        <v>-1</v>
      </c>
      <c r="M533" s="7" t="str">
        <f t="shared" ca="1" si="49"/>
        <v/>
      </c>
      <c r="N533" s="6">
        <f t="shared" ca="1" si="50"/>
        <v>167.45</v>
      </c>
      <c r="O533" s="6">
        <f t="shared" si="51"/>
        <v>-1.9500000000000171</v>
      </c>
      <c r="P533" s="6">
        <v>-1.7000000000000171</v>
      </c>
      <c r="Q533" s="6">
        <v>1.0999999999999943</v>
      </c>
      <c r="R533" s="9">
        <f t="shared" si="52"/>
        <v>412.49999999999784</v>
      </c>
      <c r="S533" s="7">
        <f t="shared" si="53"/>
        <v>7068.7499999999873</v>
      </c>
    </row>
    <row r="534" spans="1:19" x14ac:dyDescent="0.25">
      <c r="A534" s="4">
        <f>Sheet1!A534</f>
        <v>39862</v>
      </c>
      <c r="B534" s="5">
        <f>Sheet1!B534</f>
        <v>0.58333333333333337</v>
      </c>
      <c r="C534" s="6">
        <f>Sheet1!C534</f>
        <v>166.2</v>
      </c>
      <c r="D534" s="6">
        <f>Sheet1!D534</f>
        <v>166.8</v>
      </c>
      <c r="E534" s="6">
        <f>Sheet1!E534</f>
        <v>164.35</v>
      </c>
      <c r="F534" s="6">
        <f>Sheet1!F534</f>
        <v>164.9</v>
      </c>
      <c r="H534" s="6">
        <f ca="1">IF(ROW($H534)-1&lt;$I$1,$F534,AVERAGE($F534:OFFSET($F534,(($I$1-1)*-1),0)))</f>
        <v>168.45000000000002</v>
      </c>
      <c r="J534" s="6">
        <f ca="1">IF(ROW($J534)-1&lt;$K$1,$F534,AVERAGE($F534:OFFSET($F534,(($K$1-1)*-1),0)))</f>
        <v>172.43392857142857</v>
      </c>
      <c r="L534" s="7">
        <f t="shared" ca="1" si="48"/>
        <v>-1</v>
      </c>
      <c r="M534" s="7" t="str">
        <f t="shared" ca="1" si="49"/>
        <v/>
      </c>
      <c r="N534" s="6" t="str">
        <f t="shared" ca="1" si="50"/>
        <v/>
      </c>
      <c r="O534" s="6">
        <f t="shared" si="51"/>
        <v>-1.4499999999999886</v>
      </c>
      <c r="Q534" s="6">
        <v>2.5499999999999829</v>
      </c>
      <c r="R534" s="9">
        <f t="shared" si="52"/>
        <v>956.24999999999363</v>
      </c>
      <c r="S534" s="7">
        <f t="shared" si="53"/>
        <v>7068.7499999999873</v>
      </c>
    </row>
    <row r="535" spans="1:19" x14ac:dyDescent="0.25">
      <c r="A535" s="4">
        <f>Sheet1!A535</f>
        <v>39863</v>
      </c>
      <c r="B535" s="5">
        <f>Sheet1!B535</f>
        <v>0.58333333333333337</v>
      </c>
      <c r="C535" s="6">
        <f>Sheet1!C535</f>
        <v>164.55</v>
      </c>
      <c r="D535" s="6">
        <f>Sheet1!D535</f>
        <v>166.65</v>
      </c>
      <c r="E535" s="6">
        <f>Sheet1!E535</f>
        <v>164.55</v>
      </c>
      <c r="F535" s="6">
        <f>Sheet1!F535</f>
        <v>165.8</v>
      </c>
      <c r="H535" s="6">
        <f ca="1">IF(ROW($H535)-1&lt;$I$1,$F535,AVERAGE($F535:OFFSET($F535,(($I$1-1)*-1),0)))</f>
        <v>167.36666666666667</v>
      </c>
      <c r="J535" s="6">
        <f ca="1">IF(ROW($J535)-1&lt;$K$1,$F535,AVERAGE($F535:OFFSET($F535,(($K$1-1)*-1),0)))</f>
        <v>172.32321428571427</v>
      </c>
      <c r="L535" s="7">
        <f t="shared" ca="1" si="48"/>
        <v>-1</v>
      </c>
      <c r="M535" s="7" t="str">
        <f t="shared" ca="1" si="49"/>
        <v/>
      </c>
      <c r="N535" s="6" t="str">
        <f t="shared" ca="1" si="50"/>
        <v/>
      </c>
      <c r="O535" s="6">
        <f t="shared" si="51"/>
        <v>0.90000000000000568</v>
      </c>
      <c r="Q535" s="6">
        <v>1.6499999999999773</v>
      </c>
      <c r="R535" s="9">
        <f t="shared" si="52"/>
        <v>618.74999999999147</v>
      </c>
      <c r="S535" s="7">
        <f t="shared" si="53"/>
        <v>7068.7499999999873</v>
      </c>
    </row>
    <row r="536" spans="1:19" x14ac:dyDescent="0.25">
      <c r="A536" s="4">
        <f>Sheet1!A536</f>
        <v>39864</v>
      </c>
      <c r="B536" s="5">
        <f>Sheet1!B536</f>
        <v>0.58333333333333337</v>
      </c>
      <c r="C536" s="6">
        <f>Sheet1!C536</f>
        <v>165.5</v>
      </c>
      <c r="D536" s="6">
        <f>Sheet1!D536</f>
        <v>165.85</v>
      </c>
      <c r="E536" s="6">
        <f>Sheet1!E536</f>
        <v>163.85</v>
      </c>
      <c r="F536" s="6">
        <f>Sheet1!F536</f>
        <v>164.5</v>
      </c>
      <c r="H536" s="6">
        <f ca="1">IF(ROW($H536)-1&lt;$I$1,$F536,AVERAGE($F536:OFFSET($F536,(($I$1-1)*-1),0)))</f>
        <v>166.26666666666665</v>
      </c>
      <c r="J536" s="6">
        <f ca="1">IF(ROW($J536)-1&lt;$K$1,$F536,AVERAGE($F536:OFFSET($F536,(($K$1-1)*-1),0)))</f>
        <v>172.04285714285714</v>
      </c>
      <c r="L536" s="7">
        <f t="shared" ca="1" si="48"/>
        <v>-1</v>
      </c>
      <c r="M536" s="7" t="str">
        <f t="shared" ca="1" si="49"/>
        <v/>
      </c>
      <c r="N536" s="6" t="str">
        <f t="shared" ca="1" si="50"/>
        <v/>
      </c>
      <c r="O536" s="6">
        <f t="shared" si="51"/>
        <v>-1.3000000000000114</v>
      </c>
      <c r="Q536" s="6">
        <v>2.9499999999999886</v>
      </c>
      <c r="R536" s="9">
        <f t="shared" si="52"/>
        <v>1106.2499999999957</v>
      </c>
      <c r="S536" s="7">
        <f t="shared" si="53"/>
        <v>7068.7499999999873</v>
      </c>
    </row>
    <row r="537" spans="1:19" x14ac:dyDescent="0.25">
      <c r="A537" s="4">
        <f>Sheet1!A537</f>
        <v>39867</v>
      </c>
      <c r="B537" s="5">
        <f>Sheet1!B537</f>
        <v>0.58333333333333337</v>
      </c>
      <c r="C537" s="6">
        <f>Sheet1!C537</f>
        <v>164.75</v>
      </c>
      <c r="D537" s="6">
        <f>Sheet1!D537</f>
        <v>167.65</v>
      </c>
      <c r="E537" s="6">
        <f>Sheet1!E537</f>
        <v>164.75</v>
      </c>
      <c r="F537" s="6">
        <f>Sheet1!F537</f>
        <v>166.45</v>
      </c>
      <c r="H537" s="6">
        <f ca="1">IF(ROW($H537)-1&lt;$I$1,$F537,AVERAGE($F537:OFFSET($F537,(($I$1-1)*-1),0)))</f>
        <v>166.04999999999998</v>
      </c>
      <c r="J537" s="6">
        <f ca="1">IF(ROW($J537)-1&lt;$K$1,$F537,AVERAGE($F537:OFFSET($F537,(($K$1-1)*-1),0)))</f>
        <v>171.91785714285714</v>
      </c>
      <c r="L537" s="7">
        <f t="shared" ca="1" si="48"/>
        <v>-1</v>
      </c>
      <c r="M537" s="7" t="str">
        <f t="shared" ca="1" si="49"/>
        <v/>
      </c>
      <c r="N537" s="6" t="str">
        <f t="shared" ca="1" si="50"/>
        <v/>
      </c>
      <c r="O537" s="6">
        <f t="shared" si="51"/>
        <v>1.9499999999999886</v>
      </c>
      <c r="Q537" s="6">
        <v>1</v>
      </c>
      <c r="R537" s="9">
        <f t="shared" si="52"/>
        <v>375</v>
      </c>
      <c r="S537" s="7">
        <f t="shared" si="53"/>
        <v>7068.7499999999873</v>
      </c>
    </row>
    <row r="538" spans="1:19" x14ac:dyDescent="0.25">
      <c r="A538" s="4">
        <f>Sheet1!A538</f>
        <v>39868</v>
      </c>
      <c r="B538" s="5">
        <f>Sheet1!B538</f>
        <v>0.58333333333333337</v>
      </c>
      <c r="C538" s="6">
        <f>Sheet1!C538</f>
        <v>166.15</v>
      </c>
      <c r="D538" s="6">
        <f>Sheet1!D538</f>
        <v>167.4</v>
      </c>
      <c r="E538" s="6">
        <f>Sheet1!E538</f>
        <v>165.2</v>
      </c>
      <c r="F538" s="6">
        <f>Sheet1!F538</f>
        <v>166.6</v>
      </c>
      <c r="H538" s="6">
        <f ca="1">IF(ROW($H538)-1&lt;$I$1,$F538,AVERAGE($F538:OFFSET($F538,(($I$1-1)*-1),0)))</f>
        <v>165.76666666666668</v>
      </c>
      <c r="J538" s="6">
        <f ca="1">IF(ROW($J538)-1&lt;$K$1,$F538,AVERAGE($F538:OFFSET($F538,(($K$1-1)*-1),0)))</f>
        <v>171.78928571428574</v>
      </c>
      <c r="L538" s="7">
        <f t="shared" ca="1" si="48"/>
        <v>-1</v>
      </c>
      <c r="M538" s="7" t="str">
        <f t="shared" ca="1" si="49"/>
        <v/>
      </c>
      <c r="N538" s="6" t="str">
        <f t="shared" ca="1" si="50"/>
        <v/>
      </c>
      <c r="O538" s="6">
        <f t="shared" si="51"/>
        <v>0.15000000000000568</v>
      </c>
      <c r="Q538" s="6">
        <v>0.84999999999999432</v>
      </c>
      <c r="R538" s="9">
        <f t="shared" si="52"/>
        <v>318.74999999999784</v>
      </c>
      <c r="S538" s="7">
        <f t="shared" si="53"/>
        <v>7068.7499999999873</v>
      </c>
    </row>
    <row r="539" spans="1:19" x14ac:dyDescent="0.25">
      <c r="A539" s="4">
        <f>Sheet1!A539</f>
        <v>39869</v>
      </c>
      <c r="B539" s="5">
        <f>Sheet1!B539</f>
        <v>0.58333333333333337</v>
      </c>
      <c r="C539" s="6">
        <f>Sheet1!C539</f>
        <v>167.05</v>
      </c>
      <c r="D539" s="6">
        <f>Sheet1!D539</f>
        <v>167.4</v>
      </c>
      <c r="E539" s="6">
        <f>Sheet1!E539</f>
        <v>165</v>
      </c>
      <c r="F539" s="6">
        <f>Sheet1!F539</f>
        <v>166.15</v>
      </c>
      <c r="H539" s="6">
        <f ca="1">IF(ROW($H539)-1&lt;$I$1,$F539,AVERAGE($F539:OFFSET($F539,(($I$1-1)*-1),0)))</f>
        <v>165.73333333333335</v>
      </c>
      <c r="J539" s="6">
        <f ca="1">IF(ROW($J539)-1&lt;$K$1,$F539,AVERAGE($F539:OFFSET($F539,(($K$1-1)*-1),0)))</f>
        <v>171.64821428571426</v>
      </c>
      <c r="L539" s="7">
        <f t="shared" ca="1" si="48"/>
        <v>-1</v>
      </c>
      <c r="M539" s="7" t="str">
        <f t="shared" ca="1" si="49"/>
        <v/>
      </c>
      <c r="N539" s="6" t="str">
        <f t="shared" ca="1" si="50"/>
        <v/>
      </c>
      <c r="O539" s="6">
        <f t="shared" si="51"/>
        <v>-0.44999999999998863</v>
      </c>
      <c r="Q539" s="6">
        <v>1.2999999999999829</v>
      </c>
      <c r="R539" s="9">
        <f t="shared" si="52"/>
        <v>487.49999999999363</v>
      </c>
      <c r="S539" s="7">
        <f t="shared" si="53"/>
        <v>7068.7499999999873</v>
      </c>
    </row>
    <row r="540" spans="1:19" x14ac:dyDescent="0.25">
      <c r="A540" s="4">
        <f>Sheet1!A540</f>
        <v>39870</v>
      </c>
      <c r="B540" s="5">
        <f>Sheet1!B540</f>
        <v>0.58333333333333337</v>
      </c>
      <c r="C540" s="6">
        <f>Sheet1!C540</f>
        <v>166.3</v>
      </c>
      <c r="D540" s="6">
        <f>Sheet1!D540</f>
        <v>168.25</v>
      </c>
      <c r="E540" s="6">
        <f>Sheet1!E540</f>
        <v>165.4</v>
      </c>
      <c r="F540" s="6">
        <f>Sheet1!F540</f>
        <v>166.45</v>
      </c>
      <c r="H540" s="6">
        <f ca="1">IF(ROW($H540)-1&lt;$I$1,$F540,AVERAGE($F540:OFFSET($F540,(($I$1-1)*-1),0)))</f>
        <v>165.99166666666667</v>
      </c>
      <c r="J540" s="6">
        <f ca="1">IF(ROW($J540)-1&lt;$K$1,$F540,AVERAGE($F540:OFFSET($F540,(($K$1-1)*-1),0)))</f>
        <v>171.54464285714286</v>
      </c>
      <c r="L540" s="7">
        <f t="shared" ca="1" si="48"/>
        <v>-1</v>
      </c>
      <c r="M540" s="7" t="str">
        <f t="shared" ca="1" si="49"/>
        <v/>
      </c>
      <c r="N540" s="6" t="str">
        <f t="shared" ca="1" si="50"/>
        <v/>
      </c>
      <c r="O540" s="6">
        <f t="shared" si="51"/>
        <v>0.29999999999998295</v>
      </c>
      <c r="Q540" s="6">
        <v>1</v>
      </c>
      <c r="R540" s="9">
        <f t="shared" si="52"/>
        <v>375</v>
      </c>
      <c r="S540" s="7">
        <f t="shared" si="53"/>
        <v>7068.7499999999873</v>
      </c>
    </row>
    <row r="541" spans="1:19" x14ac:dyDescent="0.25">
      <c r="A541" s="4">
        <f>Sheet1!A541</f>
        <v>39871</v>
      </c>
      <c r="B541" s="5">
        <f>Sheet1!B541</f>
        <v>0.58333333333333337</v>
      </c>
      <c r="C541" s="6">
        <f>Sheet1!C541</f>
        <v>166.4</v>
      </c>
      <c r="D541" s="6">
        <f>Sheet1!D541</f>
        <v>166.45</v>
      </c>
      <c r="E541" s="6">
        <f>Sheet1!E541</f>
        <v>163.35</v>
      </c>
      <c r="F541" s="6">
        <f>Sheet1!F541</f>
        <v>165.2</v>
      </c>
      <c r="H541" s="6">
        <f ca="1">IF(ROW($H541)-1&lt;$I$1,$F541,AVERAGE($F541:OFFSET($F541,(($I$1-1)*-1),0)))</f>
        <v>165.89166666666665</v>
      </c>
      <c r="J541" s="6">
        <f ca="1">IF(ROW($J541)-1&lt;$K$1,$F541,AVERAGE($F541:OFFSET($F541,(($K$1-1)*-1),0)))</f>
        <v>171.32857142857142</v>
      </c>
      <c r="L541" s="7">
        <f t="shared" ca="1" si="48"/>
        <v>-1</v>
      </c>
      <c r="M541" s="7" t="str">
        <f t="shared" ca="1" si="49"/>
        <v/>
      </c>
      <c r="N541" s="6" t="str">
        <f t="shared" ca="1" si="50"/>
        <v/>
      </c>
      <c r="O541" s="6">
        <f t="shared" si="51"/>
        <v>-1.25</v>
      </c>
      <c r="Q541" s="6">
        <v>2.25</v>
      </c>
      <c r="R541" s="9">
        <f t="shared" si="52"/>
        <v>843.75</v>
      </c>
      <c r="S541" s="7">
        <f t="shared" si="53"/>
        <v>7068.7499999999873</v>
      </c>
    </row>
    <row r="542" spans="1:19" x14ac:dyDescent="0.25">
      <c r="A542" s="4">
        <f>Sheet1!A542</f>
        <v>39874</v>
      </c>
      <c r="B542" s="5">
        <f>Sheet1!B542</f>
        <v>0.58333333333333337</v>
      </c>
      <c r="C542" s="6">
        <f>Sheet1!C542</f>
        <v>164.65</v>
      </c>
      <c r="D542" s="6">
        <f>Sheet1!D542</f>
        <v>165.05</v>
      </c>
      <c r="E542" s="6">
        <f>Sheet1!E542</f>
        <v>158.80000000000001</v>
      </c>
      <c r="F542" s="6">
        <f>Sheet1!F542</f>
        <v>159</v>
      </c>
      <c r="H542" s="6">
        <f ca="1">IF(ROW($H542)-1&lt;$I$1,$F542,AVERAGE($F542:OFFSET($F542,(($I$1-1)*-1),0)))</f>
        <v>164.97499999999999</v>
      </c>
      <c r="J542" s="6">
        <f ca="1">IF(ROW($J542)-1&lt;$K$1,$F542,AVERAGE($F542:OFFSET($F542,(($K$1-1)*-1),0)))</f>
        <v>170.92321428571427</v>
      </c>
      <c r="L542" s="7">
        <f t="shared" ca="1" si="48"/>
        <v>-1</v>
      </c>
      <c r="M542" s="7" t="str">
        <f t="shared" ca="1" si="49"/>
        <v/>
      </c>
      <c r="N542" s="6" t="str">
        <f t="shared" ca="1" si="50"/>
        <v/>
      </c>
      <c r="O542" s="6">
        <f t="shared" si="51"/>
        <v>-6.1999999999999886</v>
      </c>
      <c r="Q542" s="6">
        <v>8.4499999999999886</v>
      </c>
      <c r="R542" s="9">
        <f t="shared" si="52"/>
        <v>3168.7499999999959</v>
      </c>
      <c r="S542" s="7">
        <f t="shared" si="53"/>
        <v>7068.7499999999873</v>
      </c>
    </row>
    <row r="543" spans="1:19" x14ac:dyDescent="0.25">
      <c r="A543" s="4">
        <f>Sheet1!A543</f>
        <v>39875</v>
      </c>
      <c r="B543" s="5">
        <f>Sheet1!B543</f>
        <v>0.58333333333333337</v>
      </c>
      <c r="C543" s="6">
        <f>Sheet1!C543</f>
        <v>159.6</v>
      </c>
      <c r="D543" s="6">
        <f>Sheet1!D543</f>
        <v>161.1</v>
      </c>
      <c r="E543" s="6">
        <f>Sheet1!E543</f>
        <v>159.19999999999999</v>
      </c>
      <c r="F543" s="6">
        <f>Sheet1!F543</f>
        <v>159.80000000000001</v>
      </c>
      <c r="H543" s="6">
        <f ca="1">IF(ROW($H543)-1&lt;$I$1,$F543,AVERAGE($F543:OFFSET($F543,(($I$1-1)*-1),0)))</f>
        <v>163.86666666666667</v>
      </c>
      <c r="J543" s="6">
        <f ca="1">IF(ROW($J543)-1&lt;$K$1,$F543,AVERAGE($F543:OFFSET($F543,(($K$1-1)*-1),0)))</f>
        <v>170.45178571428571</v>
      </c>
      <c r="L543" s="7">
        <f t="shared" ca="1" si="48"/>
        <v>-1</v>
      </c>
      <c r="M543" s="7" t="str">
        <f t="shared" ca="1" si="49"/>
        <v/>
      </c>
      <c r="N543" s="6" t="str">
        <f t="shared" ca="1" si="50"/>
        <v/>
      </c>
      <c r="O543" s="6">
        <f t="shared" si="51"/>
        <v>0.80000000000001137</v>
      </c>
      <c r="Q543" s="6">
        <v>7.6499999999999773</v>
      </c>
      <c r="R543" s="9">
        <f t="shared" si="52"/>
        <v>2868.7499999999914</v>
      </c>
      <c r="S543" s="7">
        <f t="shared" si="53"/>
        <v>7068.7499999999873</v>
      </c>
    </row>
    <row r="544" spans="1:19" x14ac:dyDescent="0.25">
      <c r="A544" s="4">
        <f>Sheet1!A544</f>
        <v>39876</v>
      </c>
      <c r="B544" s="5">
        <f>Sheet1!B544</f>
        <v>0.58333333333333337</v>
      </c>
      <c r="C544" s="6">
        <f>Sheet1!C544</f>
        <v>160.05000000000001</v>
      </c>
      <c r="D544" s="6">
        <f>Sheet1!D544</f>
        <v>162.94999999999999</v>
      </c>
      <c r="E544" s="6">
        <f>Sheet1!E544</f>
        <v>160.05000000000001</v>
      </c>
      <c r="F544" s="6">
        <f>Sheet1!F544</f>
        <v>162</v>
      </c>
      <c r="H544" s="6">
        <f ca="1">IF(ROW($H544)-1&lt;$I$1,$F544,AVERAGE($F544:OFFSET($F544,(($I$1-1)*-1),0)))</f>
        <v>163.1</v>
      </c>
      <c r="J544" s="6">
        <f ca="1">IF(ROW($J544)-1&lt;$K$1,$F544,AVERAGE($F544:OFFSET($F544,(($K$1-1)*-1),0)))</f>
        <v>169.99107142857142</v>
      </c>
      <c r="L544" s="7">
        <f t="shared" ca="1" si="48"/>
        <v>-1</v>
      </c>
      <c r="M544" s="7" t="str">
        <f t="shared" ca="1" si="49"/>
        <v/>
      </c>
      <c r="N544" s="6" t="str">
        <f t="shared" ca="1" si="50"/>
        <v/>
      </c>
      <c r="O544" s="6">
        <f t="shared" si="51"/>
        <v>2.1999999999999886</v>
      </c>
      <c r="Q544" s="6">
        <v>5.4499999999999886</v>
      </c>
      <c r="R544" s="9">
        <f t="shared" si="52"/>
        <v>2043.7499999999957</v>
      </c>
      <c r="S544" s="7">
        <f t="shared" si="53"/>
        <v>7068.7499999999873</v>
      </c>
    </row>
    <row r="545" spans="1:19" x14ac:dyDescent="0.25">
      <c r="A545" s="4">
        <f>Sheet1!A545</f>
        <v>39877</v>
      </c>
      <c r="B545" s="5">
        <f>Sheet1!B545</f>
        <v>0.58333333333333337</v>
      </c>
      <c r="C545" s="6">
        <f>Sheet1!C545</f>
        <v>162.05000000000001</v>
      </c>
      <c r="D545" s="6">
        <f>Sheet1!D545</f>
        <v>162.19999999999999</v>
      </c>
      <c r="E545" s="6">
        <f>Sheet1!E545</f>
        <v>160.15</v>
      </c>
      <c r="F545" s="6">
        <f>Sheet1!F545</f>
        <v>162</v>
      </c>
      <c r="H545" s="6">
        <f ca="1">IF(ROW($H545)-1&lt;$I$1,$F545,AVERAGE($F545:OFFSET($F545,(($I$1-1)*-1),0)))</f>
        <v>162.40833333333333</v>
      </c>
      <c r="J545" s="6">
        <f ca="1">IF(ROW($J545)-1&lt;$K$1,$F545,AVERAGE($F545:OFFSET($F545,(($K$1-1)*-1),0)))</f>
        <v>169.52321428571432</v>
      </c>
      <c r="L545" s="7">
        <f t="shared" ca="1" si="48"/>
        <v>-1</v>
      </c>
      <c r="M545" s="7" t="str">
        <f t="shared" ca="1" si="49"/>
        <v/>
      </c>
      <c r="N545" s="6" t="str">
        <f t="shared" ca="1" si="50"/>
        <v/>
      </c>
      <c r="O545" s="6">
        <f t="shared" si="51"/>
        <v>0</v>
      </c>
      <c r="Q545" s="6">
        <v>5.4499999999999886</v>
      </c>
      <c r="R545" s="9">
        <f t="shared" si="52"/>
        <v>2043.7499999999957</v>
      </c>
      <c r="S545" s="7">
        <f t="shared" si="53"/>
        <v>7068.7499999999873</v>
      </c>
    </row>
    <row r="546" spans="1:19" x14ac:dyDescent="0.25">
      <c r="A546" s="4">
        <f>Sheet1!A546</f>
        <v>39878</v>
      </c>
      <c r="B546" s="5">
        <f>Sheet1!B546</f>
        <v>0.58333333333333337</v>
      </c>
      <c r="C546" s="6">
        <f>Sheet1!C546</f>
        <v>161.80000000000001</v>
      </c>
      <c r="D546" s="6">
        <f>Sheet1!D546</f>
        <v>162.5</v>
      </c>
      <c r="E546" s="6">
        <f>Sheet1!E546</f>
        <v>160.44999999999999</v>
      </c>
      <c r="F546" s="6">
        <f>Sheet1!F546</f>
        <v>160.5</v>
      </c>
      <c r="H546" s="6">
        <f ca="1">IF(ROW($H546)-1&lt;$I$1,$F546,AVERAGE($F546:OFFSET($F546,(($I$1-1)*-1),0)))</f>
        <v>161.41666666666666</v>
      </c>
      <c r="J546" s="6">
        <f ca="1">IF(ROW($J546)-1&lt;$K$1,$F546,AVERAGE($F546:OFFSET($F546,(($K$1-1)*-1),0)))</f>
        <v>168.91071428571428</v>
      </c>
      <c r="L546" s="7">
        <f t="shared" ca="1" si="48"/>
        <v>-1</v>
      </c>
      <c r="M546" s="7" t="str">
        <f t="shared" ca="1" si="49"/>
        <v/>
      </c>
      <c r="N546" s="6" t="str">
        <f t="shared" ca="1" si="50"/>
        <v/>
      </c>
      <c r="O546" s="6">
        <f t="shared" si="51"/>
        <v>-1.5</v>
      </c>
      <c r="Q546" s="6">
        <v>6.9499999999999886</v>
      </c>
      <c r="R546" s="9">
        <f t="shared" si="52"/>
        <v>2606.2499999999959</v>
      </c>
      <c r="S546" s="7">
        <f t="shared" si="53"/>
        <v>7068.7499999999873</v>
      </c>
    </row>
    <row r="547" spans="1:19" x14ac:dyDescent="0.25">
      <c r="A547" s="4">
        <f>Sheet1!A547</f>
        <v>39881</v>
      </c>
      <c r="B547" s="5">
        <f>Sheet1!B547</f>
        <v>0.58333333333333337</v>
      </c>
      <c r="C547" s="6">
        <f>Sheet1!C547</f>
        <v>160.6</v>
      </c>
      <c r="D547" s="6">
        <f>Sheet1!D547</f>
        <v>160.94999999999999</v>
      </c>
      <c r="E547" s="6">
        <f>Sheet1!E547</f>
        <v>157.65</v>
      </c>
      <c r="F547" s="6">
        <f>Sheet1!F547</f>
        <v>159.6</v>
      </c>
      <c r="H547" s="6">
        <f ca="1">IF(ROW($H547)-1&lt;$I$1,$F547,AVERAGE($F547:OFFSET($F547,(($I$1-1)*-1),0)))</f>
        <v>160.48333333333332</v>
      </c>
      <c r="J547" s="6">
        <f ca="1">IF(ROW($J547)-1&lt;$K$1,$F547,AVERAGE($F547:OFFSET($F547,(($K$1-1)*-1),0)))</f>
        <v>168.27678571428572</v>
      </c>
      <c r="L547" s="7">
        <f t="shared" ca="1" si="48"/>
        <v>-1</v>
      </c>
      <c r="M547" s="7" t="str">
        <f t="shared" ca="1" si="49"/>
        <v/>
      </c>
      <c r="N547" s="6" t="str">
        <f t="shared" ca="1" si="50"/>
        <v/>
      </c>
      <c r="O547" s="6">
        <f t="shared" si="51"/>
        <v>-0.90000000000000568</v>
      </c>
      <c r="Q547" s="6">
        <v>7.8499999999999943</v>
      </c>
      <c r="R547" s="9">
        <f t="shared" si="52"/>
        <v>2943.7499999999977</v>
      </c>
      <c r="S547" s="7">
        <f t="shared" si="53"/>
        <v>7068.7499999999873</v>
      </c>
    </row>
    <row r="548" spans="1:19" x14ac:dyDescent="0.25">
      <c r="A548" s="4">
        <f>Sheet1!A548</f>
        <v>39882</v>
      </c>
      <c r="B548" s="5">
        <f>Sheet1!B548</f>
        <v>0.58333333333333337</v>
      </c>
      <c r="C548" s="6">
        <f>Sheet1!C548</f>
        <v>159.4</v>
      </c>
      <c r="D548" s="6">
        <f>Sheet1!D548</f>
        <v>160.44999999999999</v>
      </c>
      <c r="E548" s="6">
        <f>Sheet1!E548</f>
        <v>158.9</v>
      </c>
      <c r="F548" s="6">
        <f>Sheet1!F548</f>
        <v>159.25</v>
      </c>
      <c r="H548" s="6">
        <f ca="1">IF(ROW($H548)-1&lt;$I$1,$F548,AVERAGE($F548:OFFSET($F548,(($I$1-1)*-1),0)))</f>
        <v>160.52500000000001</v>
      </c>
      <c r="J548" s="6">
        <f ca="1">IF(ROW($J548)-1&lt;$K$1,$F548,AVERAGE($F548:OFFSET($F548,(($K$1-1)*-1),0)))</f>
        <v>167.60892857142858</v>
      </c>
      <c r="L548" s="7">
        <f t="shared" ca="1" si="48"/>
        <v>-1</v>
      </c>
      <c r="M548" s="7" t="str">
        <f t="shared" ca="1" si="49"/>
        <v/>
      </c>
      <c r="N548" s="6" t="str">
        <f t="shared" ca="1" si="50"/>
        <v/>
      </c>
      <c r="O548" s="6">
        <f t="shared" si="51"/>
        <v>-0.34999999999999432</v>
      </c>
      <c r="Q548" s="6">
        <v>8.1999999999999886</v>
      </c>
      <c r="R548" s="9">
        <f t="shared" si="52"/>
        <v>3074.9999999999959</v>
      </c>
      <c r="S548" s="7">
        <f t="shared" si="53"/>
        <v>7068.7499999999873</v>
      </c>
    </row>
    <row r="549" spans="1:19" x14ac:dyDescent="0.25">
      <c r="A549" s="4">
        <f>Sheet1!A549</f>
        <v>39883</v>
      </c>
      <c r="B549" s="5">
        <f>Sheet1!B549</f>
        <v>0.58333333333333337</v>
      </c>
      <c r="C549" s="6">
        <f>Sheet1!C549</f>
        <v>159.05000000000001</v>
      </c>
      <c r="D549" s="6">
        <f>Sheet1!D549</f>
        <v>161.15</v>
      </c>
      <c r="E549" s="6">
        <f>Sheet1!E549</f>
        <v>158.65</v>
      </c>
      <c r="F549" s="6">
        <f>Sheet1!F549</f>
        <v>160.35</v>
      </c>
      <c r="H549" s="6">
        <f ca="1">IF(ROW($H549)-1&lt;$I$1,$F549,AVERAGE($F549:OFFSET($F549,(($I$1-1)*-1),0)))</f>
        <v>160.61666666666667</v>
      </c>
      <c r="J549" s="6">
        <f ca="1">IF(ROW($J549)-1&lt;$K$1,$F549,AVERAGE($F549:OFFSET($F549,(($K$1-1)*-1),0)))</f>
        <v>167.01607142857145</v>
      </c>
      <c r="L549" s="7">
        <f t="shared" ca="1" si="48"/>
        <v>-1</v>
      </c>
      <c r="M549" s="7" t="str">
        <f t="shared" ca="1" si="49"/>
        <v/>
      </c>
      <c r="N549" s="6" t="str">
        <f t="shared" ca="1" si="50"/>
        <v/>
      </c>
      <c r="O549" s="6">
        <f t="shared" si="51"/>
        <v>1.0999999999999943</v>
      </c>
      <c r="Q549" s="6">
        <v>7.0999999999999943</v>
      </c>
      <c r="R549" s="9">
        <f t="shared" si="52"/>
        <v>2662.4999999999977</v>
      </c>
      <c r="S549" s="7">
        <f t="shared" si="53"/>
        <v>7068.7499999999873</v>
      </c>
    </row>
    <row r="550" spans="1:19" x14ac:dyDescent="0.25">
      <c r="A550" s="4">
        <f>Sheet1!A550</f>
        <v>39884</v>
      </c>
      <c r="B550" s="5">
        <f>Sheet1!B550</f>
        <v>0.58333333333333337</v>
      </c>
      <c r="C550" s="6">
        <f>Sheet1!C550</f>
        <v>160.30000000000001</v>
      </c>
      <c r="D550" s="6">
        <f>Sheet1!D550</f>
        <v>166.25</v>
      </c>
      <c r="E550" s="6">
        <f>Sheet1!E550</f>
        <v>157.75</v>
      </c>
      <c r="F550" s="6">
        <f>Sheet1!F550</f>
        <v>163.85</v>
      </c>
      <c r="H550" s="6">
        <f ca="1">IF(ROW($H550)-1&lt;$I$1,$F550,AVERAGE($F550:OFFSET($F550,(($I$1-1)*-1),0)))</f>
        <v>160.92500000000001</v>
      </c>
      <c r="J550" s="6">
        <f ca="1">IF(ROW($J550)-1&lt;$K$1,$F550,AVERAGE($F550:OFFSET($F550,(($K$1-1)*-1),0)))</f>
        <v>166.64107142857145</v>
      </c>
      <c r="L550" s="7">
        <f t="shared" ca="1" si="48"/>
        <v>-1</v>
      </c>
      <c r="M550" s="7" t="str">
        <f t="shared" ca="1" si="49"/>
        <v/>
      </c>
      <c r="N550" s="6" t="str">
        <f t="shared" ca="1" si="50"/>
        <v/>
      </c>
      <c r="O550" s="6">
        <f t="shared" si="51"/>
        <v>3.5</v>
      </c>
      <c r="Q550" s="6">
        <v>3.5999999999999943</v>
      </c>
      <c r="R550" s="9">
        <f t="shared" si="52"/>
        <v>1349.999999999998</v>
      </c>
      <c r="S550" s="7">
        <f t="shared" si="53"/>
        <v>7068.7499999999873</v>
      </c>
    </row>
    <row r="551" spans="1:19" x14ac:dyDescent="0.25">
      <c r="A551" s="4">
        <f>Sheet1!A551</f>
        <v>39885</v>
      </c>
      <c r="B551" s="5">
        <f>Sheet1!B551</f>
        <v>0.58333333333333337</v>
      </c>
      <c r="C551" s="6">
        <f>Sheet1!C551</f>
        <v>163.85</v>
      </c>
      <c r="D551" s="6">
        <f>Sheet1!D551</f>
        <v>165.7</v>
      </c>
      <c r="E551" s="6">
        <f>Sheet1!E551</f>
        <v>162.9</v>
      </c>
      <c r="F551" s="6">
        <f>Sheet1!F551</f>
        <v>163.44999999999999</v>
      </c>
      <c r="H551" s="6">
        <f ca="1">IF(ROW($H551)-1&lt;$I$1,$F551,AVERAGE($F551:OFFSET($F551,(($I$1-1)*-1),0)))</f>
        <v>161.16666666666666</v>
      </c>
      <c r="J551" s="6">
        <f ca="1">IF(ROW($J551)-1&lt;$K$1,$F551,AVERAGE($F551:OFFSET($F551,(($K$1-1)*-1),0)))</f>
        <v>166.22142857142856</v>
      </c>
      <c r="L551" s="7">
        <f t="shared" ca="1" si="48"/>
        <v>-1</v>
      </c>
      <c r="M551" s="7" t="str">
        <f t="shared" ca="1" si="49"/>
        <v/>
      </c>
      <c r="N551" s="6" t="str">
        <f t="shared" ca="1" si="50"/>
        <v/>
      </c>
      <c r="O551" s="6">
        <f t="shared" si="51"/>
        <v>-0.40000000000000568</v>
      </c>
      <c r="Q551" s="6">
        <v>4</v>
      </c>
      <c r="R551" s="9">
        <f t="shared" si="52"/>
        <v>1500</v>
      </c>
      <c r="S551" s="7">
        <f t="shared" si="53"/>
        <v>7068.7499999999873</v>
      </c>
    </row>
    <row r="552" spans="1:19" x14ac:dyDescent="0.25">
      <c r="A552" s="4">
        <f>Sheet1!A552</f>
        <v>39888</v>
      </c>
      <c r="B552" s="5">
        <f>Sheet1!B552</f>
        <v>0.58333333333333337</v>
      </c>
      <c r="C552" s="6">
        <f>Sheet1!C552</f>
        <v>162.75</v>
      </c>
      <c r="D552" s="6">
        <f>Sheet1!D552</f>
        <v>165.1</v>
      </c>
      <c r="E552" s="6">
        <f>Sheet1!E552</f>
        <v>161.9</v>
      </c>
      <c r="F552" s="6">
        <f>Sheet1!F552</f>
        <v>164.05</v>
      </c>
      <c r="H552" s="6">
        <f ca="1">IF(ROW($H552)-1&lt;$I$1,$F552,AVERAGE($F552:OFFSET($F552,(($I$1-1)*-1),0)))</f>
        <v>161.75833333333333</v>
      </c>
      <c r="J552" s="6">
        <f ca="1">IF(ROW($J552)-1&lt;$K$1,$F552,AVERAGE($F552:OFFSET($F552,(($K$1-1)*-1),0)))</f>
        <v>165.84107142857144</v>
      </c>
      <c r="L552" s="7">
        <f t="shared" ca="1" si="48"/>
        <v>-1</v>
      </c>
      <c r="M552" s="7" t="str">
        <f t="shared" ca="1" si="49"/>
        <v/>
      </c>
      <c r="N552" s="6" t="str">
        <f t="shared" ca="1" si="50"/>
        <v/>
      </c>
      <c r="O552" s="6">
        <f t="shared" si="51"/>
        <v>0.60000000000002274</v>
      </c>
      <c r="Q552" s="6">
        <v>3.3999999999999773</v>
      </c>
      <c r="R552" s="9">
        <f t="shared" si="52"/>
        <v>1274.9999999999914</v>
      </c>
      <c r="S552" s="7">
        <f t="shared" si="53"/>
        <v>7068.7499999999873</v>
      </c>
    </row>
    <row r="553" spans="1:19" x14ac:dyDescent="0.25">
      <c r="A553" s="4">
        <f>Sheet1!A553</f>
        <v>39889</v>
      </c>
      <c r="B553" s="5">
        <f>Sheet1!B553</f>
        <v>0.58333333333333337</v>
      </c>
      <c r="C553" s="6">
        <f>Sheet1!C553</f>
        <v>164.1</v>
      </c>
      <c r="D553" s="6">
        <f>Sheet1!D553</f>
        <v>165.4</v>
      </c>
      <c r="E553" s="6">
        <f>Sheet1!E553</f>
        <v>163.05000000000001</v>
      </c>
      <c r="F553" s="6">
        <f>Sheet1!F553</f>
        <v>164.55</v>
      </c>
      <c r="H553" s="6">
        <f ca="1">IF(ROW($H553)-1&lt;$I$1,$F553,AVERAGE($F553:OFFSET($F553,(($I$1-1)*-1),0)))</f>
        <v>162.58333333333334</v>
      </c>
      <c r="J553" s="6">
        <f ca="1">IF(ROW($J553)-1&lt;$K$1,$F553,AVERAGE($F553:OFFSET($F553,(($K$1-1)*-1),0)))</f>
        <v>165.59821428571428</v>
      </c>
      <c r="L553" s="7">
        <f t="shared" ca="1" si="48"/>
        <v>-1</v>
      </c>
      <c r="M553" s="7" t="str">
        <f t="shared" ca="1" si="49"/>
        <v/>
      </c>
      <c r="N553" s="6" t="str">
        <f t="shared" ca="1" si="50"/>
        <v/>
      </c>
      <c r="O553" s="6">
        <f t="shared" si="51"/>
        <v>0.5</v>
      </c>
      <c r="Q553" s="6">
        <v>2.8999999999999773</v>
      </c>
      <c r="R553" s="9">
        <f t="shared" si="52"/>
        <v>1087.4999999999914</v>
      </c>
      <c r="S553" s="7">
        <f t="shared" si="53"/>
        <v>7068.7499999999873</v>
      </c>
    </row>
    <row r="554" spans="1:19" x14ac:dyDescent="0.25">
      <c r="A554" s="4">
        <f>Sheet1!A554</f>
        <v>39890</v>
      </c>
      <c r="B554" s="5">
        <f>Sheet1!B554</f>
        <v>0.58333333333333337</v>
      </c>
      <c r="C554" s="6">
        <f>Sheet1!C554</f>
        <v>165.3</v>
      </c>
      <c r="D554" s="6">
        <f>Sheet1!D554</f>
        <v>167.55</v>
      </c>
      <c r="E554" s="6">
        <f>Sheet1!E554</f>
        <v>164.45</v>
      </c>
      <c r="F554" s="6">
        <f>Sheet1!F554</f>
        <v>166.45</v>
      </c>
      <c r="H554" s="6">
        <f ca="1">IF(ROW($H554)-1&lt;$I$1,$F554,AVERAGE($F554:OFFSET($F554,(($I$1-1)*-1),0)))</f>
        <v>163.78333333333333</v>
      </c>
      <c r="J554" s="6">
        <f ca="1">IF(ROW($J554)-1&lt;$K$1,$F554,AVERAGE($F554:OFFSET($F554,(($K$1-1)*-1),0)))</f>
        <v>165.30535714285716</v>
      </c>
      <c r="L554" s="7">
        <f t="shared" ca="1" si="48"/>
        <v>-1</v>
      </c>
      <c r="M554" s="7" t="str">
        <f t="shared" ca="1" si="49"/>
        <v/>
      </c>
      <c r="N554" s="6" t="str">
        <f t="shared" ca="1" si="50"/>
        <v/>
      </c>
      <c r="O554" s="6">
        <f t="shared" si="51"/>
        <v>1.8999999999999773</v>
      </c>
      <c r="Q554" s="6">
        <v>1</v>
      </c>
      <c r="R554" s="9">
        <f t="shared" si="52"/>
        <v>375</v>
      </c>
      <c r="S554" s="7">
        <f t="shared" si="53"/>
        <v>7068.7499999999873</v>
      </c>
    </row>
    <row r="555" spans="1:19" x14ac:dyDescent="0.25">
      <c r="A555" s="4">
        <f>Sheet1!A555</f>
        <v>39891</v>
      </c>
      <c r="B555" s="5">
        <f>Sheet1!B555</f>
        <v>0.58333333333333337</v>
      </c>
      <c r="C555" s="6">
        <f>Sheet1!C555</f>
        <v>167.3</v>
      </c>
      <c r="D555" s="6">
        <f>Sheet1!D555</f>
        <v>170.5</v>
      </c>
      <c r="E555" s="6">
        <f>Sheet1!E555</f>
        <v>167.3</v>
      </c>
      <c r="F555" s="6">
        <f>Sheet1!F555</f>
        <v>169.45</v>
      </c>
      <c r="H555" s="6">
        <f ca="1">IF(ROW($H555)-1&lt;$I$1,$F555,AVERAGE($F555:OFFSET($F555,(($I$1-1)*-1),0)))</f>
        <v>165.29999999999998</v>
      </c>
      <c r="J555" s="6">
        <f ca="1">IF(ROW($J555)-1&lt;$K$1,$F555,AVERAGE($F555:OFFSET($F555,(($K$1-1)*-1),0)))</f>
        <v>165.10714285714283</v>
      </c>
      <c r="L555" s="7">
        <f t="shared" ca="1" si="48"/>
        <v>1</v>
      </c>
      <c r="M555" s="7">
        <f t="shared" ca="1" si="49"/>
        <v>1</v>
      </c>
      <c r="N555" s="6" t="str">
        <f t="shared" ca="1" si="50"/>
        <v/>
      </c>
      <c r="O555" s="6">
        <f t="shared" si="51"/>
        <v>3</v>
      </c>
      <c r="Q555" s="6">
        <v>-2</v>
      </c>
      <c r="R555" s="9">
        <f t="shared" si="52"/>
        <v>-750</v>
      </c>
      <c r="S555" s="7">
        <f t="shared" si="53"/>
        <v>7068.7499999999873</v>
      </c>
    </row>
    <row r="556" spans="1:19" x14ac:dyDescent="0.25">
      <c r="A556" s="4">
        <f>Sheet1!A556</f>
        <v>39892</v>
      </c>
      <c r="B556" s="5">
        <f>Sheet1!B556</f>
        <v>0.58333333333333337</v>
      </c>
      <c r="C556" s="6">
        <f>Sheet1!C556</f>
        <v>169</v>
      </c>
      <c r="D556" s="6">
        <f>Sheet1!D556</f>
        <v>171.4</v>
      </c>
      <c r="E556" s="6">
        <f>Sheet1!E556</f>
        <v>168.45</v>
      </c>
      <c r="F556" s="6">
        <f>Sheet1!F556</f>
        <v>169.5</v>
      </c>
      <c r="H556" s="6">
        <f ca="1">IF(ROW($H556)-1&lt;$I$1,$F556,AVERAGE($F556:OFFSET($F556,(($I$1-1)*-1),0)))</f>
        <v>166.24166666666667</v>
      </c>
      <c r="J556" s="6">
        <f ca="1">IF(ROW($J556)-1&lt;$K$1,$F556,AVERAGE($F556:OFFSET($F556,(($K$1-1)*-1),0)))</f>
        <v>164.84464285714284</v>
      </c>
      <c r="L556" s="7">
        <f t="shared" ca="1" si="48"/>
        <v>1</v>
      </c>
      <c r="M556" s="7" t="str">
        <f t="shared" ca="1" si="49"/>
        <v/>
      </c>
      <c r="N556" s="6">
        <f t="shared" ca="1" si="50"/>
        <v>169</v>
      </c>
      <c r="O556" s="6">
        <f t="shared" si="51"/>
        <v>5.0000000000011369E-2</v>
      </c>
      <c r="P556" s="6">
        <v>-1.5500000000000114</v>
      </c>
      <c r="Q556" s="6">
        <v>0.5</v>
      </c>
      <c r="R556" s="9">
        <f t="shared" si="52"/>
        <v>187.5</v>
      </c>
      <c r="S556" s="7">
        <f t="shared" si="53"/>
        <v>6487.4999999999827</v>
      </c>
    </row>
    <row r="557" spans="1:19" x14ac:dyDescent="0.25">
      <c r="A557" s="4">
        <f>Sheet1!A557</f>
        <v>39895</v>
      </c>
      <c r="B557" s="5">
        <f>Sheet1!B557</f>
        <v>0.58333333333333337</v>
      </c>
      <c r="C557" s="6">
        <f>Sheet1!C557</f>
        <v>169.85</v>
      </c>
      <c r="D557" s="6">
        <f>Sheet1!D557</f>
        <v>170.95</v>
      </c>
      <c r="E557" s="6">
        <f>Sheet1!E557</f>
        <v>169.2</v>
      </c>
      <c r="F557" s="6">
        <f>Sheet1!F557</f>
        <v>170.8</v>
      </c>
      <c r="H557" s="6">
        <f ca="1">IF(ROW($H557)-1&lt;$I$1,$F557,AVERAGE($F557:OFFSET($F557,(($I$1-1)*-1),0)))</f>
        <v>167.46666666666667</v>
      </c>
      <c r="J557" s="6">
        <f ca="1">IF(ROW($J557)-1&lt;$K$1,$F557,AVERAGE($F557:OFFSET($F557,(($K$1-1)*-1),0)))</f>
        <v>164.79107142857146</v>
      </c>
      <c r="L557" s="7">
        <f t="shared" ca="1" si="48"/>
        <v>1</v>
      </c>
      <c r="M557" s="7" t="str">
        <f t="shared" ca="1" si="49"/>
        <v/>
      </c>
      <c r="N557" s="6" t="str">
        <f t="shared" ca="1" si="50"/>
        <v/>
      </c>
      <c r="O557" s="6">
        <f t="shared" si="51"/>
        <v>1.3000000000000114</v>
      </c>
      <c r="Q557" s="6">
        <v>1.8000000000000114</v>
      </c>
      <c r="R557" s="9">
        <f t="shared" si="52"/>
        <v>675.00000000000432</v>
      </c>
      <c r="S557" s="7">
        <f t="shared" si="53"/>
        <v>6487.4999999999827</v>
      </c>
    </row>
    <row r="558" spans="1:19" x14ac:dyDescent="0.25">
      <c r="A558" s="4">
        <f>Sheet1!A558</f>
        <v>39896</v>
      </c>
      <c r="B558" s="5">
        <f>Sheet1!B558</f>
        <v>0.58333333333333337</v>
      </c>
      <c r="C558" s="6">
        <f>Sheet1!C558</f>
        <v>170.3</v>
      </c>
      <c r="D558" s="6">
        <f>Sheet1!D558</f>
        <v>171.2</v>
      </c>
      <c r="E558" s="6">
        <f>Sheet1!E558</f>
        <v>169.55</v>
      </c>
      <c r="F558" s="6">
        <f>Sheet1!F558</f>
        <v>170.05</v>
      </c>
      <c r="H558" s="6">
        <f ca="1">IF(ROW($H558)-1&lt;$I$1,$F558,AVERAGE($F558:OFFSET($F558,(($I$1-1)*-1),0)))</f>
        <v>168.46666666666667</v>
      </c>
      <c r="J558" s="6">
        <f ca="1">IF(ROW($J558)-1&lt;$K$1,$F558,AVERAGE($F558:OFFSET($F558,(($K$1-1)*-1),0)))</f>
        <v>164.75357142857143</v>
      </c>
      <c r="L558" s="7">
        <f t="shared" ca="1" si="48"/>
        <v>1</v>
      </c>
      <c r="M558" s="7" t="str">
        <f t="shared" ca="1" si="49"/>
        <v/>
      </c>
      <c r="N558" s="6" t="str">
        <f t="shared" ca="1" si="50"/>
        <v/>
      </c>
      <c r="O558" s="6">
        <f t="shared" si="51"/>
        <v>-0.75</v>
      </c>
      <c r="Q558" s="6">
        <v>1.0500000000000114</v>
      </c>
      <c r="R558" s="9">
        <f t="shared" si="52"/>
        <v>393.75000000000426</v>
      </c>
      <c r="S558" s="7">
        <f t="shared" si="53"/>
        <v>6487.4999999999827</v>
      </c>
    </row>
    <row r="559" spans="1:19" x14ac:dyDescent="0.25">
      <c r="A559" s="4">
        <f>Sheet1!A559</f>
        <v>39897</v>
      </c>
      <c r="B559" s="5">
        <f>Sheet1!B559</f>
        <v>0.58333333333333337</v>
      </c>
      <c r="C559" s="6">
        <f>Sheet1!C559</f>
        <v>169.6</v>
      </c>
      <c r="D559" s="6">
        <f>Sheet1!D559</f>
        <v>170.5</v>
      </c>
      <c r="E559" s="6">
        <f>Sheet1!E559</f>
        <v>168.6</v>
      </c>
      <c r="F559" s="6">
        <f>Sheet1!F559</f>
        <v>170</v>
      </c>
      <c r="H559" s="6">
        <f ca="1">IF(ROW($H559)-1&lt;$I$1,$F559,AVERAGE($F559:OFFSET($F559,(($I$1-1)*-1),0)))</f>
        <v>169.375</v>
      </c>
      <c r="J559" s="6">
        <f ca="1">IF(ROW($J559)-1&lt;$K$1,$F559,AVERAGE($F559:OFFSET($F559,(($K$1-1)*-1),0)))</f>
        <v>164.83392857142857</v>
      </c>
      <c r="L559" s="7">
        <f t="shared" ca="1" si="48"/>
        <v>1</v>
      </c>
      <c r="M559" s="7" t="str">
        <f t="shared" ca="1" si="49"/>
        <v/>
      </c>
      <c r="N559" s="6" t="str">
        <f t="shared" ca="1" si="50"/>
        <v/>
      </c>
      <c r="O559" s="6">
        <f t="shared" si="51"/>
        <v>-5.0000000000011369E-2</v>
      </c>
      <c r="Q559" s="6">
        <v>1</v>
      </c>
      <c r="R559" s="9">
        <f t="shared" si="52"/>
        <v>375</v>
      </c>
      <c r="S559" s="7">
        <f t="shared" si="53"/>
        <v>6487.4999999999827</v>
      </c>
    </row>
    <row r="560" spans="1:19" x14ac:dyDescent="0.25">
      <c r="A560" s="4">
        <f>Sheet1!A560</f>
        <v>39898</v>
      </c>
      <c r="B560" s="5">
        <f>Sheet1!B560</f>
        <v>0.58333333333333337</v>
      </c>
      <c r="C560" s="6">
        <f>Sheet1!C560</f>
        <v>170.3</v>
      </c>
      <c r="D560" s="6">
        <f>Sheet1!D560</f>
        <v>172.5</v>
      </c>
      <c r="E560" s="6">
        <f>Sheet1!E560</f>
        <v>170.3</v>
      </c>
      <c r="F560" s="6">
        <f>Sheet1!F560</f>
        <v>170.65</v>
      </c>
      <c r="H560" s="6">
        <f ca="1">IF(ROW($H560)-1&lt;$I$1,$F560,AVERAGE($F560:OFFSET($F560,(($I$1-1)*-1),0)))</f>
        <v>170.07499999999999</v>
      </c>
      <c r="J560" s="6">
        <f ca="1">IF(ROW($J560)-1&lt;$K$1,$F560,AVERAGE($F560:OFFSET($F560,(($K$1-1)*-1),0)))</f>
        <v>164.91785714285712</v>
      </c>
      <c r="L560" s="7">
        <f t="shared" ca="1" si="48"/>
        <v>1</v>
      </c>
      <c r="M560" s="7" t="str">
        <f t="shared" ca="1" si="49"/>
        <v/>
      </c>
      <c r="N560" s="6" t="str">
        <f t="shared" ca="1" si="50"/>
        <v/>
      </c>
      <c r="O560" s="6">
        <f t="shared" si="51"/>
        <v>0.65000000000000568</v>
      </c>
      <c r="Q560" s="6">
        <v>1.6500000000000057</v>
      </c>
      <c r="R560" s="9">
        <f t="shared" si="52"/>
        <v>618.75000000000216</v>
      </c>
      <c r="S560" s="7">
        <f t="shared" si="53"/>
        <v>6487.4999999999827</v>
      </c>
    </row>
    <row r="561" spans="1:19" x14ac:dyDescent="0.25">
      <c r="A561" s="4">
        <f>Sheet1!A561</f>
        <v>39899</v>
      </c>
      <c r="B561" s="5">
        <f>Sheet1!B561</f>
        <v>0.58333333333333337</v>
      </c>
      <c r="C561" s="6">
        <f>Sheet1!C561</f>
        <v>170.7</v>
      </c>
      <c r="D561" s="6">
        <f>Sheet1!D561</f>
        <v>170.95</v>
      </c>
      <c r="E561" s="6">
        <f>Sheet1!E561</f>
        <v>167.85</v>
      </c>
      <c r="F561" s="6">
        <f>Sheet1!F561</f>
        <v>169.15</v>
      </c>
      <c r="H561" s="6">
        <f ca="1">IF(ROW($H561)-1&lt;$I$1,$F561,AVERAGE($F561:OFFSET($F561,(($I$1-1)*-1),0)))</f>
        <v>170.02500000000001</v>
      </c>
      <c r="J561" s="6">
        <f ca="1">IF(ROW($J561)-1&lt;$K$1,$F561,AVERAGE($F561:OFFSET($F561,(($K$1-1)*-1),0)))</f>
        <v>165.01785714285711</v>
      </c>
      <c r="L561" s="7">
        <f t="shared" ca="1" si="48"/>
        <v>1</v>
      </c>
      <c r="M561" s="7" t="str">
        <f t="shared" ca="1" si="49"/>
        <v/>
      </c>
      <c r="N561" s="6" t="str">
        <f t="shared" ca="1" si="50"/>
        <v/>
      </c>
      <c r="O561" s="6">
        <f t="shared" si="51"/>
        <v>-1.5</v>
      </c>
      <c r="Q561" s="6">
        <v>0.15000000000000568</v>
      </c>
      <c r="R561" s="9">
        <f t="shared" si="52"/>
        <v>56.250000000002132</v>
      </c>
      <c r="S561" s="7">
        <f t="shared" si="53"/>
        <v>6487.4999999999827</v>
      </c>
    </row>
    <row r="562" spans="1:19" x14ac:dyDescent="0.25">
      <c r="A562" s="4">
        <f>Sheet1!A562</f>
        <v>39902</v>
      </c>
      <c r="B562" s="5">
        <f>Sheet1!B562</f>
        <v>0.58333333333333337</v>
      </c>
      <c r="C562" s="6">
        <f>Sheet1!C562</f>
        <v>168.8</v>
      </c>
      <c r="D562" s="6">
        <f>Sheet1!D562</f>
        <v>168.85</v>
      </c>
      <c r="E562" s="6">
        <f>Sheet1!E562</f>
        <v>166.15</v>
      </c>
      <c r="F562" s="6">
        <f>Sheet1!F562</f>
        <v>166.3</v>
      </c>
      <c r="H562" s="6">
        <f ca="1">IF(ROW($H562)-1&lt;$I$1,$F562,AVERAGE($F562:OFFSET($F562,(($I$1-1)*-1),0)))</f>
        <v>169.49166666666667</v>
      </c>
      <c r="J562" s="6">
        <f ca="1">IF(ROW($J562)-1&lt;$K$1,$F562,AVERAGE($F562:OFFSET($F562,(($K$1-1)*-1),0)))</f>
        <v>165.06785714285712</v>
      </c>
      <c r="L562" s="7">
        <f t="shared" ca="1" si="48"/>
        <v>1</v>
      </c>
      <c r="M562" s="7" t="str">
        <f t="shared" ca="1" si="49"/>
        <v/>
      </c>
      <c r="N562" s="6" t="str">
        <f t="shared" ca="1" si="50"/>
        <v/>
      </c>
      <c r="O562" s="6">
        <f t="shared" si="51"/>
        <v>-2.8499999999999943</v>
      </c>
      <c r="Q562" s="6">
        <v>-2.6999999999999886</v>
      </c>
      <c r="R562" s="9">
        <f t="shared" si="52"/>
        <v>-1012.4999999999957</v>
      </c>
      <c r="S562" s="7">
        <f t="shared" si="53"/>
        <v>6487.4999999999827</v>
      </c>
    </row>
    <row r="563" spans="1:19" x14ac:dyDescent="0.25">
      <c r="A563" s="4">
        <f>Sheet1!A563</f>
        <v>39903</v>
      </c>
      <c r="B563" s="5">
        <f>Sheet1!B563</f>
        <v>0.58333333333333337</v>
      </c>
      <c r="C563" s="6">
        <f>Sheet1!C563</f>
        <v>166.65</v>
      </c>
      <c r="D563" s="6">
        <f>Sheet1!D563</f>
        <v>169.45</v>
      </c>
      <c r="E563" s="6">
        <f>Sheet1!E563</f>
        <v>166.6</v>
      </c>
      <c r="F563" s="6">
        <f>Sheet1!F563</f>
        <v>169.05</v>
      </c>
      <c r="H563" s="6">
        <f ca="1">IF(ROW($H563)-1&lt;$I$1,$F563,AVERAGE($F563:OFFSET($F563,(($I$1-1)*-1),0)))</f>
        <v>169.20000000000002</v>
      </c>
      <c r="J563" s="6">
        <f ca="1">IF(ROW($J563)-1&lt;$K$1,$F563,AVERAGE($F563:OFFSET($F563,(($K$1-1)*-1),0)))</f>
        <v>165.18392857142857</v>
      </c>
      <c r="L563" s="7">
        <f t="shared" ca="1" si="48"/>
        <v>1</v>
      </c>
      <c r="M563" s="7" t="str">
        <f t="shared" ca="1" si="49"/>
        <v/>
      </c>
      <c r="N563" s="6" t="str">
        <f t="shared" ca="1" si="50"/>
        <v/>
      </c>
      <c r="O563" s="6">
        <f t="shared" si="51"/>
        <v>2.75</v>
      </c>
      <c r="Q563" s="6">
        <v>5.0000000000011369E-2</v>
      </c>
      <c r="R563" s="9">
        <f t="shared" si="52"/>
        <v>18.750000000004263</v>
      </c>
      <c r="S563" s="7">
        <f t="shared" si="53"/>
        <v>6487.4999999999827</v>
      </c>
    </row>
    <row r="564" spans="1:19" x14ac:dyDescent="0.25">
      <c r="A564" s="4">
        <f>Sheet1!A564</f>
        <v>39904</v>
      </c>
      <c r="B564" s="5">
        <f>Sheet1!B564</f>
        <v>0.58333333333333337</v>
      </c>
      <c r="C564" s="6">
        <f>Sheet1!C564</f>
        <v>168.85</v>
      </c>
      <c r="D564" s="6">
        <f>Sheet1!D564</f>
        <v>169.35</v>
      </c>
      <c r="E564" s="6">
        <f>Sheet1!E564</f>
        <v>167.45</v>
      </c>
      <c r="F564" s="6">
        <f>Sheet1!F564</f>
        <v>167.8</v>
      </c>
      <c r="H564" s="6">
        <f ca="1">IF(ROW($H564)-1&lt;$I$1,$F564,AVERAGE($F564:OFFSET($F564,(($I$1-1)*-1),0)))</f>
        <v>168.82499999999996</v>
      </c>
      <c r="J564" s="6">
        <f ca="1">IF(ROW($J564)-1&lt;$K$1,$F564,AVERAGE($F564:OFFSET($F564,(($K$1-1)*-1),0)))</f>
        <v>165.30178571428573</v>
      </c>
      <c r="L564" s="7">
        <f t="shared" ca="1" si="48"/>
        <v>1</v>
      </c>
      <c r="M564" s="7" t="str">
        <f t="shared" ca="1" si="49"/>
        <v/>
      </c>
      <c r="N564" s="6" t="str">
        <f t="shared" ca="1" si="50"/>
        <v/>
      </c>
      <c r="O564" s="6">
        <f t="shared" si="51"/>
        <v>-1.25</v>
      </c>
      <c r="Q564" s="6">
        <v>-1.1999999999999886</v>
      </c>
      <c r="R564" s="9">
        <f t="shared" si="52"/>
        <v>-449.99999999999574</v>
      </c>
      <c r="S564" s="7">
        <f t="shared" si="53"/>
        <v>6487.4999999999827</v>
      </c>
    </row>
    <row r="565" spans="1:19" x14ac:dyDescent="0.25">
      <c r="A565" s="4">
        <f>Sheet1!A565</f>
        <v>39905</v>
      </c>
      <c r="B565" s="5">
        <f>Sheet1!B565</f>
        <v>0.58333333333333337</v>
      </c>
      <c r="C565" s="6">
        <f>Sheet1!C565</f>
        <v>167.95</v>
      </c>
      <c r="D565" s="6">
        <f>Sheet1!D565</f>
        <v>171.45</v>
      </c>
      <c r="E565" s="6">
        <f>Sheet1!E565</f>
        <v>167.95</v>
      </c>
      <c r="F565" s="6">
        <f>Sheet1!F565</f>
        <v>170.1</v>
      </c>
      <c r="H565" s="6">
        <f ca="1">IF(ROW($H565)-1&lt;$I$1,$F565,AVERAGE($F565:OFFSET($F565,(($I$1-1)*-1),0)))</f>
        <v>168.84166666666667</v>
      </c>
      <c r="J565" s="6">
        <f ca="1">IF(ROW($J565)-1&lt;$K$1,$F565,AVERAGE($F565:OFFSET($F565,(($K$1-1)*-1),0)))</f>
        <v>165.43214285714291</v>
      </c>
      <c r="L565" s="7">
        <f t="shared" ca="1" si="48"/>
        <v>1</v>
      </c>
      <c r="M565" s="7" t="str">
        <f t="shared" ca="1" si="49"/>
        <v/>
      </c>
      <c r="N565" s="6" t="str">
        <f t="shared" ca="1" si="50"/>
        <v/>
      </c>
      <c r="O565" s="6">
        <f t="shared" si="51"/>
        <v>2.2999999999999829</v>
      </c>
      <c r="Q565" s="6">
        <v>1.0999999999999943</v>
      </c>
      <c r="R565" s="9">
        <f t="shared" si="52"/>
        <v>412.49999999999784</v>
      </c>
      <c r="S565" s="7">
        <f t="shared" si="53"/>
        <v>6487.4999999999827</v>
      </c>
    </row>
    <row r="566" spans="1:19" x14ac:dyDescent="0.25">
      <c r="A566" s="4">
        <f>Sheet1!A566</f>
        <v>39906</v>
      </c>
      <c r="B566" s="5">
        <f>Sheet1!B566</f>
        <v>0.58333333333333337</v>
      </c>
      <c r="C566" s="6">
        <f>Sheet1!C566</f>
        <v>170.1</v>
      </c>
      <c r="D566" s="6">
        <f>Sheet1!D566</f>
        <v>172.7</v>
      </c>
      <c r="E566" s="6">
        <f>Sheet1!E566</f>
        <v>169.2</v>
      </c>
      <c r="F566" s="6">
        <f>Sheet1!F566</f>
        <v>171.7</v>
      </c>
      <c r="H566" s="6">
        <f ca="1">IF(ROW($H566)-1&lt;$I$1,$F566,AVERAGE($F566:OFFSET($F566,(($I$1-1)*-1),0)))</f>
        <v>169.01666666666668</v>
      </c>
      <c r="J566" s="6">
        <f ca="1">IF(ROW($J566)-1&lt;$K$1,$F566,AVERAGE($F566:OFFSET($F566,(($K$1-1)*-1),0)))</f>
        <v>165.61428571428573</v>
      </c>
      <c r="L566" s="7">
        <f t="shared" ca="1" si="48"/>
        <v>1</v>
      </c>
      <c r="M566" s="7" t="str">
        <f t="shared" ca="1" si="49"/>
        <v/>
      </c>
      <c r="N566" s="6" t="str">
        <f t="shared" ca="1" si="50"/>
        <v/>
      </c>
      <c r="O566" s="6">
        <f t="shared" si="51"/>
        <v>1.5999999999999943</v>
      </c>
      <c r="Q566" s="6">
        <v>2.6999999999999886</v>
      </c>
      <c r="R566" s="9">
        <f t="shared" si="52"/>
        <v>1012.4999999999957</v>
      </c>
      <c r="S566" s="7">
        <f t="shared" si="53"/>
        <v>6487.4999999999827</v>
      </c>
    </row>
    <row r="567" spans="1:19" x14ac:dyDescent="0.25">
      <c r="A567" s="4">
        <f>Sheet1!A567</f>
        <v>39909</v>
      </c>
      <c r="B567" s="5">
        <f>Sheet1!B567</f>
        <v>0.58333333333333337</v>
      </c>
      <c r="C567" s="6">
        <f>Sheet1!C567</f>
        <v>172.3</v>
      </c>
      <c r="D567" s="6">
        <f>Sheet1!D567</f>
        <v>172.6</v>
      </c>
      <c r="E567" s="6">
        <f>Sheet1!E567</f>
        <v>169.7</v>
      </c>
      <c r="F567" s="6">
        <f>Sheet1!F567</f>
        <v>170.8</v>
      </c>
      <c r="H567" s="6">
        <f ca="1">IF(ROW($H567)-1&lt;$I$1,$F567,AVERAGE($F567:OFFSET($F567,(($I$1-1)*-1),0)))</f>
        <v>169.29166666666666</v>
      </c>
      <c r="J567" s="6">
        <f ca="1">IF(ROW($J567)-1&lt;$K$1,$F567,AVERAGE($F567:OFFSET($F567,(($K$1-1)*-1),0)))</f>
        <v>165.78035714285718</v>
      </c>
      <c r="L567" s="7">
        <f t="shared" ca="1" si="48"/>
        <v>1</v>
      </c>
      <c r="M567" s="7" t="str">
        <f t="shared" ca="1" si="49"/>
        <v/>
      </c>
      <c r="N567" s="6" t="str">
        <f t="shared" ca="1" si="50"/>
        <v/>
      </c>
      <c r="O567" s="6">
        <f t="shared" si="51"/>
        <v>-0.89999999999997726</v>
      </c>
      <c r="Q567" s="6">
        <v>1.8000000000000114</v>
      </c>
      <c r="R567" s="9">
        <f t="shared" si="52"/>
        <v>675.00000000000432</v>
      </c>
      <c r="S567" s="7">
        <f t="shared" si="53"/>
        <v>6487.4999999999827</v>
      </c>
    </row>
    <row r="568" spans="1:19" x14ac:dyDescent="0.25">
      <c r="A568" s="4">
        <f>Sheet1!A568</f>
        <v>39910</v>
      </c>
      <c r="B568" s="5">
        <f>Sheet1!B568</f>
        <v>0.58333333333333337</v>
      </c>
      <c r="C568" s="6">
        <f>Sheet1!C568</f>
        <v>170.5</v>
      </c>
      <c r="D568" s="6">
        <f>Sheet1!D568</f>
        <v>171.65</v>
      </c>
      <c r="E568" s="6">
        <f>Sheet1!E568</f>
        <v>169.35</v>
      </c>
      <c r="F568" s="6">
        <f>Sheet1!F568</f>
        <v>170.8</v>
      </c>
      <c r="H568" s="6">
        <f ca="1">IF(ROW($H568)-1&lt;$I$1,$F568,AVERAGE($F568:OFFSET($F568,(($I$1-1)*-1),0)))</f>
        <v>170.04166666666666</v>
      </c>
      <c r="J568" s="6">
        <f ca="1">IF(ROW($J568)-1&lt;$K$1,$F568,AVERAGE($F568:OFFSET($F568,(($K$1-1)*-1),0)))</f>
        <v>165.93571428571431</v>
      </c>
      <c r="L568" s="7">
        <f t="shared" ca="1" si="48"/>
        <v>1</v>
      </c>
      <c r="M568" s="7" t="str">
        <f t="shared" ca="1" si="49"/>
        <v/>
      </c>
      <c r="N568" s="6" t="str">
        <f t="shared" ca="1" si="50"/>
        <v/>
      </c>
      <c r="O568" s="6">
        <f t="shared" si="51"/>
        <v>0</v>
      </c>
      <c r="Q568" s="6">
        <v>1.8000000000000114</v>
      </c>
      <c r="R568" s="9">
        <f t="shared" si="52"/>
        <v>675.00000000000432</v>
      </c>
      <c r="S568" s="7">
        <f t="shared" si="53"/>
        <v>6487.4999999999827</v>
      </c>
    </row>
    <row r="569" spans="1:19" x14ac:dyDescent="0.25">
      <c r="A569" s="4">
        <f>Sheet1!A569</f>
        <v>39911</v>
      </c>
      <c r="B569" s="5">
        <f>Sheet1!B569</f>
        <v>0.58333333333333337</v>
      </c>
      <c r="C569" s="6">
        <f>Sheet1!C569</f>
        <v>170.3</v>
      </c>
      <c r="D569" s="6">
        <f>Sheet1!D569</f>
        <v>172.1</v>
      </c>
      <c r="E569" s="6">
        <f>Sheet1!E569</f>
        <v>170.1</v>
      </c>
      <c r="F569" s="6">
        <f>Sheet1!F569</f>
        <v>171.5</v>
      </c>
      <c r="H569" s="6">
        <f ca="1">IF(ROW($H569)-1&lt;$I$1,$F569,AVERAGE($F569:OFFSET($F569,(($I$1-1)*-1),0)))</f>
        <v>170.45000000000002</v>
      </c>
      <c r="J569" s="6">
        <f ca="1">IF(ROW($J569)-1&lt;$K$1,$F569,AVERAGE($F569:OFFSET($F569,(($K$1-1)*-1),0)))</f>
        <v>166.16071428571431</v>
      </c>
      <c r="L569" s="7">
        <f t="shared" ca="1" si="48"/>
        <v>1</v>
      </c>
      <c r="M569" s="7" t="str">
        <f t="shared" ca="1" si="49"/>
        <v/>
      </c>
      <c r="N569" s="6" t="str">
        <f t="shared" ca="1" si="50"/>
        <v/>
      </c>
      <c r="O569" s="6">
        <f t="shared" si="51"/>
        <v>0.69999999999998863</v>
      </c>
      <c r="Q569" s="6">
        <v>2.5</v>
      </c>
      <c r="R569" s="9">
        <f t="shared" si="52"/>
        <v>937.5</v>
      </c>
      <c r="S569" s="7">
        <f t="shared" si="53"/>
        <v>6487.4999999999827</v>
      </c>
    </row>
    <row r="570" spans="1:19" x14ac:dyDescent="0.25">
      <c r="A570" s="4">
        <f>Sheet1!A570</f>
        <v>39912</v>
      </c>
      <c r="B570" s="5">
        <f>Sheet1!B570</f>
        <v>0.58333333333333337</v>
      </c>
      <c r="C570" s="6">
        <f>Sheet1!C570</f>
        <v>171.75</v>
      </c>
      <c r="D570" s="6">
        <f>Sheet1!D570</f>
        <v>174.65</v>
      </c>
      <c r="E570" s="6">
        <f>Sheet1!E570</f>
        <v>171.55</v>
      </c>
      <c r="F570" s="6">
        <f>Sheet1!F570</f>
        <v>174.65</v>
      </c>
      <c r="H570" s="6">
        <f ca="1">IF(ROW($H570)-1&lt;$I$1,$F570,AVERAGE($F570:OFFSET($F570,(($I$1-1)*-1),0)))</f>
        <v>171.59166666666667</v>
      </c>
      <c r="J570" s="6">
        <f ca="1">IF(ROW($J570)-1&lt;$K$1,$F570,AVERAGE($F570:OFFSET($F570,(($K$1-1)*-1),0)))</f>
        <v>166.71964285714287</v>
      </c>
      <c r="L570" s="7">
        <f t="shared" ca="1" si="48"/>
        <v>1</v>
      </c>
      <c r="M570" s="7" t="str">
        <f t="shared" ca="1" si="49"/>
        <v/>
      </c>
      <c r="N570" s="6" t="str">
        <f t="shared" ca="1" si="50"/>
        <v/>
      </c>
      <c r="O570" s="6">
        <f t="shared" si="51"/>
        <v>3.1500000000000057</v>
      </c>
      <c r="Q570" s="6">
        <v>5.6500000000000057</v>
      </c>
      <c r="R570" s="9">
        <f t="shared" si="52"/>
        <v>2118.7500000000023</v>
      </c>
      <c r="S570" s="7">
        <f t="shared" si="53"/>
        <v>6487.4999999999827</v>
      </c>
    </row>
    <row r="571" spans="1:19" x14ac:dyDescent="0.25">
      <c r="A571" s="4">
        <f>Sheet1!A571</f>
        <v>39916</v>
      </c>
      <c r="B571" s="5">
        <f>Sheet1!B571</f>
        <v>0.58333333333333337</v>
      </c>
      <c r="C571" s="6">
        <f>Sheet1!C571</f>
        <v>171.9</v>
      </c>
      <c r="D571" s="6">
        <f>Sheet1!D571</f>
        <v>173.6</v>
      </c>
      <c r="E571" s="6">
        <f>Sheet1!E571</f>
        <v>166.3</v>
      </c>
      <c r="F571" s="6">
        <f>Sheet1!F571</f>
        <v>168.55</v>
      </c>
      <c r="H571" s="6">
        <f ca="1">IF(ROW($H571)-1&lt;$I$1,$F571,AVERAGE($F571:OFFSET($F571,(($I$1-1)*-1),0)))</f>
        <v>171.33333333333334</v>
      </c>
      <c r="J571" s="6">
        <f ca="1">IF(ROW($J571)-1&lt;$K$1,$F571,AVERAGE($F571:OFFSET($F571,(($K$1-1)*-1),0)))</f>
        <v>167.03214285714287</v>
      </c>
      <c r="L571" s="7">
        <f t="shared" ca="1" si="48"/>
        <v>1</v>
      </c>
      <c r="M571" s="7" t="str">
        <f t="shared" ca="1" si="49"/>
        <v/>
      </c>
      <c r="N571" s="6" t="str">
        <f t="shared" ca="1" si="50"/>
        <v/>
      </c>
      <c r="O571" s="6">
        <f t="shared" si="51"/>
        <v>-6.0999999999999943</v>
      </c>
      <c r="Q571" s="6">
        <v>-0.44999999999998863</v>
      </c>
      <c r="R571" s="9">
        <f t="shared" si="52"/>
        <v>-168.74999999999574</v>
      </c>
      <c r="S571" s="7">
        <f t="shared" si="53"/>
        <v>6487.4999999999827</v>
      </c>
    </row>
    <row r="572" spans="1:19" x14ac:dyDescent="0.25">
      <c r="A572" s="4">
        <f>Sheet1!A572</f>
        <v>39917</v>
      </c>
      <c r="B572" s="5">
        <f>Sheet1!B572</f>
        <v>0.58333333333333337</v>
      </c>
      <c r="C572" s="6">
        <f>Sheet1!C572</f>
        <v>168.75</v>
      </c>
      <c r="D572" s="6">
        <f>Sheet1!D572</f>
        <v>169.45</v>
      </c>
      <c r="E572" s="6">
        <f>Sheet1!E572</f>
        <v>166.95</v>
      </c>
      <c r="F572" s="6">
        <f>Sheet1!F572</f>
        <v>168.75</v>
      </c>
      <c r="H572" s="6">
        <f ca="1">IF(ROW($H572)-1&lt;$I$1,$F572,AVERAGE($F572:OFFSET($F572,(($I$1-1)*-1),0)))</f>
        <v>170.84166666666667</v>
      </c>
      <c r="J572" s="6">
        <f ca="1">IF(ROW($J572)-1&lt;$K$1,$F572,AVERAGE($F572:OFFSET($F572,(($K$1-1)*-1),0)))</f>
        <v>167.27321428571432</v>
      </c>
      <c r="L572" s="7">
        <f t="shared" ca="1" si="48"/>
        <v>1</v>
      </c>
      <c r="M572" s="7" t="str">
        <f t="shared" ca="1" si="49"/>
        <v/>
      </c>
      <c r="N572" s="6" t="str">
        <f t="shared" ca="1" si="50"/>
        <v/>
      </c>
      <c r="O572" s="6">
        <f t="shared" si="51"/>
        <v>0.19999999999998863</v>
      </c>
      <c r="Q572" s="6">
        <v>-0.25</v>
      </c>
      <c r="R572" s="9">
        <f t="shared" si="52"/>
        <v>-93.75</v>
      </c>
      <c r="S572" s="7">
        <f t="shared" si="53"/>
        <v>6487.4999999999827</v>
      </c>
    </row>
    <row r="573" spans="1:19" x14ac:dyDescent="0.25">
      <c r="A573" s="4">
        <f>Sheet1!A573</f>
        <v>39918</v>
      </c>
      <c r="B573" s="5">
        <f>Sheet1!B573</f>
        <v>0.58333333333333337</v>
      </c>
      <c r="C573" s="6">
        <f>Sheet1!C573</f>
        <v>168.65</v>
      </c>
      <c r="D573" s="6">
        <f>Sheet1!D573</f>
        <v>169.55</v>
      </c>
      <c r="E573" s="6">
        <f>Sheet1!E573</f>
        <v>167.6</v>
      </c>
      <c r="F573" s="6">
        <f>Sheet1!F573</f>
        <v>168.8</v>
      </c>
      <c r="H573" s="6">
        <f ca="1">IF(ROW($H573)-1&lt;$I$1,$F573,AVERAGE($F573:OFFSET($F573,(($I$1-1)*-1),0)))</f>
        <v>170.50833333333333</v>
      </c>
      <c r="J573" s="6">
        <f ca="1">IF(ROW($J573)-1&lt;$K$1,$F573,AVERAGE($F573:OFFSET($F573,(($K$1-1)*-1),0)))</f>
        <v>167.51607142857145</v>
      </c>
      <c r="L573" s="7">
        <f t="shared" ca="1" si="48"/>
        <v>1</v>
      </c>
      <c r="M573" s="7" t="str">
        <f t="shared" ca="1" si="49"/>
        <v/>
      </c>
      <c r="N573" s="6" t="str">
        <f t="shared" ca="1" si="50"/>
        <v/>
      </c>
      <c r="O573" s="6">
        <f t="shared" si="51"/>
        <v>5.0000000000011369E-2</v>
      </c>
      <c r="Q573" s="6">
        <v>-0.19999999999998863</v>
      </c>
      <c r="R573" s="9">
        <f t="shared" si="52"/>
        <v>-74.999999999995737</v>
      </c>
      <c r="S573" s="7">
        <f t="shared" si="53"/>
        <v>6487.4999999999827</v>
      </c>
    </row>
    <row r="574" spans="1:19" x14ac:dyDescent="0.25">
      <c r="A574" s="4">
        <f>Sheet1!A574</f>
        <v>39919</v>
      </c>
      <c r="B574" s="5">
        <f>Sheet1!B574</f>
        <v>0.58333333333333337</v>
      </c>
      <c r="C574" s="6">
        <f>Sheet1!C574</f>
        <v>168.6</v>
      </c>
      <c r="D574" s="6">
        <f>Sheet1!D574</f>
        <v>169.45</v>
      </c>
      <c r="E574" s="6">
        <f>Sheet1!E574</f>
        <v>166.5</v>
      </c>
      <c r="F574" s="6">
        <f>Sheet1!F574</f>
        <v>166.8</v>
      </c>
      <c r="H574" s="6">
        <f ca="1">IF(ROW($H574)-1&lt;$I$1,$F574,AVERAGE($F574:OFFSET($F574,(($I$1-1)*-1),0)))</f>
        <v>169.84166666666667</v>
      </c>
      <c r="J574" s="6">
        <f ca="1">IF(ROW($J574)-1&lt;$K$1,$F574,AVERAGE($F574:OFFSET($F574,(($K$1-1)*-1),0)))</f>
        <v>167.74107142857147</v>
      </c>
      <c r="L574" s="7">
        <f t="shared" ca="1" si="48"/>
        <v>1</v>
      </c>
      <c r="M574" s="7" t="str">
        <f t="shared" ca="1" si="49"/>
        <v/>
      </c>
      <c r="N574" s="6" t="str">
        <f t="shared" ca="1" si="50"/>
        <v/>
      </c>
      <c r="O574" s="6">
        <f t="shared" si="51"/>
        <v>-2</v>
      </c>
      <c r="Q574" s="6">
        <v>-2.1999999999999886</v>
      </c>
      <c r="R574" s="9">
        <f t="shared" si="52"/>
        <v>-824.99999999999568</v>
      </c>
      <c r="S574" s="7">
        <f t="shared" si="53"/>
        <v>6487.4999999999827</v>
      </c>
    </row>
    <row r="575" spans="1:19" x14ac:dyDescent="0.25">
      <c r="A575" s="4">
        <f>Sheet1!A575</f>
        <v>39920</v>
      </c>
      <c r="B575" s="5">
        <f>Sheet1!B575</f>
        <v>0.58333333333333337</v>
      </c>
      <c r="C575" s="6">
        <f>Sheet1!C575</f>
        <v>166.8</v>
      </c>
      <c r="D575" s="6">
        <f>Sheet1!D575</f>
        <v>167.6</v>
      </c>
      <c r="E575" s="6">
        <f>Sheet1!E575</f>
        <v>164.05</v>
      </c>
      <c r="F575" s="6">
        <f>Sheet1!F575</f>
        <v>165</v>
      </c>
      <c r="H575" s="6">
        <f ca="1">IF(ROW($H575)-1&lt;$I$1,$F575,AVERAGE($F575:OFFSET($F575,(($I$1-1)*-1),0)))</f>
        <v>168.75833333333333</v>
      </c>
      <c r="J575" s="6">
        <f ca="1">IF(ROW($J575)-1&lt;$K$1,$F575,AVERAGE($F575:OFFSET($F575,(($K$1-1)*-1),0)))</f>
        <v>167.93392857142862</v>
      </c>
      <c r="L575" s="7">
        <f t="shared" ca="1" si="48"/>
        <v>1</v>
      </c>
      <c r="M575" s="7" t="str">
        <f t="shared" ca="1" si="49"/>
        <v/>
      </c>
      <c r="N575" s="6" t="str">
        <f t="shared" ca="1" si="50"/>
        <v/>
      </c>
      <c r="O575" s="6">
        <f t="shared" si="51"/>
        <v>-1.8000000000000114</v>
      </c>
      <c r="Q575" s="6">
        <v>-4</v>
      </c>
      <c r="R575" s="9">
        <f t="shared" si="52"/>
        <v>-1500</v>
      </c>
      <c r="S575" s="7">
        <f t="shared" si="53"/>
        <v>6487.4999999999827</v>
      </c>
    </row>
    <row r="576" spans="1:19" x14ac:dyDescent="0.25">
      <c r="A576" s="4">
        <f>Sheet1!A576</f>
        <v>39923</v>
      </c>
      <c r="B576" s="5">
        <f>Sheet1!B576</f>
        <v>0.58333333333333337</v>
      </c>
      <c r="C576" s="6">
        <f>Sheet1!C576</f>
        <v>164.8</v>
      </c>
      <c r="D576" s="6">
        <f>Sheet1!D576</f>
        <v>165.6</v>
      </c>
      <c r="E576" s="6">
        <f>Sheet1!E576</f>
        <v>164.05</v>
      </c>
      <c r="F576" s="6">
        <f>Sheet1!F576</f>
        <v>164.85</v>
      </c>
      <c r="H576" s="6">
        <f ca="1">IF(ROW($H576)-1&lt;$I$1,$F576,AVERAGE($F576:OFFSET($F576,(($I$1-1)*-1),0)))</f>
        <v>167.12500000000003</v>
      </c>
      <c r="J576" s="6">
        <f ca="1">IF(ROW($J576)-1&lt;$K$1,$F576,AVERAGE($F576:OFFSET($F576,(($K$1-1)*-1),0)))</f>
        <v>168.13392857142864</v>
      </c>
      <c r="L576" s="7">
        <f t="shared" ca="1" si="48"/>
        <v>-1</v>
      </c>
      <c r="M576" s="7">
        <f t="shared" ca="1" si="49"/>
        <v>-1</v>
      </c>
      <c r="N576" s="6" t="str">
        <f t="shared" ca="1" si="50"/>
        <v/>
      </c>
      <c r="O576" s="6">
        <f t="shared" si="51"/>
        <v>-0.15000000000000568</v>
      </c>
      <c r="Q576" s="6">
        <v>-4.1500000000000057</v>
      </c>
      <c r="R576" s="9">
        <f t="shared" si="52"/>
        <v>-1556.250000000002</v>
      </c>
      <c r="S576" s="7">
        <f t="shared" si="53"/>
        <v>6487.4999999999827</v>
      </c>
    </row>
    <row r="577" spans="1:19" x14ac:dyDescent="0.25">
      <c r="A577" s="4">
        <f>Sheet1!A577</f>
        <v>39924</v>
      </c>
      <c r="B577" s="5">
        <f>Sheet1!B577</f>
        <v>0.58333333333333337</v>
      </c>
      <c r="C577" s="6">
        <f>Sheet1!C577</f>
        <v>164.8</v>
      </c>
      <c r="D577" s="6">
        <f>Sheet1!D577</f>
        <v>165.75</v>
      </c>
      <c r="E577" s="6">
        <f>Sheet1!E577</f>
        <v>164</v>
      </c>
      <c r="F577" s="6">
        <f>Sheet1!F577</f>
        <v>165.6</v>
      </c>
      <c r="H577" s="6">
        <f ca="1">IF(ROW($H577)-1&lt;$I$1,$F577,AVERAGE($F577:OFFSET($F577,(($I$1-1)*-1),0)))</f>
        <v>166.63333333333335</v>
      </c>
      <c r="J577" s="6">
        <f ca="1">IF(ROW($J577)-1&lt;$K$1,$F577,AVERAGE($F577:OFFSET($F577,(($K$1-1)*-1),0)))</f>
        <v>168.32142857142864</v>
      </c>
      <c r="L577" s="7">
        <f t="shared" ca="1" si="48"/>
        <v>-1</v>
      </c>
      <c r="M577" s="7" t="str">
        <f t="shared" ca="1" si="49"/>
        <v/>
      </c>
      <c r="N577" s="6">
        <f t="shared" ca="1" si="50"/>
        <v>164.8</v>
      </c>
      <c r="O577" s="6">
        <f t="shared" si="51"/>
        <v>0.75</v>
      </c>
      <c r="P577" s="6">
        <v>-4.1999999999999886</v>
      </c>
      <c r="Q577" s="6">
        <v>-0.79999999999998295</v>
      </c>
      <c r="R577" s="9">
        <f t="shared" si="52"/>
        <v>-299.99999999999363</v>
      </c>
      <c r="S577" s="7">
        <f t="shared" si="53"/>
        <v>4912.4999999999873</v>
      </c>
    </row>
    <row r="578" spans="1:19" x14ac:dyDescent="0.25">
      <c r="A578" s="4">
        <f>Sheet1!A578</f>
        <v>39925</v>
      </c>
      <c r="B578" s="5">
        <f>Sheet1!B578</f>
        <v>0.58333333333333337</v>
      </c>
      <c r="C578" s="6">
        <f>Sheet1!C578</f>
        <v>165.55</v>
      </c>
      <c r="D578" s="6">
        <f>Sheet1!D578</f>
        <v>170.25</v>
      </c>
      <c r="E578" s="6">
        <f>Sheet1!E578</f>
        <v>164.1</v>
      </c>
      <c r="F578" s="6">
        <f>Sheet1!F578</f>
        <v>169</v>
      </c>
      <c r="H578" s="6">
        <f ca="1">IF(ROW($H578)-1&lt;$I$1,$F578,AVERAGE($F578:OFFSET($F578,(($I$1-1)*-1),0)))</f>
        <v>166.67500000000001</v>
      </c>
      <c r="J578" s="6">
        <f ca="1">IF(ROW($J578)-1&lt;$K$1,$F578,AVERAGE($F578:OFFSET($F578,(($K$1-1)*-1),0)))</f>
        <v>168.50535714285721</v>
      </c>
      <c r="L578" s="7">
        <f t="shared" ca="1" si="48"/>
        <v>-1</v>
      </c>
      <c r="M578" s="7" t="str">
        <f t="shared" ca="1" si="49"/>
        <v/>
      </c>
      <c r="N578" s="6" t="str">
        <f t="shared" ca="1" si="50"/>
        <v/>
      </c>
      <c r="O578" s="6">
        <f t="shared" si="51"/>
        <v>3.4000000000000057</v>
      </c>
      <c r="Q578" s="6">
        <v>-4.1999999999999886</v>
      </c>
      <c r="R578" s="9">
        <f t="shared" si="52"/>
        <v>-1574.9999999999957</v>
      </c>
      <c r="S578" s="7">
        <f t="shared" si="53"/>
        <v>4912.4999999999873</v>
      </c>
    </row>
    <row r="579" spans="1:19" x14ac:dyDescent="0.25">
      <c r="A579" s="4">
        <f>Sheet1!A579</f>
        <v>39926</v>
      </c>
      <c r="B579" s="5">
        <f>Sheet1!B579</f>
        <v>0.58333333333333337</v>
      </c>
      <c r="C579" s="6">
        <f>Sheet1!C579</f>
        <v>168.95</v>
      </c>
      <c r="D579" s="6">
        <f>Sheet1!D579</f>
        <v>169.7</v>
      </c>
      <c r="E579" s="6">
        <f>Sheet1!E579</f>
        <v>168.55</v>
      </c>
      <c r="F579" s="6">
        <f>Sheet1!F579</f>
        <v>169.5</v>
      </c>
      <c r="H579" s="6">
        <f ca="1">IF(ROW($H579)-1&lt;$I$1,$F579,AVERAGE($F579:OFFSET($F579,(($I$1-1)*-1),0)))</f>
        <v>166.79166666666666</v>
      </c>
      <c r="J579" s="6">
        <f ca="1">IF(ROW($J579)-1&lt;$K$1,$F579,AVERAGE($F579:OFFSET($F579,(($K$1-1)*-1),0)))</f>
        <v>168.72142857142862</v>
      </c>
      <c r="L579" s="7">
        <f t="shared" ref="L579:L642" ca="1" si="54">IF(ROW($L579)&gt;($K$1),IF($H579&gt;$J579,1,IF($H579&lt;$J579,-1,$L578*-1)),0)</f>
        <v>-1</v>
      </c>
      <c r="M579" s="7" t="str">
        <f t="shared" ca="1" si="49"/>
        <v/>
      </c>
      <c r="N579" s="6" t="str">
        <f t="shared" ca="1" si="50"/>
        <v/>
      </c>
      <c r="O579" s="6">
        <f t="shared" si="51"/>
        <v>0.5</v>
      </c>
      <c r="Q579" s="6">
        <v>-4.6999999999999886</v>
      </c>
      <c r="R579" s="9">
        <f t="shared" si="52"/>
        <v>-1762.4999999999957</v>
      </c>
      <c r="S579" s="7">
        <f t="shared" si="53"/>
        <v>4912.4999999999873</v>
      </c>
    </row>
    <row r="580" spans="1:19" x14ac:dyDescent="0.25">
      <c r="A580" s="4">
        <f>Sheet1!A580</f>
        <v>39927</v>
      </c>
      <c r="B580" s="5">
        <f>Sheet1!B580</f>
        <v>0.58333333333333337</v>
      </c>
      <c r="C580" s="6">
        <f>Sheet1!C580</f>
        <v>169.25</v>
      </c>
      <c r="D580" s="6">
        <f>Sheet1!D580</f>
        <v>170.75</v>
      </c>
      <c r="E580" s="6">
        <f>Sheet1!E580</f>
        <v>167.75</v>
      </c>
      <c r="F580" s="6">
        <f>Sheet1!F580</f>
        <v>170.7</v>
      </c>
      <c r="H580" s="6">
        <f ca="1">IF(ROW($H580)-1&lt;$I$1,$F580,AVERAGE($F580:OFFSET($F580,(($I$1-1)*-1),0)))</f>
        <v>167.44166666666669</v>
      </c>
      <c r="J580" s="6">
        <f ca="1">IF(ROW($J580)-1&lt;$K$1,$F580,AVERAGE($F580:OFFSET($F580,(($K$1-1)*-1),0)))</f>
        <v>168.95892857142857</v>
      </c>
      <c r="L580" s="7">
        <f t="shared" ca="1" si="54"/>
        <v>-1</v>
      </c>
      <c r="M580" s="7" t="str">
        <f t="shared" ref="M580:M643" ca="1" si="55">IF(L580&lt;&gt;L579,L580,"")</f>
        <v/>
      </c>
      <c r="N580" s="6" t="str">
        <f t="shared" ref="N580:N643" ca="1" si="56">IF(M579&lt;&gt;"",C580,"")</f>
        <v/>
      </c>
      <c r="O580" s="6">
        <f t="shared" ref="O580:O643" si="57">F580-F579</f>
        <v>1.1999999999999886</v>
      </c>
      <c r="Q580" s="6">
        <v>-5.8999999999999773</v>
      </c>
      <c r="R580" s="9">
        <f t="shared" ref="R580:R643" si="58">IF(Q580="","",Q580*375)</f>
        <v>-2212.4999999999914</v>
      </c>
      <c r="S580" s="7">
        <f t="shared" si="53"/>
        <v>4912.4999999999873</v>
      </c>
    </row>
    <row r="581" spans="1:19" x14ac:dyDescent="0.25">
      <c r="A581" s="4">
        <f>Sheet1!A581</f>
        <v>39930</v>
      </c>
      <c r="B581" s="5">
        <f>Sheet1!B581</f>
        <v>0.58333333333333337</v>
      </c>
      <c r="C581" s="6">
        <f>Sheet1!C581</f>
        <v>169.75</v>
      </c>
      <c r="D581" s="6">
        <f>Sheet1!D581</f>
        <v>170</v>
      </c>
      <c r="E581" s="6">
        <f>Sheet1!E581</f>
        <v>165.55</v>
      </c>
      <c r="F581" s="6">
        <f>Sheet1!F581</f>
        <v>166.65</v>
      </c>
      <c r="H581" s="6">
        <f ca="1">IF(ROW($H581)-1&lt;$I$1,$F581,AVERAGE($F581:OFFSET($F581,(($I$1-1)*-1),0)))</f>
        <v>167.71666666666667</v>
      </c>
      <c r="J581" s="6">
        <f ca="1">IF(ROW($J581)-1&lt;$K$1,$F581,AVERAGE($F581:OFFSET($F581,(($K$1-1)*-1),0)))</f>
        <v>169.03392857142856</v>
      </c>
      <c r="L581" s="7">
        <f t="shared" ca="1" si="54"/>
        <v>-1</v>
      </c>
      <c r="M581" s="7" t="str">
        <f t="shared" ca="1" si="55"/>
        <v/>
      </c>
      <c r="N581" s="6" t="str">
        <f t="shared" ca="1" si="56"/>
        <v/>
      </c>
      <c r="O581" s="6">
        <f t="shared" si="57"/>
        <v>-4.0499999999999829</v>
      </c>
      <c r="Q581" s="6">
        <v>-1.8499999999999943</v>
      </c>
      <c r="R581" s="9">
        <f t="shared" si="58"/>
        <v>-693.74999999999784</v>
      </c>
      <c r="S581" s="7">
        <f t="shared" si="53"/>
        <v>4912.4999999999873</v>
      </c>
    </row>
    <row r="582" spans="1:19" x14ac:dyDescent="0.25">
      <c r="A582" s="4">
        <f>Sheet1!A582</f>
        <v>39931</v>
      </c>
      <c r="B582" s="5">
        <f>Sheet1!B582</f>
        <v>0.58333333333333337</v>
      </c>
      <c r="C582" s="6">
        <f>Sheet1!C582</f>
        <v>166.65</v>
      </c>
      <c r="D582" s="6">
        <f>Sheet1!D582</f>
        <v>167.9</v>
      </c>
      <c r="E582" s="6">
        <f>Sheet1!E582</f>
        <v>165.35</v>
      </c>
      <c r="F582" s="6">
        <f>Sheet1!F582</f>
        <v>167.5</v>
      </c>
      <c r="H582" s="6">
        <f ca="1">IF(ROW($H582)-1&lt;$I$1,$F582,AVERAGE($F582:OFFSET($F582,(($I$1-1)*-1),0)))</f>
        <v>168.15833333333333</v>
      </c>
      <c r="J582" s="6">
        <f ca="1">IF(ROW($J582)-1&lt;$K$1,$F582,AVERAGE($F582:OFFSET($F582,(($K$1-1)*-1),0)))</f>
        <v>169.07142857142858</v>
      </c>
      <c r="L582" s="7">
        <f t="shared" ca="1" si="54"/>
        <v>-1</v>
      </c>
      <c r="M582" s="7" t="str">
        <f t="shared" ca="1" si="55"/>
        <v/>
      </c>
      <c r="N582" s="6" t="str">
        <f t="shared" ca="1" si="56"/>
        <v/>
      </c>
      <c r="O582" s="6">
        <f t="shared" si="57"/>
        <v>0.84999999999999432</v>
      </c>
      <c r="Q582" s="6">
        <v>-2.6999999999999886</v>
      </c>
      <c r="R582" s="9">
        <f t="shared" si="58"/>
        <v>-1012.4999999999957</v>
      </c>
      <c r="S582" s="7">
        <f t="shared" si="53"/>
        <v>4912.4999999999873</v>
      </c>
    </row>
    <row r="583" spans="1:19" x14ac:dyDescent="0.25">
      <c r="A583" s="4">
        <f>Sheet1!A583</f>
        <v>39932</v>
      </c>
      <c r="B583" s="5">
        <f>Sheet1!B583</f>
        <v>0.58333333333333337</v>
      </c>
      <c r="C583" s="6">
        <f>Sheet1!C583</f>
        <v>167.55</v>
      </c>
      <c r="D583" s="6">
        <f>Sheet1!D583</f>
        <v>168.35</v>
      </c>
      <c r="E583" s="6">
        <f>Sheet1!E583</f>
        <v>166.8</v>
      </c>
      <c r="F583" s="6">
        <f>Sheet1!F583</f>
        <v>167.75</v>
      </c>
      <c r="H583" s="6">
        <f ca="1">IF(ROW($H583)-1&lt;$I$1,$F583,AVERAGE($F583:OFFSET($F583,(($I$1-1)*-1),0)))</f>
        <v>168.51666666666668</v>
      </c>
      <c r="J583" s="6">
        <f ca="1">IF(ROW($J583)-1&lt;$K$1,$F583,AVERAGE($F583:OFFSET($F583,(($K$1-1)*-1),0)))</f>
        <v>169.0107142857143</v>
      </c>
      <c r="L583" s="7">
        <f t="shared" ca="1" si="54"/>
        <v>-1</v>
      </c>
      <c r="M583" s="7" t="str">
        <f t="shared" ca="1" si="55"/>
        <v/>
      </c>
      <c r="N583" s="6" t="str">
        <f t="shared" ca="1" si="56"/>
        <v/>
      </c>
      <c r="O583" s="6">
        <f t="shared" si="57"/>
        <v>0.25</v>
      </c>
      <c r="Q583" s="6">
        <v>-2.9499999999999886</v>
      </c>
      <c r="R583" s="9">
        <f t="shared" si="58"/>
        <v>-1106.2499999999957</v>
      </c>
      <c r="S583" s="7">
        <f t="shared" si="53"/>
        <v>4912.4999999999873</v>
      </c>
    </row>
    <row r="584" spans="1:19" x14ac:dyDescent="0.25">
      <c r="A584" s="4">
        <f>Sheet1!A584</f>
        <v>39933</v>
      </c>
      <c r="B584" s="5">
        <f>Sheet1!B584</f>
        <v>0.58333333333333337</v>
      </c>
      <c r="C584" s="6">
        <f>Sheet1!C584</f>
        <v>167.9</v>
      </c>
      <c r="D584" s="6">
        <f>Sheet1!D584</f>
        <v>168.1</v>
      </c>
      <c r="E584" s="6">
        <f>Sheet1!E584</f>
        <v>165.65</v>
      </c>
      <c r="F584" s="6">
        <f>Sheet1!F584</f>
        <v>167.15</v>
      </c>
      <c r="H584" s="6">
        <f ca="1">IF(ROW($H584)-1&lt;$I$1,$F584,AVERAGE($F584:OFFSET($F584,(($I$1-1)*-1),0)))</f>
        <v>168.20833333333334</v>
      </c>
      <c r="J584" s="6">
        <f ca="1">IF(ROW($J584)-1&lt;$K$1,$F584,AVERAGE($F584:OFFSET($F584,(($K$1-1)*-1),0)))</f>
        <v>168.9267857142857</v>
      </c>
      <c r="L584" s="7">
        <f t="shared" ca="1" si="54"/>
        <v>-1</v>
      </c>
      <c r="M584" s="7" t="str">
        <f t="shared" ca="1" si="55"/>
        <v/>
      </c>
      <c r="N584" s="6" t="str">
        <f t="shared" ca="1" si="56"/>
        <v/>
      </c>
      <c r="O584" s="6">
        <f t="shared" si="57"/>
        <v>-0.59999999999999432</v>
      </c>
      <c r="Q584" s="6">
        <v>-2.3499999999999943</v>
      </c>
      <c r="R584" s="9">
        <f t="shared" si="58"/>
        <v>-881.24999999999784</v>
      </c>
      <c r="S584" s="7">
        <f t="shared" si="53"/>
        <v>4912.4999999999873</v>
      </c>
    </row>
    <row r="585" spans="1:19" x14ac:dyDescent="0.25">
      <c r="A585" s="4">
        <f>Sheet1!A585</f>
        <v>39934</v>
      </c>
      <c r="B585" s="5">
        <f>Sheet1!B585</f>
        <v>0.58333333333333337</v>
      </c>
      <c r="C585" s="6">
        <f>Sheet1!C585</f>
        <v>166.95</v>
      </c>
      <c r="D585" s="6">
        <f>Sheet1!D585</f>
        <v>172</v>
      </c>
      <c r="E585" s="6">
        <f>Sheet1!E585</f>
        <v>166.9</v>
      </c>
      <c r="F585" s="6">
        <f>Sheet1!F585</f>
        <v>171.65</v>
      </c>
      <c r="H585" s="6">
        <f ca="1">IF(ROW($H585)-1&lt;$I$1,$F585,AVERAGE($F585:OFFSET($F585,(($I$1-1)*-1),0)))</f>
        <v>168.56666666666666</v>
      </c>
      <c r="J585" s="6">
        <f ca="1">IF(ROW($J585)-1&lt;$K$1,$F585,AVERAGE($F585:OFFSET($F585,(($K$1-1)*-1),0)))</f>
        <v>168.95714285714283</v>
      </c>
      <c r="L585" s="7">
        <f t="shared" ca="1" si="54"/>
        <v>-1</v>
      </c>
      <c r="M585" s="7" t="str">
        <f t="shared" ca="1" si="55"/>
        <v/>
      </c>
      <c r="N585" s="6" t="str">
        <f t="shared" ca="1" si="56"/>
        <v/>
      </c>
      <c r="O585" s="6">
        <f t="shared" si="57"/>
        <v>4.5</v>
      </c>
      <c r="Q585" s="6">
        <v>-6.8499999999999943</v>
      </c>
      <c r="R585" s="9">
        <f t="shared" si="58"/>
        <v>-2568.7499999999977</v>
      </c>
      <c r="S585" s="7">
        <f t="shared" si="53"/>
        <v>4912.4999999999873</v>
      </c>
    </row>
    <row r="586" spans="1:19" x14ac:dyDescent="0.25">
      <c r="A586" s="4">
        <f>Sheet1!A586</f>
        <v>39937</v>
      </c>
      <c r="B586" s="5">
        <f>Sheet1!B586</f>
        <v>0.58333333333333337</v>
      </c>
      <c r="C586" s="6">
        <f>Sheet1!C586</f>
        <v>171.55</v>
      </c>
      <c r="D586" s="6">
        <f>Sheet1!D586</f>
        <v>173.1</v>
      </c>
      <c r="E586" s="6">
        <f>Sheet1!E586</f>
        <v>170.4</v>
      </c>
      <c r="F586" s="6">
        <f>Sheet1!F586</f>
        <v>172.1</v>
      </c>
      <c r="H586" s="6">
        <f ca="1">IF(ROW($H586)-1&lt;$I$1,$F586,AVERAGE($F586:OFFSET($F586,(($I$1-1)*-1),0)))</f>
        <v>168.79999999999998</v>
      </c>
      <c r="J586" s="6">
        <f ca="1">IF(ROW($J586)-1&lt;$K$1,$F586,AVERAGE($F586:OFFSET($F586,(($K$1-1)*-1),0)))</f>
        <v>169.03035714285713</v>
      </c>
      <c r="L586" s="7">
        <f t="shared" ca="1" si="54"/>
        <v>-1</v>
      </c>
      <c r="M586" s="7" t="str">
        <f t="shared" ca="1" si="55"/>
        <v/>
      </c>
      <c r="N586" s="6" t="str">
        <f t="shared" ca="1" si="56"/>
        <v/>
      </c>
      <c r="O586" s="6">
        <f t="shared" si="57"/>
        <v>0.44999999999998863</v>
      </c>
      <c r="Q586" s="6">
        <v>-7.2999999999999829</v>
      </c>
      <c r="R586" s="9">
        <f t="shared" si="58"/>
        <v>-2737.4999999999936</v>
      </c>
      <c r="S586" s="7">
        <f t="shared" si="53"/>
        <v>4912.4999999999873</v>
      </c>
    </row>
    <row r="587" spans="1:19" x14ac:dyDescent="0.25">
      <c r="A587" s="4">
        <f>Sheet1!A587</f>
        <v>39938</v>
      </c>
      <c r="B587" s="5">
        <f>Sheet1!B587</f>
        <v>0.58333333333333337</v>
      </c>
      <c r="C587" s="6">
        <f>Sheet1!C587</f>
        <v>172.05</v>
      </c>
      <c r="D587" s="6">
        <f>Sheet1!D587</f>
        <v>176.05</v>
      </c>
      <c r="E587" s="6">
        <f>Sheet1!E587</f>
        <v>170.85</v>
      </c>
      <c r="F587" s="6">
        <f>Sheet1!F587</f>
        <v>175.9</v>
      </c>
      <c r="H587" s="6">
        <f ca="1">IF(ROW($H587)-1&lt;$I$1,$F587,AVERAGE($F587:OFFSET($F587,(($I$1-1)*-1),0)))</f>
        <v>170.34166666666667</v>
      </c>
      <c r="J587" s="6">
        <f ca="1">IF(ROW($J587)-1&lt;$K$1,$F587,AVERAGE($F587:OFFSET($F587,(($K$1-1)*-1),0)))</f>
        <v>169.24107142857142</v>
      </c>
      <c r="L587" s="7">
        <f t="shared" ca="1" si="54"/>
        <v>1</v>
      </c>
      <c r="M587" s="7">
        <f t="shared" ca="1" si="55"/>
        <v>1</v>
      </c>
      <c r="N587" s="6" t="str">
        <f t="shared" ca="1" si="56"/>
        <v/>
      </c>
      <c r="O587" s="6">
        <f t="shared" si="57"/>
        <v>3.8000000000000114</v>
      </c>
      <c r="Q587" s="6">
        <v>-11.099999999999994</v>
      </c>
      <c r="R587" s="9">
        <f t="shared" si="58"/>
        <v>-4162.4999999999982</v>
      </c>
      <c r="S587" s="7">
        <f t="shared" si="53"/>
        <v>4912.4999999999873</v>
      </c>
    </row>
    <row r="588" spans="1:19" x14ac:dyDescent="0.25">
      <c r="A588" s="4">
        <f>Sheet1!A588</f>
        <v>39939</v>
      </c>
      <c r="B588" s="5">
        <f>Sheet1!B588</f>
        <v>0.58333333333333337</v>
      </c>
      <c r="C588" s="6">
        <f>Sheet1!C588</f>
        <v>175.55</v>
      </c>
      <c r="D588" s="6">
        <f>Sheet1!D588</f>
        <v>176.5</v>
      </c>
      <c r="E588" s="6">
        <f>Sheet1!E588</f>
        <v>174.75</v>
      </c>
      <c r="F588" s="6">
        <f>Sheet1!F588</f>
        <v>176.15</v>
      </c>
      <c r="H588" s="6">
        <f ca="1">IF(ROW($H588)-1&lt;$I$1,$F588,AVERAGE($F588:OFFSET($F588,(($I$1-1)*-1),0)))</f>
        <v>171.78333333333333</v>
      </c>
      <c r="J588" s="6">
        <f ca="1">IF(ROW($J588)-1&lt;$K$1,$F588,AVERAGE($F588:OFFSET($F588,(($K$1-1)*-1),0)))</f>
        <v>169.4375</v>
      </c>
      <c r="L588" s="7">
        <f t="shared" ca="1" si="54"/>
        <v>1</v>
      </c>
      <c r="M588" s="7" t="str">
        <f t="shared" ca="1" si="55"/>
        <v/>
      </c>
      <c r="N588" s="6">
        <f t="shared" ca="1" si="56"/>
        <v>175.55</v>
      </c>
      <c r="O588" s="6">
        <f t="shared" si="57"/>
        <v>0.25</v>
      </c>
      <c r="P588" s="6">
        <v>-10.75</v>
      </c>
      <c r="Q588" s="6">
        <v>0.59999999999999432</v>
      </c>
      <c r="R588" s="9">
        <f t="shared" si="58"/>
        <v>224.99999999999787</v>
      </c>
      <c r="S588" s="7">
        <f t="shared" si="53"/>
        <v>881.24999999998727</v>
      </c>
    </row>
    <row r="589" spans="1:19" x14ac:dyDescent="0.25">
      <c r="A589" s="4">
        <f>Sheet1!A589</f>
        <v>39940</v>
      </c>
      <c r="B589" s="5">
        <f>Sheet1!B589</f>
        <v>0.58333333333333337</v>
      </c>
      <c r="C589" s="6">
        <f>Sheet1!C589</f>
        <v>175.7</v>
      </c>
      <c r="D589" s="6">
        <f>Sheet1!D589</f>
        <v>177.05</v>
      </c>
      <c r="E589" s="6">
        <f>Sheet1!E589</f>
        <v>174.75</v>
      </c>
      <c r="F589" s="6">
        <f>Sheet1!F589</f>
        <v>175.85</v>
      </c>
      <c r="H589" s="6">
        <f ca="1">IF(ROW($H589)-1&lt;$I$1,$F589,AVERAGE($F589:OFFSET($F589,(($I$1-1)*-1),0)))</f>
        <v>173.13333333333333</v>
      </c>
      <c r="J589" s="6">
        <f ca="1">IF(ROW($J589)-1&lt;$K$1,$F589,AVERAGE($F589:OFFSET($F589,(($K$1-1)*-1),0)))</f>
        <v>169.6767857142857</v>
      </c>
      <c r="L589" s="7">
        <f t="shared" ca="1" si="54"/>
        <v>1</v>
      </c>
      <c r="M589" s="7" t="str">
        <f t="shared" ca="1" si="55"/>
        <v/>
      </c>
      <c r="N589" s="6" t="str">
        <f t="shared" ca="1" si="56"/>
        <v/>
      </c>
      <c r="O589" s="6">
        <f t="shared" si="57"/>
        <v>-0.30000000000001137</v>
      </c>
      <c r="Q589" s="6">
        <v>0.29999999999998295</v>
      </c>
      <c r="R589" s="9">
        <f t="shared" si="58"/>
        <v>112.49999999999361</v>
      </c>
      <c r="S589" s="7">
        <f t="shared" si="53"/>
        <v>881.24999999998727</v>
      </c>
    </row>
    <row r="590" spans="1:19" x14ac:dyDescent="0.25">
      <c r="A590" s="4">
        <f>Sheet1!A590</f>
        <v>39941</v>
      </c>
      <c r="B590" s="5">
        <f>Sheet1!B590</f>
        <v>0.58333333333333337</v>
      </c>
      <c r="C590" s="6">
        <f>Sheet1!C590</f>
        <v>175.25</v>
      </c>
      <c r="D590" s="6">
        <f>Sheet1!D590</f>
        <v>179.1</v>
      </c>
      <c r="E590" s="6">
        <f>Sheet1!E590</f>
        <v>174.8</v>
      </c>
      <c r="F590" s="6">
        <f>Sheet1!F590</f>
        <v>177.95</v>
      </c>
      <c r="H590" s="6">
        <f ca="1">IF(ROW($H590)-1&lt;$I$1,$F590,AVERAGE($F590:OFFSET($F590,(($I$1-1)*-1),0)))</f>
        <v>174.93333333333331</v>
      </c>
      <c r="J590" s="6">
        <f ca="1">IF(ROW($J590)-1&lt;$K$1,$F590,AVERAGE($F590:OFFSET($F590,(($K$1-1)*-1),0)))</f>
        <v>170.09285714285713</v>
      </c>
      <c r="L590" s="7">
        <f t="shared" ca="1" si="54"/>
        <v>1</v>
      </c>
      <c r="M590" s="7" t="str">
        <f t="shared" ca="1" si="55"/>
        <v/>
      </c>
      <c r="N590" s="6" t="str">
        <f t="shared" ca="1" si="56"/>
        <v/>
      </c>
      <c r="O590" s="6">
        <f t="shared" si="57"/>
        <v>2.0999999999999943</v>
      </c>
      <c r="Q590" s="6">
        <v>2.3999999999999773</v>
      </c>
      <c r="R590" s="9">
        <f t="shared" si="58"/>
        <v>899.99999999999147</v>
      </c>
      <c r="S590" s="7">
        <f t="shared" si="53"/>
        <v>881.24999999998727</v>
      </c>
    </row>
    <row r="591" spans="1:19" x14ac:dyDescent="0.25">
      <c r="A591" s="4">
        <f>Sheet1!A591</f>
        <v>39944</v>
      </c>
      <c r="B591" s="5">
        <f>Sheet1!B591</f>
        <v>0.58333333333333337</v>
      </c>
      <c r="C591" s="6">
        <f>Sheet1!C591</f>
        <v>178.15</v>
      </c>
      <c r="D591" s="6">
        <f>Sheet1!D591</f>
        <v>181.45</v>
      </c>
      <c r="E591" s="6">
        <f>Sheet1!E591</f>
        <v>176.95</v>
      </c>
      <c r="F591" s="6">
        <f>Sheet1!F591</f>
        <v>179.75</v>
      </c>
      <c r="H591" s="6">
        <f ca="1">IF(ROW($H591)-1&lt;$I$1,$F591,AVERAGE($F591:OFFSET($F591,(($I$1-1)*-1),0)))</f>
        <v>176.28333333333333</v>
      </c>
      <c r="J591" s="6">
        <f ca="1">IF(ROW($J591)-1&lt;$K$1,$F591,AVERAGE($F591:OFFSET($F591,(($K$1-1)*-1),0)))</f>
        <v>170.47499999999999</v>
      </c>
      <c r="L591" s="7">
        <f t="shared" ca="1" si="54"/>
        <v>1</v>
      </c>
      <c r="M591" s="7" t="str">
        <f t="shared" ca="1" si="55"/>
        <v/>
      </c>
      <c r="N591" s="6" t="str">
        <f t="shared" ca="1" si="56"/>
        <v/>
      </c>
      <c r="O591" s="6">
        <f t="shared" si="57"/>
        <v>1.8000000000000114</v>
      </c>
      <c r="Q591" s="6">
        <v>4.1999999999999886</v>
      </c>
      <c r="R591" s="9">
        <f t="shared" si="58"/>
        <v>1574.9999999999957</v>
      </c>
      <c r="S591" s="7">
        <f t="shared" si="53"/>
        <v>881.24999999998727</v>
      </c>
    </row>
    <row r="592" spans="1:19" x14ac:dyDescent="0.25">
      <c r="A592" s="4">
        <f>Sheet1!A592</f>
        <v>39945</v>
      </c>
      <c r="B592" s="5">
        <f>Sheet1!B592</f>
        <v>0.58333333333333337</v>
      </c>
      <c r="C592" s="6">
        <f>Sheet1!C592</f>
        <v>179.35</v>
      </c>
      <c r="D592" s="6">
        <f>Sheet1!D592</f>
        <v>182</v>
      </c>
      <c r="E592" s="6">
        <f>Sheet1!E592</f>
        <v>178.7</v>
      </c>
      <c r="F592" s="6">
        <f>Sheet1!F592</f>
        <v>180.05</v>
      </c>
      <c r="H592" s="6">
        <f ca="1">IF(ROW($H592)-1&lt;$I$1,$F592,AVERAGE($F592:OFFSET($F592,(($I$1-1)*-1),0)))</f>
        <v>177.60833333333332</v>
      </c>
      <c r="J592" s="6">
        <f ca="1">IF(ROW($J592)-1&lt;$K$1,$F592,AVERAGE($F592:OFFSET($F592,(($K$1-1)*-1),0)))</f>
        <v>170.91249999999999</v>
      </c>
      <c r="L592" s="7">
        <f t="shared" ca="1" si="54"/>
        <v>1</v>
      </c>
      <c r="M592" s="7" t="str">
        <f t="shared" ca="1" si="55"/>
        <v/>
      </c>
      <c r="N592" s="6" t="str">
        <f t="shared" ca="1" si="56"/>
        <v/>
      </c>
      <c r="O592" s="6">
        <f t="shared" si="57"/>
        <v>0.30000000000001137</v>
      </c>
      <c r="Q592" s="6">
        <v>4.5</v>
      </c>
      <c r="R592" s="9">
        <f t="shared" si="58"/>
        <v>1687.5</v>
      </c>
      <c r="S592" s="7">
        <f t="shared" ref="S592:S655" si="59">S591+(P592*375)</f>
        <v>881.24999999998727</v>
      </c>
    </row>
    <row r="593" spans="1:19" x14ac:dyDescent="0.25">
      <c r="A593" s="4">
        <f>Sheet1!A593</f>
        <v>39946</v>
      </c>
      <c r="B593" s="5">
        <f>Sheet1!B593</f>
        <v>0.58333333333333337</v>
      </c>
      <c r="C593" s="6">
        <f>Sheet1!C593</f>
        <v>180.05</v>
      </c>
      <c r="D593" s="6">
        <f>Sheet1!D593</f>
        <v>180.05</v>
      </c>
      <c r="E593" s="6">
        <f>Sheet1!E593</f>
        <v>177.35</v>
      </c>
      <c r="F593" s="6">
        <f>Sheet1!F593</f>
        <v>178.4</v>
      </c>
      <c r="H593" s="6">
        <f ca="1">IF(ROW($H593)-1&lt;$I$1,$F593,AVERAGE($F593:OFFSET($F593,(($I$1-1)*-1),0)))</f>
        <v>178.02500000000001</v>
      </c>
      <c r="J593" s="6">
        <f ca="1">IF(ROW($J593)-1&lt;$K$1,$F593,AVERAGE($F593:OFFSET($F593,(($K$1-1)*-1),0)))</f>
        <v>171.20892857142854</v>
      </c>
      <c r="L593" s="7">
        <f t="shared" ca="1" si="54"/>
        <v>1</v>
      </c>
      <c r="M593" s="7" t="str">
        <f t="shared" ca="1" si="55"/>
        <v/>
      </c>
      <c r="N593" s="6" t="str">
        <f t="shared" ca="1" si="56"/>
        <v/>
      </c>
      <c r="O593" s="6">
        <f t="shared" si="57"/>
        <v>-1.6500000000000057</v>
      </c>
      <c r="Q593" s="6">
        <v>2.8499999999999943</v>
      </c>
      <c r="R593" s="9">
        <f t="shared" si="58"/>
        <v>1068.749999999998</v>
      </c>
      <c r="S593" s="7">
        <f t="shared" si="59"/>
        <v>881.24999999998727</v>
      </c>
    </row>
    <row r="594" spans="1:19" x14ac:dyDescent="0.25">
      <c r="A594" s="4">
        <f>Sheet1!A594</f>
        <v>39947</v>
      </c>
      <c r="B594" s="5">
        <f>Sheet1!B594</f>
        <v>0.58333333333333337</v>
      </c>
      <c r="C594" s="6">
        <f>Sheet1!C594</f>
        <v>177.7</v>
      </c>
      <c r="D594" s="6">
        <f>Sheet1!D594</f>
        <v>179.65</v>
      </c>
      <c r="E594" s="6">
        <f>Sheet1!E594</f>
        <v>176.1</v>
      </c>
      <c r="F594" s="6">
        <f>Sheet1!F594</f>
        <v>179.25</v>
      </c>
      <c r="H594" s="6">
        <f ca="1">IF(ROW($H594)-1&lt;$I$1,$F594,AVERAGE($F594:OFFSET($F594,(($I$1-1)*-1),0)))</f>
        <v>178.54166666666666</v>
      </c>
      <c r="J594" s="6">
        <f ca="1">IF(ROW($J594)-1&lt;$K$1,$F594,AVERAGE($F594:OFFSET($F594,(($K$1-1)*-1),0)))</f>
        <v>171.47857142857137</v>
      </c>
      <c r="L594" s="7">
        <f t="shared" ca="1" si="54"/>
        <v>1</v>
      </c>
      <c r="M594" s="7" t="str">
        <f t="shared" ca="1" si="55"/>
        <v/>
      </c>
      <c r="N594" s="6" t="str">
        <f t="shared" ca="1" si="56"/>
        <v/>
      </c>
      <c r="O594" s="6">
        <f t="shared" si="57"/>
        <v>0.84999999999999432</v>
      </c>
      <c r="Q594" s="6">
        <v>3.6999999999999886</v>
      </c>
      <c r="R594" s="9">
        <f t="shared" si="58"/>
        <v>1387.4999999999957</v>
      </c>
      <c r="S594" s="7">
        <f t="shared" si="59"/>
        <v>881.24999999998727</v>
      </c>
    </row>
    <row r="595" spans="1:19" x14ac:dyDescent="0.25">
      <c r="A595" s="4">
        <f>Sheet1!A595</f>
        <v>39948</v>
      </c>
      <c r="B595" s="5">
        <f>Sheet1!B595</f>
        <v>0.58333333333333337</v>
      </c>
      <c r="C595" s="6">
        <f>Sheet1!C595</f>
        <v>178.8</v>
      </c>
      <c r="D595" s="6">
        <f>Sheet1!D595</f>
        <v>180.95</v>
      </c>
      <c r="E595" s="6">
        <f>Sheet1!E595</f>
        <v>178.05</v>
      </c>
      <c r="F595" s="6">
        <f>Sheet1!F595</f>
        <v>179.05</v>
      </c>
      <c r="H595" s="6">
        <f ca="1">IF(ROW($H595)-1&lt;$I$1,$F595,AVERAGE($F595:OFFSET($F595,(($I$1-1)*-1),0)))</f>
        <v>179.07500000000002</v>
      </c>
      <c r="J595" s="6">
        <f ca="1">IF(ROW($J595)-1&lt;$K$1,$F595,AVERAGE($F595:OFFSET($F595,(($K$1-1)*-1),0)))</f>
        <v>171.77321428571426</v>
      </c>
      <c r="L595" s="7">
        <f t="shared" ca="1" si="54"/>
        <v>1</v>
      </c>
      <c r="M595" s="7" t="str">
        <f t="shared" ca="1" si="55"/>
        <v/>
      </c>
      <c r="N595" s="6" t="str">
        <f t="shared" ca="1" si="56"/>
        <v/>
      </c>
      <c r="O595" s="6">
        <f t="shared" si="57"/>
        <v>-0.19999999999998863</v>
      </c>
      <c r="Q595" s="6">
        <v>3.5</v>
      </c>
      <c r="R595" s="9">
        <f t="shared" si="58"/>
        <v>1312.5</v>
      </c>
      <c r="S595" s="7">
        <f t="shared" si="59"/>
        <v>881.24999999998727</v>
      </c>
    </row>
    <row r="596" spans="1:19" x14ac:dyDescent="0.25">
      <c r="A596" s="4">
        <f>Sheet1!A596</f>
        <v>39951</v>
      </c>
      <c r="B596" s="5">
        <f>Sheet1!B596</f>
        <v>0.58333333333333337</v>
      </c>
      <c r="C596" s="6">
        <f>Sheet1!C596</f>
        <v>178.8</v>
      </c>
      <c r="D596" s="6">
        <f>Sheet1!D596</f>
        <v>181.2</v>
      </c>
      <c r="E596" s="6">
        <f>Sheet1!E596</f>
        <v>178.3</v>
      </c>
      <c r="F596" s="6">
        <f>Sheet1!F596</f>
        <v>180.65</v>
      </c>
      <c r="H596" s="6">
        <f ca="1">IF(ROW($H596)-1&lt;$I$1,$F596,AVERAGE($F596:OFFSET($F596,(($I$1-1)*-1),0)))</f>
        <v>179.52500000000001</v>
      </c>
      <c r="J596" s="6">
        <f ca="1">IF(ROW($J596)-1&lt;$K$1,$F596,AVERAGE($F596:OFFSET($F596,(($K$1-1)*-1),0)))</f>
        <v>172.12499999999997</v>
      </c>
      <c r="L596" s="7">
        <f t="shared" ca="1" si="54"/>
        <v>1</v>
      </c>
      <c r="M596" s="7" t="str">
        <f t="shared" ca="1" si="55"/>
        <v/>
      </c>
      <c r="N596" s="6" t="str">
        <f t="shared" ca="1" si="56"/>
        <v/>
      </c>
      <c r="O596" s="6">
        <f t="shared" si="57"/>
        <v>1.5999999999999943</v>
      </c>
      <c r="Q596" s="6">
        <v>5.0999999999999943</v>
      </c>
      <c r="R596" s="9">
        <f t="shared" si="58"/>
        <v>1912.499999999998</v>
      </c>
      <c r="S596" s="7">
        <f t="shared" si="59"/>
        <v>881.24999999998727</v>
      </c>
    </row>
    <row r="597" spans="1:19" x14ac:dyDescent="0.25">
      <c r="A597" s="4">
        <f>Sheet1!A597</f>
        <v>39952</v>
      </c>
      <c r="B597" s="5">
        <f>Sheet1!B597</f>
        <v>0.58333333333333337</v>
      </c>
      <c r="C597" s="6">
        <f>Sheet1!C597</f>
        <v>180.65</v>
      </c>
      <c r="D597" s="6">
        <f>Sheet1!D597</f>
        <v>183.7</v>
      </c>
      <c r="E597" s="6">
        <f>Sheet1!E597</f>
        <v>180.35</v>
      </c>
      <c r="F597" s="6">
        <f>Sheet1!F597</f>
        <v>183.55</v>
      </c>
      <c r="H597" s="6">
        <f ca="1">IF(ROW($H597)-1&lt;$I$1,$F597,AVERAGE($F597:OFFSET($F597,(($I$1-1)*-1),0)))</f>
        <v>180.15833333333333</v>
      </c>
      <c r="J597" s="6">
        <f ca="1">IF(ROW($J597)-1&lt;$K$1,$F597,AVERAGE($F597:OFFSET($F597,(($K$1-1)*-1),0)))</f>
        <v>172.55535714285716</v>
      </c>
      <c r="L597" s="7">
        <f t="shared" ca="1" si="54"/>
        <v>1</v>
      </c>
      <c r="M597" s="7" t="str">
        <f t="shared" ca="1" si="55"/>
        <v/>
      </c>
      <c r="N597" s="6" t="str">
        <f t="shared" ca="1" si="56"/>
        <v/>
      </c>
      <c r="O597" s="6">
        <f t="shared" si="57"/>
        <v>2.9000000000000057</v>
      </c>
      <c r="Q597" s="6">
        <v>8</v>
      </c>
      <c r="R597" s="9">
        <f t="shared" si="58"/>
        <v>3000</v>
      </c>
      <c r="S597" s="7">
        <f t="shared" si="59"/>
        <v>881.24999999998727</v>
      </c>
    </row>
    <row r="598" spans="1:19" x14ac:dyDescent="0.25">
      <c r="A598" s="4">
        <f>Sheet1!A598</f>
        <v>39953</v>
      </c>
      <c r="B598" s="5">
        <f>Sheet1!B598</f>
        <v>0.58333333333333337</v>
      </c>
      <c r="C598" s="6">
        <f>Sheet1!C598</f>
        <v>183.1</v>
      </c>
      <c r="D598" s="6">
        <f>Sheet1!D598</f>
        <v>185.85</v>
      </c>
      <c r="E598" s="6">
        <f>Sheet1!E598</f>
        <v>182</v>
      </c>
      <c r="F598" s="6">
        <f>Sheet1!F598</f>
        <v>184.55</v>
      </c>
      <c r="H598" s="6">
        <f ca="1">IF(ROW($H598)-1&lt;$I$1,$F598,AVERAGE($F598:OFFSET($F598,(($I$1-1)*-1),0)))</f>
        <v>180.90833333333333</v>
      </c>
      <c r="J598" s="6">
        <f ca="1">IF(ROW($J598)-1&lt;$K$1,$F598,AVERAGE($F598:OFFSET($F598,(($K$1-1)*-1),0)))</f>
        <v>172.90892857142859</v>
      </c>
      <c r="L598" s="7">
        <f t="shared" ca="1" si="54"/>
        <v>1</v>
      </c>
      <c r="M598" s="7" t="str">
        <f t="shared" ca="1" si="55"/>
        <v/>
      </c>
      <c r="N598" s="6" t="str">
        <f t="shared" ca="1" si="56"/>
        <v/>
      </c>
      <c r="O598" s="6">
        <f t="shared" si="57"/>
        <v>1</v>
      </c>
      <c r="Q598" s="6">
        <v>9</v>
      </c>
      <c r="R598" s="9">
        <f t="shared" si="58"/>
        <v>3375</v>
      </c>
      <c r="S598" s="7">
        <f t="shared" si="59"/>
        <v>881.24999999998727</v>
      </c>
    </row>
    <row r="599" spans="1:19" x14ac:dyDescent="0.25">
      <c r="A599" s="4">
        <f>Sheet1!A599</f>
        <v>39954</v>
      </c>
      <c r="B599" s="5">
        <f>Sheet1!B599</f>
        <v>0.58333333333333337</v>
      </c>
      <c r="C599" s="6">
        <f>Sheet1!C599</f>
        <v>184.35</v>
      </c>
      <c r="D599" s="6">
        <f>Sheet1!D599</f>
        <v>187.2</v>
      </c>
      <c r="E599" s="6">
        <f>Sheet1!E599</f>
        <v>183</v>
      </c>
      <c r="F599" s="6">
        <f>Sheet1!F599</f>
        <v>187.05</v>
      </c>
      <c r="H599" s="6">
        <f ca="1">IF(ROW($H599)-1&lt;$I$1,$F599,AVERAGE($F599:OFFSET($F599,(($I$1-1)*-1),0)))</f>
        <v>182.35</v>
      </c>
      <c r="J599" s="6">
        <f ca="1">IF(ROW($J599)-1&lt;$K$1,$F599,AVERAGE($F599:OFFSET($F599,(($K$1-1)*-1),0)))</f>
        <v>173.5696428571429</v>
      </c>
      <c r="L599" s="7">
        <f t="shared" ca="1" si="54"/>
        <v>1</v>
      </c>
      <c r="M599" s="7" t="str">
        <f t="shared" ca="1" si="55"/>
        <v/>
      </c>
      <c r="N599" s="6" t="str">
        <f t="shared" ca="1" si="56"/>
        <v/>
      </c>
      <c r="O599" s="6">
        <f t="shared" si="57"/>
        <v>2.5</v>
      </c>
      <c r="Q599" s="6">
        <v>11.5</v>
      </c>
      <c r="R599" s="9">
        <f t="shared" si="58"/>
        <v>4312.5</v>
      </c>
      <c r="S599" s="7">
        <f t="shared" si="59"/>
        <v>881.24999999998727</v>
      </c>
    </row>
    <row r="600" spans="1:19" x14ac:dyDescent="0.25">
      <c r="A600" s="4">
        <f>Sheet1!A600</f>
        <v>39955</v>
      </c>
      <c r="B600" s="5">
        <f>Sheet1!B600</f>
        <v>0.58333333333333337</v>
      </c>
      <c r="C600" s="6">
        <f>Sheet1!C600</f>
        <v>186.85</v>
      </c>
      <c r="D600" s="6">
        <f>Sheet1!D600</f>
        <v>188.65</v>
      </c>
      <c r="E600" s="6">
        <f>Sheet1!E600</f>
        <v>184.9</v>
      </c>
      <c r="F600" s="6">
        <f>Sheet1!F600</f>
        <v>186.25</v>
      </c>
      <c r="H600" s="6">
        <f ca="1">IF(ROW($H600)-1&lt;$I$1,$F600,AVERAGE($F600:OFFSET($F600,(($I$1-1)*-1),0)))</f>
        <v>183.51666666666665</v>
      </c>
      <c r="J600" s="6">
        <f ca="1">IF(ROW($J600)-1&lt;$K$1,$F600,AVERAGE($F600:OFFSET($F600,(($K$1-1)*-1),0)))</f>
        <v>174.1946428571429</v>
      </c>
      <c r="L600" s="7">
        <f t="shared" ca="1" si="54"/>
        <v>1</v>
      </c>
      <c r="M600" s="7" t="str">
        <f t="shared" ca="1" si="55"/>
        <v/>
      </c>
      <c r="N600" s="6" t="str">
        <f t="shared" ca="1" si="56"/>
        <v/>
      </c>
      <c r="O600" s="6">
        <f t="shared" si="57"/>
        <v>-0.80000000000001137</v>
      </c>
      <c r="Q600" s="6">
        <v>10.699999999999989</v>
      </c>
      <c r="R600" s="9">
        <f t="shared" si="58"/>
        <v>4012.4999999999959</v>
      </c>
      <c r="S600" s="7">
        <f t="shared" si="59"/>
        <v>881.24999999998727</v>
      </c>
    </row>
    <row r="601" spans="1:19" x14ac:dyDescent="0.25">
      <c r="A601" s="4">
        <f>Sheet1!A601</f>
        <v>39959</v>
      </c>
      <c r="B601" s="5">
        <f>Sheet1!B601</f>
        <v>0.58333333333333337</v>
      </c>
      <c r="C601" s="6">
        <f>Sheet1!C601</f>
        <v>185.65</v>
      </c>
      <c r="D601" s="6">
        <f>Sheet1!D601</f>
        <v>188.4</v>
      </c>
      <c r="E601" s="6">
        <f>Sheet1!E601</f>
        <v>182.85</v>
      </c>
      <c r="F601" s="6">
        <f>Sheet1!F601</f>
        <v>187.7</v>
      </c>
      <c r="H601" s="6">
        <f ca="1">IF(ROW($H601)-1&lt;$I$1,$F601,AVERAGE($F601:OFFSET($F601,(($I$1-1)*-1),0)))</f>
        <v>184.95833333333334</v>
      </c>
      <c r="J601" s="6">
        <f ca="1">IF(ROW($J601)-1&lt;$K$1,$F601,AVERAGE($F601:OFFSET($F601,(($K$1-1)*-1),0)))</f>
        <v>174.86964285714291</v>
      </c>
      <c r="L601" s="7">
        <f t="shared" ca="1" si="54"/>
        <v>1</v>
      </c>
      <c r="M601" s="7" t="str">
        <f t="shared" ca="1" si="55"/>
        <v/>
      </c>
      <c r="N601" s="6" t="str">
        <f t="shared" ca="1" si="56"/>
        <v/>
      </c>
      <c r="O601" s="6">
        <f t="shared" si="57"/>
        <v>1.4499999999999886</v>
      </c>
      <c r="Q601" s="6">
        <v>12.149999999999977</v>
      </c>
      <c r="R601" s="9">
        <f t="shared" si="58"/>
        <v>4556.2499999999918</v>
      </c>
      <c r="S601" s="7">
        <f t="shared" si="59"/>
        <v>881.24999999998727</v>
      </c>
    </row>
    <row r="602" spans="1:19" x14ac:dyDescent="0.25">
      <c r="A602" s="4">
        <f>Sheet1!A602</f>
        <v>39960</v>
      </c>
      <c r="B602" s="5">
        <f>Sheet1!B602</f>
        <v>0.58333333333333337</v>
      </c>
      <c r="C602" s="6">
        <f>Sheet1!C602</f>
        <v>187.95</v>
      </c>
      <c r="D602" s="6">
        <f>Sheet1!D602</f>
        <v>189.05</v>
      </c>
      <c r="E602" s="6">
        <f>Sheet1!E602</f>
        <v>185.35</v>
      </c>
      <c r="F602" s="6">
        <f>Sheet1!F602</f>
        <v>186.75</v>
      </c>
      <c r="H602" s="6">
        <f ca="1">IF(ROW($H602)-1&lt;$I$1,$F602,AVERAGE($F602:OFFSET($F602,(($I$1-1)*-1),0)))</f>
        <v>185.97500000000002</v>
      </c>
      <c r="J602" s="6">
        <f ca="1">IF(ROW($J602)-1&lt;$K$1,$F602,AVERAGE($F602:OFFSET($F602,(($K$1-1)*-1),0)))</f>
        <v>175.58214285714288</v>
      </c>
      <c r="L602" s="7">
        <f t="shared" ca="1" si="54"/>
        <v>1</v>
      </c>
      <c r="M602" s="7" t="str">
        <f t="shared" ca="1" si="55"/>
        <v/>
      </c>
      <c r="N602" s="6" t="str">
        <f t="shared" ca="1" si="56"/>
        <v/>
      </c>
      <c r="O602" s="6">
        <f t="shared" si="57"/>
        <v>-0.94999999999998863</v>
      </c>
      <c r="Q602" s="6">
        <v>11.199999999999989</v>
      </c>
      <c r="R602" s="9">
        <f t="shared" si="58"/>
        <v>4199.9999999999955</v>
      </c>
      <c r="S602" s="7">
        <f t="shared" si="59"/>
        <v>881.24999999998727</v>
      </c>
    </row>
    <row r="603" spans="1:19" x14ac:dyDescent="0.25">
      <c r="A603" s="4">
        <f>Sheet1!A603</f>
        <v>39961</v>
      </c>
      <c r="B603" s="5">
        <f>Sheet1!B603</f>
        <v>0.58333333333333337</v>
      </c>
      <c r="C603" s="6">
        <f>Sheet1!C603</f>
        <v>184.75</v>
      </c>
      <c r="D603" s="6">
        <f>Sheet1!D603</f>
        <v>188.65</v>
      </c>
      <c r="E603" s="6">
        <f>Sheet1!E603</f>
        <v>184.3</v>
      </c>
      <c r="F603" s="6">
        <f>Sheet1!F603</f>
        <v>188.05</v>
      </c>
      <c r="H603" s="6">
        <f ca="1">IF(ROW($H603)-1&lt;$I$1,$F603,AVERAGE($F603:OFFSET($F603,(($I$1-1)*-1),0)))</f>
        <v>186.72499999999999</v>
      </c>
      <c r="J603" s="6">
        <f ca="1">IF(ROW($J603)-1&lt;$K$1,$F603,AVERAGE($F603:OFFSET($F603,(($K$1-1)*-1),0)))</f>
        <v>176.40535714285718</v>
      </c>
      <c r="L603" s="7">
        <f t="shared" ca="1" si="54"/>
        <v>1</v>
      </c>
      <c r="M603" s="7" t="str">
        <f t="shared" ca="1" si="55"/>
        <v/>
      </c>
      <c r="N603" s="6" t="str">
        <f t="shared" ca="1" si="56"/>
        <v/>
      </c>
      <c r="O603" s="6">
        <f t="shared" si="57"/>
        <v>1.3000000000000114</v>
      </c>
      <c r="Q603" s="6">
        <v>12.5</v>
      </c>
      <c r="R603" s="9">
        <f t="shared" si="58"/>
        <v>4687.5</v>
      </c>
      <c r="S603" s="7">
        <f t="shared" si="59"/>
        <v>881.24999999998727</v>
      </c>
    </row>
    <row r="604" spans="1:19" x14ac:dyDescent="0.25">
      <c r="A604" s="4">
        <f>Sheet1!A604</f>
        <v>39962</v>
      </c>
      <c r="B604" s="5">
        <f>Sheet1!B604</f>
        <v>0.58333333333333337</v>
      </c>
      <c r="C604" s="6">
        <f>Sheet1!C604</f>
        <v>187.75</v>
      </c>
      <c r="D604" s="6">
        <f>Sheet1!D604</f>
        <v>190.1</v>
      </c>
      <c r="E604" s="6">
        <f>Sheet1!E604</f>
        <v>187.05</v>
      </c>
      <c r="F604" s="6">
        <f>Sheet1!F604</f>
        <v>188.65</v>
      </c>
      <c r="H604" s="6">
        <f ca="1">IF(ROW($H604)-1&lt;$I$1,$F604,AVERAGE($F604:OFFSET($F604,(($I$1-1)*-1),0)))</f>
        <v>187.40833333333333</v>
      </c>
      <c r="J604" s="6">
        <f ca="1">IF(ROW($J604)-1&lt;$K$1,$F604,AVERAGE($F604:OFFSET($F604,(($K$1-1)*-1),0)))</f>
        <v>177.25535714285715</v>
      </c>
      <c r="L604" s="7">
        <f t="shared" ca="1" si="54"/>
        <v>1</v>
      </c>
      <c r="M604" s="7" t="str">
        <f t="shared" ca="1" si="55"/>
        <v/>
      </c>
      <c r="N604" s="6" t="str">
        <f t="shared" ca="1" si="56"/>
        <v/>
      </c>
      <c r="O604" s="6">
        <f t="shared" si="57"/>
        <v>0.59999999999999432</v>
      </c>
      <c r="Q604" s="6">
        <v>13.099999999999994</v>
      </c>
      <c r="R604" s="9">
        <f t="shared" si="58"/>
        <v>4912.4999999999982</v>
      </c>
      <c r="S604" s="7">
        <f t="shared" si="59"/>
        <v>881.24999999998727</v>
      </c>
    </row>
    <row r="605" spans="1:19" x14ac:dyDescent="0.25">
      <c r="A605" s="4">
        <f>Sheet1!A605</f>
        <v>39965</v>
      </c>
      <c r="B605" s="5">
        <f>Sheet1!B605</f>
        <v>0.58333333333333337</v>
      </c>
      <c r="C605" s="6">
        <f>Sheet1!C605</f>
        <v>188.25</v>
      </c>
      <c r="D605" s="6">
        <f>Sheet1!D605</f>
        <v>194</v>
      </c>
      <c r="E605" s="6">
        <f>Sheet1!E605</f>
        <v>187.9</v>
      </c>
      <c r="F605" s="6">
        <f>Sheet1!F605</f>
        <v>193.5</v>
      </c>
      <c r="H605" s="6">
        <f ca="1">IF(ROW($H605)-1&lt;$I$1,$F605,AVERAGE($F605:OFFSET($F605,(($I$1-1)*-1),0)))</f>
        <v>188.48333333333335</v>
      </c>
      <c r="J605" s="6">
        <f ca="1">IF(ROW($J605)-1&lt;$K$1,$F605,AVERAGE($F605:OFFSET($F605,(($K$1-1)*-1),0)))</f>
        <v>178.25178571428575</v>
      </c>
      <c r="L605" s="7">
        <f t="shared" ca="1" si="54"/>
        <v>1</v>
      </c>
      <c r="M605" s="7" t="str">
        <f t="shared" ca="1" si="55"/>
        <v/>
      </c>
      <c r="N605" s="6" t="str">
        <f t="shared" ca="1" si="56"/>
        <v/>
      </c>
      <c r="O605" s="6">
        <f t="shared" si="57"/>
        <v>4.8499999999999943</v>
      </c>
      <c r="Q605" s="6">
        <v>17.949999999999989</v>
      </c>
      <c r="R605" s="9">
        <f t="shared" si="58"/>
        <v>6731.2499999999955</v>
      </c>
      <c r="S605" s="7">
        <f t="shared" si="59"/>
        <v>881.24999999998727</v>
      </c>
    </row>
    <row r="606" spans="1:19" x14ac:dyDescent="0.25">
      <c r="A606" s="4">
        <f>Sheet1!A606</f>
        <v>39966</v>
      </c>
      <c r="B606" s="5">
        <f>Sheet1!B606</f>
        <v>0.58333333333333337</v>
      </c>
      <c r="C606" s="6">
        <f>Sheet1!C606</f>
        <v>192.75</v>
      </c>
      <c r="D606" s="6">
        <f>Sheet1!D606</f>
        <v>194.15</v>
      </c>
      <c r="E606" s="6">
        <f>Sheet1!E606</f>
        <v>191.25</v>
      </c>
      <c r="F606" s="6">
        <f>Sheet1!F606</f>
        <v>193.25</v>
      </c>
      <c r="H606" s="6">
        <f ca="1">IF(ROW($H606)-1&lt;$I$1,$F606,AVERAGE($F606:OFFSET($F606,(($I$1-1)*-1),0)))</f>
        <v>189.65</v>
      </c>
      <c r="J606" s="6">
        <f ca="1">IF(ROW($J606)-1&lt;$K$1,$F606,AVERAGE($F606:OFFSET($F606,(($K$1-1)*-1),0)))</f>
        <v>179.11785714285716</v>
      </c>
      <c r="L606" s="7">
        <f t="shared" ca="1" si="54"/>
        <v>1</v>
      </c>
      <c r="M606" s="7" t="str">
        <f t="shared" ca="1" si="55"/>
        <v/>
      </c>
      <c r="N606" s="6" t="str">
        <f t="shared" ca="1" si="56"/>
        <v/>
      </c>
      <c r="O606" s="6">
        <f t="shared" si="57"/>
        <v>-0.25</v>
      </c>
      <c r="Q606" s="6">
        <v>17.699999999999989</v>
      </c>
      <c r="R606" s="9">
        <f t="shared" si="58"/>
        <v>6637.4999999999955</v>
      </c>
      <c r="S606" s="7">
        <f t="shared" si="59"/>
        <v>881.24999999998727</v>
      </c>
    </row>
    <row r="607" spans="1:19" x14ac:dyDescent="0.25">
      <c r="A607" s="4">
        <f>Sheet1!A607</f>
        <v>39967</v>
      </c>
      <c r="B607" s="5">
        <f>Sheet1!B607</f>
        <v>0.58333333333333337</v>
      </c>
      <c r="C607" s="6">
        <f>Sheet1!C607</f>
        <v>193.25</v>
      </c>
      <c r="D607" s="6">
        <f>Sheet1!D607</f>
        <v>193.5</v>
      </c>
      <c r="E607" s="6">
        <f>Sheet1!E607</f>
        <v>186.25</v>
      </c>
      <c r="F607" s="6">
        <f>Sheet1!F607</f>
        <v>189.6</v>
      </c>
      <c r="H607" s="6">
        <f ca="1">IF(ROW($H607)-1&lt;$I$1,$F607,AVERAGE($F607:OFFSET($F607,(($I$1-1)*-1),0)))</f>
        <v>189.96666666666667</v>
      </c>
      <c r="J607" s="6">
        <f ca="1">IF(ROW($J607)-1&lt;$K$1,$F607,AVERAGE($F607:OFFSET($F607,(($K$1-1)*-1),0)))</f>
        <v>179.83571428571435</v>
      </c>
      <c r="L607" s="7">
        <f t="shared" ca="1" si="54"/>
        <v>1</v>
      </c>
      <c r="M607" s="7" t="str">
        <f t="shared" ca="1" si="55"/>
        <v/>
      </c>
      <c r="N607" s="6" t="str">
        <f t="shared" ca="1" si="56"/>
        <v/>
      </c>
      <c r="O607" s="6">
        <f t="shared" si="57"/>
        <v>-3.6500000000000057</v>
      </c>
      <c r="Q607" s="6">
        <v>14.049999999999983</v>
      </c>
      <c r="R607" s="9">
        <f t="shared" si="58"/>
        <v>5268.7499999999936</v>
      </c>
      <c r="S607" s="7">
        <f t="shared" si="59"/>
        <v>881.24999999998727</v>
      </c>
    </row>
    <row r="608" spans="1:19" x14ac:dyDescent="0.25">
      <c r="A608" s="4">
        <f>Sheet1!A608</f>
        <v>39968</v>
      </c>
      <c r="B608" s="5">
        <f>Sheet1!B608</f>
        <v>0.58333333333333337</v>
      </c>
      <c r="C608" s="6">
        <f>Sheet1!C608</f>
        <v>189.6</v>
      </c>
      <c r="D608" s="6">
        <f>Sheet1!D608</f>
        <v>190.75</v>
      </c>
      <c r="E608" s="6">
        <f>Sheet1!E608</f>
        <v>187.3</v>
      </c>
      <c r="F608" s="6">
        <f>Sheet1!F608</f>
        <v>190.45</v>
      </c>
      <c r="H608" s="6">
        <f ca="1">IF(ROW($H608)-1&lt;$I$1,$F608,AVERAGE($F608:OFFSET($F608,(($I$1-1)*-1),0)))</f>
        <v>190.58333333333334</v>
      </c>
      <c r="J608" s="6">
        <f ca="1">IF(ROW($J608)-1&lt;$K$1,$F608,AVERAGE($F608:OFFSET($F608,(($K$1-1)*-1),0)))</f>
        <v>180.54107142857146</v>
      </c>
      <c r="L608" s="7">
        <f t="shared" ca="1" si="54"/>
        <v>1</v>
      </c>
      <c r="M608" s="7" t="str">
        <f t="shared" ca="1" si="55"/>
        <v/>
      </c>
      <c r="N608" s="6" t="str">
        <f t="shared" ca="1" si="56"/>
        <v/>
      </c>
      <c r="O608" s="6">
        <f t="shared" si="57"/>
        <v>0.84999999999999432</v>
      </c>
      <c r="Q608" s="6">
        <v>14.899999999999977</v>
      </c>
      <c r="R608" s="9">
        <f t="shared" si="58"/>
        <v>5587.4999999999918</v>
      </c>
      <c r="S608" s="7">
        <f t="shared" si="59"/>
        <v>881.24999999998727</v>
      </c>
    </row>
    <row r="609" spans="1:19" x14ac:dyDescent="0.25">
      <c r="A609" s="4">
        <f>Sheet1!A609</f>
        <v>39969</v>
      </c>
      <c r="B609" s="5">
        <f>Sheet1!B609</f>
        <v>0.58333333333333337</v>
      </c>
      <c r="C609" s="6">
        <f>Sheet1!C609</f>
        <v>190.4</v>
      </c>
      <c r="D609" s="6">
        <f>Sheet1!D609</f>
        <v>190.75</v>
      </c>
      <c r="E609" s="6">
        <f>Sheet1!E609</f>
        <v>184.8</v>
      </c>
      <c r="F609" s="6">
        <f>Sheet1!F609</f>
        <v>185.1</v>
      </c>
      <c r="H609" s="6">
        <f ca="1">IF(ROW($H609)-1&lt;$I$1,$F609,AVERAGE($F609:OFFSET($F609,(($I$1-1)*-1),0)))</f>
        <v>190.09166666666667</v>
      </c>
      <c r="J609" s="6">
        <f ca="1">IF(ROW($J609)-1&lt;$K$1,$F609,AVERAGE($F609:OFFSET($F609,(($K$1-1)*-1),0)))</f>
        <v>181.20000000000005</v>
      </c>
      <c r="L609" s="7">
        <f t="shared" ca="1" si="54"/>
        <v>1</v>
      </c>
      <c r="M609" s="7" t="str">
        <f t="shared" ca="1" si="55"/>
        <v/>
      </c>
      <c r="N609" s="6" t="str">
        <f t="shared" ca="1" si="56"/>
        <v/>
      </c>
      <c r="O609" s="6">
        <f t="shared" si="57"/>
        <v>-5.3499999999999943</v>
      </c>
      <c r="Q609" s="6">
        <v>9.5499999999999829</v>
      </c>
      <c r="R609" s="9">
        <f t="shared" si="58"/>
        <v>3581.2499999999936</v>
      </c>
      <c r="S609" s="7">
        <f t="shared" si="59"/>
        <v>881.24999999998727</v>
      </c>
    </row>
    <row r="610" spans="1:19" x14ac:dyDescent="0.25">
      <c r="A610" s="4">
        <f>Sheet1!A610</f>
        <v>39972</v>
      </c>
      <c r="B610" s="5">
        <f>Sheet1!B610</f>
        <v>0.58333333333333337</v>
      </c>
      <c r="C610" s="6">
        <f>Sheet1!C610</f>
        <v>184.85</v>
      </c>
      <c r="D610" s="6">
        <f>Sheet1!D610</f>
        <v>185.1</v>
      </c>
      <c r="E610" s="6">
        <f>Sheet1!E610</f>
        <v>179.75</v>
      </c>
      <c r="F610" s="6">
        <f>Sheet1!F610</f>
        <v>181.3</v>
      </c>
      <c r="H610" s="6">
        <f ca="1">IF(ROW($H610)-1&lt;$I$1,$F610,AVERAGE($F610:OFFSET($F610,(($I$1-1)*-1),0)))</f>
        <v>188.86666666666667</v>
      </c>
      <c r="J610" s="6">
        <f ca="1">IF(ROW($J610)-1&lt;$K$1,$F610,AVERAGE($F610:OFFSET($F610,(($K$1-1)*-1),0)))</f>
        <v>181.69285714285721</v>
      </c>
      <c r="L610" s="7">
        <f t="shared" ca="1" si="54"/>
        <v>1</v>
      </c>
      <c r="M610" s="7" t="str">
        <f t="shared" ca="1" si="55"/>
        <v/>
      </c>
      <c r="N610" s="6" t="str">
        <f t="shared" ca="1" si="56"/>
        <v/>
      </c>
      <c r="O610" s="6">
        <f t="shared" si="57"/>
        <v>-3.7999999999999829</v>
      </c>
      <c r="Q610" s="6">
        <v>5.75</v>
      </c>
      <c r="R610" s="9">
        <f t="shared" si="58"/>
        <v>2156.25</v>
      </c>
      <c r="S610" s="7">
        <f t="shared" si="59"/>
        <v>881.24999999998727</v>
      </c>
    </row>
    <row r="611" spans="1:19" x14ac:dyDescent="0.25">
      <c r="A611" s="4">
        <f>Sheet1!A611</f>
        <v>39973</v>
      </c>
      <c r="B611" s="5">
        <f>Sheet1!B611</f>
        <v>0.58333333333333337</v>
      </c>
      <c r="C611" s="6">
        <f>Sheet1!C611</f>
        <v>182.2</v>
      </c>
      <c r="D611" s="6">
        <f>Sheet1!D611</f>
        <v>183.5</v>
      </c>
      <c r="E611" s="6">
        <f>Sheet1!E611</f>
        <v>181.7</v>
      </c>
      <c r="F611" s="6">
        <f>Sheet1!F611</f>
        <v>182.4</v>
      </c>
      <c r="H611" s="6">
        <f ca="1">IF(ROW($H611)-1&lt;$I$1,$F611,AVERAGE($F611:OFFSET($F611,(($I$1-1)*-1),0)))</f>
        <v>187.01666666666668</v>
      </c>
      <c r="J611" s="6">
        <f ca="1">IF(ROW($J611)-1&lt;$K$1,$F611,AVERAGE($F611:OFFSET($F611,(($K$1-1)*-1),0)))</f>
        <v>182.21607142857147</v>
      </c>
      <c r="L611" s="7">
        <f t="shared" ca="1" si="54"/>
        <v>1</v>
      </c>
      <c r="M611" s="7" t="str">
        <f t="shared" ca="1" si="55"/>
        <v/>
      </c>
      <c r="N611" s="6" t="str">
        <f t="shared" ca="1" si="56"/>
        <v/>
      </c>
      <c r="O611" s="6">
        <f t="shared" si="57"/>
        <v>1.0999999999999943</v>
      </c>
      <c r="Q611" s="6">
        <v>6.8499999999999943</v>
      </c>
      <c r="R611" s="9">
        <f t="shared" si="58"/>
        <v>2568.7499999999977</v>
      </c>
      <c r="S611" s="7">
        <f t="shared" si="59"/>
        <v>881.24999999998727</v>
      </c>
    </row>
    <row r="612" spans="1:19" x14ac:dyDescent="0.25">
      <c r="A612" s="4">
        <f>Sheet1!A612</f>
        <v>39974</v>
      </c>
      <c r="B612" s="5">
        <f>Sheet1!B612</f>
        <v>0.58333333333333337</v>
      </c>
      <c r="C612" s="6">
        <f>Sheet1!C612</f>
        <v>183.25</v>
      </c>
      <c r="D612" s="6">
        <f>Sheet1!D612</f>
        <v>183.25</v>
      </c>
      <c r="E612" s="6">
        <f>Sheet1!E612</f>
        <v>179.2</v>
      </c>
      <c r="F612" s="6">
        <f>Sheet1!F612</f>
        <v>181.55</v>
      </c>
      <c r="H612" s="6">
        <f ca="1">IF(ROW($H612)-1&lt;$I$1,$F612,AVERAGE($F612:OFFSET($F612,(($I$1-1)*-1),0)))</f>
        <v>185.06666666666669</v>
      </c>
      <c r="J612" s="6">
        <f ca="1">IF(ROW($J612)-1&lt;$K$1,$F612,AVERAGE($F612:OFFSET($F612,(($K$1-1)*-1),0)))</f>
        <v>182.73035714285717</v>
      </c>
      <c r="L612" s="7">
        <f t="shared" ca="1" si="54"/>
        <v>1</v>
      </c>
      <c r="M612" s="7" t="str">
        <f t="shared" ca="1" si="55"/>
        <v/>
      </c>
      <c r="N612" s="6" t="str">
        <f t="shared" ca="1" si="56"/>
        <v/>
      </c>
      <c r="O612" s="6">
        <f t="shared" si="57"/>
        <v>-0.84999999999999432</v>
      </c>
      <c r="Q612" s="6">
        <v>6</v>
      </c>
      <c r="R612" s="9">
        <f t="shared" si="58"/>
        <v>2250</v>
      </c>
      <c r="S612" s="7">
        <f t="shared" si="59"/>
        <v>881.24999999998727</v>
      </c>
    </row>
    <row r="613" spans="1:19" x14ac:dyDescent="0.25">
      <c r="A613" s="4">
        <f>Sheet1!A613</f>
        <v>39975</v>
      </c>
      <c r="B613" s="5">
        <f>Sheet1!B613</f>
        <v>0.58333333333333337</v>
      </c>
      <c r="C613" s="6">
        <f>Sheet1!C613</f>
        <v>181.6</v>
      </c>
      <c r="D613" s="6">
        <f>Sheet1!D613</f>
        <v>183.1</v>
      </c>
      <c r="E613" s="6">
        <f>Sheet1!E613</f>
        <v>180.4</v>
      </c>
      <c r="F613" s="6">
        <f>Sheet1!F613</f>
        <v>182.8</v>
      </c>
      <c r="H613" s="6">
        <f ca="1">IF(ROW($H613)-1&lt;$I$1,$F613,AVERAGE($F613:OFFSET($F613,(($I$1-1)*-1),0)))</f>
        <v>183.93333333333331</v>
      </c>
      <c r="J613" s="6">
        <f ca="1">IF(ROW($J613)-1&lt;$K$1,$F613,AVERAGE($F613:OFFSET($F613,(($K$1-1)*-1),0)))</f>
        <v>183.12857142857146</v>
      </c>
      <c r="L613" s="7">
        <f t="shared" ca="1" si="54"/>
        <v>1</v>
      </c>
      <c r="M613" s="7" t="str">
        <f t="shared" ca="1" si="55"/>
        <v/>
      </c>
      <c r="N613" s="6" t="str">
        <f t="shared" ca="1" si="56"/>
        <v/>
      </c>
      <c r="O613" s="6">
        <f t="shared" si="57"/>
        <v>1.25</v>
      </c>
      <c r="Q613" s="6">
        <v>7.25</v>
      </c>
      <c r="R613" s="9">
        <f t="shared" si="58"/>
        <v>2718.75</v>
      </c>
      <c r="S613" s="7">
        <f t="shared" si="59"/>
        <v>881.24999999998727</v>
      </c>
    </row>
    <row r="614" spans="1:19" x14ac:dyDescent="0.25">
      <c r="A614" s="4">
        <f>Sheet1!A614</f>
        <v>39976</v>
      </c>
      <c r="B614" s="5">
        <f>Sheet1!B614</f>
        <v>0.58333333333333337</v>
      </c>
      <c r="C614" s="6">
        <f>Sheet1!C614</f>
        <v>182.55</v>
      </c>
      <c r="D614" s="6">
        <f>Sheet1!D614</f>
        <v>182.55</v>
      </c>
      <c r="E614" s="6">
        <f>Sheet1!E614</f>
        <v>179.4</v>
      </c>
      <c r="F614" s="6">
        <f>Sheet1!F614</f>
        <v>180.75</v>
      </c>
      <c r="H614" s="6">
        <f ca="1">IF(ROW($H614)-1&lt;$I$1,$F614,AVERAGE($F614:OFFSET($F614,(($I$1-1)*-1),0)))</f>
        <v>182.31666666666663</v>
      </c>
      <c r="J614" s="6">
        <f ca="1">IF(ROW($J614)-1&lt;$K$1,$F614,AVERAGE($F614:OFFSET($F614,(($K$1-1)*-1),0)))</f>
        <v>183.4375</v>
      </c>
      <c r="L614" s="7">
        <f t="shared" ca="1" si="54"/>
        <v>-1</v>
      </c>
      <c r="M614" s="7">
        <f t="shared" ca="1" si="55"/>
        <v>-1</v>
      </c>
      <c r="N614" s="6" t="str">
        <f t="shared" ca="1" si="56"/>
        <v/>
      </c>
      <c r="O614" s="6">
        <f t="shared" si="57"/>
        <v>-2.0500000000000114</v>
      </c>
      <c r="Q614" s="6">
        <v>5.1999999999999886</v>
      </c>
      <c r="R614" s="9">
        <f t="shared" si="58"/>
        <v>1949.9999999999957</v>
      </c>
      <c r="S614" s="7">
        <f t="shared" si="59"/>
        <v>881.24999999998727</v>
      </c>
    </row>
    <row r="615" spans="1:19" x14ac:dyDescent="0.25">
      <c r="A615" s="4">
        <f>Sheet1!A615</f>
        <v>39979</v>
      </c>
      <c r="B615" s="5">
        <f>Sheet1!B615</f>
        <v>0.58333333333333337</v>
      </c>
      <c r="C615" s="6">
        <f>Sheet1!C615</f>
        <v>180.25</v>
      </c>
      <c r="D615" s="6">
        <f>Sheet1!D615</f>
        <v>180.25</v>
      </c>
      <c r="E615" s="6">
        <f>Sheet1!E615</f>
        <v>172.3</v>
      </c>
      <c r="F615" s="6">
        <f>Sheet1!F615</f>
        <v>172.5</v>
      </c>
      <c r="H615" s="6">
        <f ca="1">IF(ROW($H615)-1&lt;$I$1,$F615,AVERAGE($F615:OFFSET($F615,(($I$1-1)*-1),0)))</f>
        <v>180.21666666666667</v>
      </c>
      <c r="J615" s="6">
        <f ca="1">IF(ROW($J615)-1&lt;$K$1,$F615,AVERAGE($F615:OFFSET($F615,(($K$1-1)*-1),0)))</f>
        <v>183.31607142857141</v>
      </c>
      <c r="L615" s="7">
        <f t="shared" ca="1" si="54"/>
        <v>-1</v>
      </c>
      <c r="M615" s="7" t="str">
        <f t="shared" ca="1" si="55"/>
        <v/>
      </c>
      <c r="N615" s="6">
        <f t="shared" ca="1" si="56"/>
        <v>180.25</v>
      </c>
      <c r="O615" s="6">
        <f t="shared" si="57"/>
        <v>-8.25</v>
      </c>
      <c r="P615" s="6">
        <v>4.6999999999999886</v>
      </c>
      <c r="Q615" s="6">
        <v>7.75</v>
      </c>
      <c r="R615" s="9">
        <f t="shared" si="58"/>
        <v>2906.25</v>
      </c>
      <c r="S615" s="7">
        <f t="shared" si="59"/>
        <v>2643.7499999999827</v>
      </c>
    </row>
    <row r="616" spans="1:19" x14ac:dyDescent="0.25">
      <c r="A616" s="4">
        <f>Sheet1!A616</f>
        <v>39980</v>
      </c>
      <c r="B616" s="5">
        <f>Sheet1!B616</f>
        <v>0.58333333333333337</v>
      </c>
      <c r="C616" s="6">
        <f>Sheet1!C616</f>
        <v>173</v>
      </c>
      <c r="D616" s="6">
        <f>Sheet1!D616</f>
        <v>174.6</v>
      </c>
      <c r="E616" s="6">
        <f>Sheet1!E616</f>
        <v>172.7</v>
      </c>
      <c r="F616" s="6">
        <f>Sheet1!F616</f>
        <v>173.65</v>
      </c>
      <c r="H616" s="6">
        <f ca="1">IF(ROW($H616)-1&lt;$I$1,$F616,AVERAGE($F616:OFFSET($F616,(($I$1-1)*-1),0)))</f>
        <v>178.94166666666669</v>
      </c>
      <c r="J616" s="6">
        <f ca="1">IF(ROW($J616)-1&lt;$K$1,$F616,AVERAGE($F616:OFFSET($F616,(($K$1-1)*-1),0)))</f>
        <v>183.22678571428568</v>
      </c>
      <c r="L616" s="7">
        <f t="shared" ca="1" si="54"/>
        <v>-1</v>
      </c>
      <c r="M616" s="7" t="str">
        <f t="shared" ca="1" si="55"/>
        <v/>
      </c>
      <c r="N616" s="6" t="str">
        <f t="shared" ca="1" si="56"/>
        <v/>
      </c>
      <c r="O616" s="6">
        <f t="shared" si="57"/>
        <v>1.1500000000000057</v>
      </c>
      <c r="Q616" s="6">
        <v>6.5999999999999943</v>
      </c>
      <c r="R616" s="9">
        <f t="shared" si="58"/>
        <v>2474.9999999999977</v>
      </c>
      <c r="S616" s="7">
        <f t="shared" si="59"/>
        <v>2643.7499999999827</v>
      </c>
    </row>
    <row r="617" spans="1:19" x14ac:dyDescent="0.25">
      <c r="A617" s="4">
        <f>Sheet1!A617</f>
        <v>39981</v>
      </c>
      <c r="B617" s="5">
        <f>Sheet1!B617</f>
        <v>0.58333333333333337</v>
      </c>
      <c r="C617" s="6">
        <f>Sheet1!C617</f>
        <v>174.4</v>
      </c>
      <c r="D617" s="6">
        <f>Sheet1!D617</f>
        <v>174.5</v>
      </c>
      <c r="E617" s="6">
        <f>Sheet1!E617</f>
        <v>169.7</v>
      </c>
      <c r="F617" s="6">
        <f>Sheet1!F617</f>
        <v>169.95</v>
      </c>
      <c r="H617" s="6">
        <f ca="1">IF(ROW($H617)-1&lt;$I$1,$F617,AVERAGE($F617:OFFSET($F617,(($I$1-1)*-1),0)))</f>
        <v>176.86666666666667</v>
      </c>
      <c r="J617" s="6">
        <f ca="1">IF(ROW($J617)-1&lt;$K$1,$F617,AVERAGE($F617:OFFSET($F617,(($K$1-1)*-1),0)))</f>
        <v>183.01607142857142</v>
      </c>
      <c r="L617" s="7">
        <f t="shared" ca="1" si="54"/>
        <v>-1</v>
      </c>
      <c r="M617" s="7" t="str">
        <f t="shared" ca="1" si="55"/>
        <v/>
      </c>
      <c r="N617" s="6" t="str">
        <f t="shared" ca="1" si="56"/>
        <v/>
      </c>
      <c r="O617" s="6">
        <f t="shared" si="57"/>
        <v>-3.7000000000000171</v>
      </c>
      <c r="Q617" s="6">
        <v>10.300000000000011</v>
      </c>
      <c r="R617" s="9">
        <f t="shared" si="58"/>
        <v>3862.5000000000041</v>
      </c>
      <c r="S617" s="7">
        <f t="shared" si="59"/>
        <v>2643.7499999999827</v>
      </c>
    </row>
    <row r="618" spans="1:19" x14ac:dyDescent="0.25">
      <c r="A618" s="4">
        <f>Sheet1!A618</f>
        <v>39982</v>
      </c>
      <c r="B618" s="5">
        <f>Sheet1!B618</f>
        <v>0.58333333333333337</v>
      </c>
      <c r="C618" s="6">
        <f>Sheet1!C618</f>
        <v>170.3</v>
      </c>
      <c r="D618" s="6">
        <f>Sheet1!D618</f>
        <v>172.8</v>
      </c>
      <c r="E618" s="6">
        <f>Sheet1!E618</f>
        <v>169.25</v>
      </c>
      <c r="F618" s="6">
        <f>Sheet1!F618</f>
        <v>171.95</v>
      </c>
      <c r="H618" s="6">
        <f ca="1">IF(ROW($H618)-1&lt;$I$1,$F618,AVERAGE($F618:OFFSET($F618,(($I$1-1)*-1),0)))</f>
        <v>175.26666666666665</v>
      </c>
      <c r="J618" s="6">
        <f ca="1">IF(ROW($J618)-1&lt;$K$1,$F618,AVERAGE($F618:OFFSET($F618,(($K$1-1)*-1),0)))</f>
        <v>182.8017857142857</v>
      </c>
      <c r="L618" s="7">
        <f t="shared" ca="1" si="54"/>
        <v>-1</v>
      </c>
      <c r="M618" s="7" t="str">
        <f t="shared" ca="1" si="55"/>
        <v/>
      </c>
      <c r="N618" s="6" t="str">
        <f t="shared" ca="1" si="56"/>
        <v/>
      </c>
      <c r="O618" s="6">
        <f t="shared" si="57"/>
        <v>2</v>
      </c>
      <c r="Q618" s="6">
        <v>8.3000000000000114</v>
      </c>
      <c r="R618" s="9">
        <f t="shared" si="58"/>
        <v>3112.5000000000041</v>
      </c>
      <c r="S618" s="7">
        <f t="shared" si="59"/>
        <v>2643.7499999999827</v>
      </c>
    </row>
    <row r="619" spans="1:19" x14ac:dyDescent="0.25">
      <c r="A619" s="4">
        <f>Sheet1!A619</f>
        <v>39983</v>
      </c>
      <c r="B619" s="5">
        <f>Sheet1!B619</f>
        <v>0.58333333333333337</v>
      </c>
      <c r="C619" s="6">
        <f>Sheet1!C619</f>
        <v>172.1</v>
      </c>
      <c r="D619" s="6">
        <f>Sheet1!D619</f>
        <v>172.3</v>
      </c>
      <c r="E619" s="6">
        <f>Sheet1!E619</f>
        <v>168</v>
      </c>
      <c r="F619" s="6">
        <f>Sheet1!F619</f>
        <v>168.8</v>
      </c>
      <c r="H619" s="6">
        <f ca="1">IF(ROW($H619)-1&lt;$I$1,$F619,AVERAGE($F619:OFFSET($F619,(($I$1-1)*-1),0)))</f>
        <v>172.93333333333331</v>
      </c>
      <c r="J619" s="6">
        <f ca="1">IF(ROW($J619)-1&lt;$K$1,$F619,AVERAGE($F619:OFFSET($F619,(($K$1-1)*-1),0)))</f>
        <v>182.41071428571428</v>
      </c>
      <c r="L619" s="7">
        <f t="shared" ca="1" si="54"/>
        <v>-1</v>
      </c>
      <c r="M619" s="7" t="str">
        <f t="shared" ca="1" si="55"/>
        <v/>
      </c>
      <c r="N619" s="6" t="str">
        <f t="shared" ca="1" si="56"/>
        <v/>
      </c>
      <c r="O619" s="6">
        <f t="shared" si="57"/>
        <v>-3.1499999999999773</v>
      </c>
      <c r="Q619" s="6">
        <v>11.449999999999989</v>
      </c>
      <c r="R619" s="9">
        <f t="shared" si="58"/>
        <v>4293.7499999999955</v>
      </c>
      <c r="S619" s="7">
        <f t="shared" si="59"/>
        <v>2643.7499999999827</v>
      </c>
    </row>
    <row r="620" spans="1:19" x14ac:dyDescent="0.25">
      <c r="A620" s="4">
        <f>Sheet1!A620</f>
        <v>39986</v>
      </c>
      <c r="B620" s="5">
        <f>Sheet1!B620</f>
        <v>0.58333333333333337</v>
      </c>
      <c r="C620" s="6">
        <f>Sheet1!C620</f>
        <v>168.8</v>
      </c>
      <c r="D620" s="6">
        <f>Sheet1!D620</f>
        <v>170</v>
      </c>
      <c r="E620" s="6">
        <f>Sheet1!E620</f>
        <v>168.3</v>
      </c>
      <c r="F620" s="6">
        <f>Sheet1!F620</f>
        <v>169.55</v>
      </c>
      <c r="H620" s="6">
        <f ca="1">IF(ROW($H620)-1&lt;$I$1,$F620,AVERAGE($F620:OFFSET($F620,(($I$1-1)*-1),0)))</f>
        <v>171.06666666666663</v>
      </c>
      <c r="J620" s="6">
        <f ca="1">IF(ROW($J620)-1&lt;$K$1,$F620,AVERAGE($F620:OFFSET($F620,(($K$1-1)*-1),0)))</f>
        <v>182.03571428571428</v>
      </c>
      <c r="L620" s="7">
        <f t="shared" ca="1" si="54"/>
        <v>-1</v>
      </c>
      <c r="M620" s="7" t="str">
        <f t="shared" ca="1" si="55"/>
        <v/>
      </c>
      <c r="N620" s="6" t="str">
        <f t="shared" ca="1" si="56"/>
        <v/>
      </c>
      <c r="O620" s="6">
        <f t="shared" si="57"/>
        <v>0.75</v>
      </c>
      <c r="Q620" s="6">
        <v>10.699999999999989</v>
      </c>
      <c r="R620" s="9">
        <f t="shared" si="58"/>
        <v>4012.4999999999959</v>
      </c>
      <c r="S620" s="7">
        <f t="shared" si="59"/>
        <v>2643.7499999999827</v>
      </c>
    </row>
    <row r="621" spans="1:19" x14ac:dyDescent="0.25">
      <c r="A621" s="4">
        <f>Sheet1!A621</f>
        <v>39987</v>
      </c>
      <c r="B621" s="5">
        <f>Sheet1!B621</f>
        <v>0.58333333333333337</v>
      </c>
      <c r="C621" s="6">
        <f>Sheet1!C621</f>
        <v>169.25</v>
      </c>
      <c r="D621" s="6">
        <f>Sheet1!D621</f>
        <v>169.7</v>
      </c>
      <c r="E621" s="6">
        <f>Sheet1!E621</f>
        <v>166.95</v>
      </c>
      <c r="F621" s="6">
        <f>Sheet1!F621</f>
        <v>168.05</v>
      </c>
      <c r="H621" s="6">
        <f ca="1">IF(ROW($H621)-1&lt;$I$1,$F621,AVERAGE($F621:OFFSET($F621,(($I$1-1)*-1),0)))</f>
        <v>170.32499999999996</v>
      </c>
      <c r="J621" s="6">
        <f ca="1">IF(ROW($J621)-1&lt;$K$1,$F621,AVERAGE($F621:OFFSET($F621,(($K$1-1)*-1),0)))</f>
        <v>181.66607142857146</v>
      </c>
      <c r="L621" s="7">
        <f t="shared" ca="1" si="54"/>
        <v>-1</v>
      </c>
      <c r="M621" s="7" t="str">
        <f t="shared" ca="1" si="55"/>
        <v/>
      </c>
      <c r="N621" s="6" t="str">
        <f t="shared" ca="1" si="56"/>
        <v/>
      </c>
      <c r="O621" s="6">
        <f t="shared" si="57"/>
        <v>-1.5</v>
      </c>
      <c r="Q621" s="6">
        <v>12.199999999999989</v>
      </c>
      <c r="R621" s="9">
        <f t="shared" si="58"/>
        <v>4574.9999999999955</v>
      </c>
      <c r="S621" s="7">
        <f t="shared" si="59"/>
        <v>2643.7499999999827</v>
      </c>
    </row>
    <row r="622" spans="1:19" x14ac:dyDescent="0.25">
      <c r="A622" s="4">
        <f>Sheet1!A622</f>
        <v>39988</v>
      </c>
      <c r="B622" s="5">
        <f>Sheet1!B622</f>
        <v>0.58333333333333337</v>
      </c>
      <c r="C622" s="6">
        <f>Sheet1!C622</f>
        <v>167.5</v>
      </c>
      <c r="D622" s="6">
        <f>Sheet1!D622</f>
        <v>170.85</v>
      </c>
      <c r="E622" s="6">
        <f>Sheet1!E622</f>
        <v>167.4</v>
      </c>
      <c r="F622" s="6">
        <f>Sheet1!F622</f>
        <v>168.25</v>
      </c>
      <c r="H622" s="6">
        <f ca="1">IF(ROW($H622)-1&lt;$I$1,$F622,AVERAGE($F622:OFFSET($F622,(($I$1-1)*-1),0)))</f>
        <v>169.42499999999998</v>
      </c>
      <c r="J622" s="6">
        <f ca="1">IF(ROW($J622)-1&lt;$K$1,$F622,AVERAGE($F622:OFFSET($F622,(($K$1-1)*-1),0)))</f>
        <v>181.27321428571432</v>
      </c>
      <c r="L622" s="7">
        <f t="shared" ca="1" si="54"/>
        <v>-1</v>
      </c>
      <c r="M622" s="7" t="str">
        <f t="shared" ca="1" si="55"/>
        <v/>
      </c>
      <c r="N622" s="6" t="str">
        <f t="shared" ca="1" si="56"/>
        <v/>
      </c>
      <c r="O622" s="6">
        <f t="shared" si="57"/>
        <v>0.19999999999998863</v>
      </c>
      <c r="Q622" s="6">
        <v>12</v>
      </c>
      <c r="R622" s="9">
        <f t="shared" si="58"/>
        <v>4500</v>
      </c>
      <c r="S622" s="7">
        <f t="shared" si="59"/>
        <v>2643.7499999999827</v>
      </c>
    </row>
    <row r="623" spans="1:19" x14ac:dyDescent="0.25">
      <c r="A623" s="4">
        <f>Sheet1!A623</f>
        <v>39989</v>
      </c>
      <c r="B623" s="5">
        <f>Sheet1!B623</f>
        <v>0.58333333333333337</v>
      </c>
      <c r="C623" s="6">
        <f>Sheet1!C623</f>
        <v>168.1</v>
      </c>
      <c r="D623" s="6">
        <f>Sheet1!D623</f>
        <v>169.9</v>
      </c>
      <c r="E623" s="6">
        <f>Sheet1!E623</f>
        <v>166.65</v>
      </c>
      <c r="F623" s="6">
        <f>Sheet1!F623</f>
        <v>169.35</v>
      </c>
      <c r="H623" s="6">
        <f ca="1">IF(ROW($H623)-1&lt;$I$1,$F623,AVERAGE($F623:OFFSET($F623,(($I$1-1)*-1),0)))</f>
        <v>169.32500000000002</v>
      </c>
      <c r="J623" s="6">
        <f ca="1">IF(ROW($J623)-1&lt;$K$1,$F623,AVERAGE($F623:OFFSET($F623,(($K$1-1)*-1),0)))</f>
        <v>180.92678571428573</v>
      </c>
      <c r="L623" s="7">
        <f t="shared" ca="1" si="54"/>
        <v>-1</v>
      </c>
      <c r="M623" s="7" t="str">
        <f t="shared" ca="1" si="55"/>
        <v/>
      </c>
      <c r="N623" s="6" t="str">
        <f t="shared" ca="1" si="56"/>
        <v/>
      </c>
      <c r="O623" s="6">
        <f t="shared" si="57"/>
        <v>1.0999999999999943</v>
      </c>
      <c r="Q623" s="6">
        <v>10.900000000000006</v>
      </c>
      <c r="R623" s="9">
        <f t="shared" si="58"/>
        <v>4087.5000000000023</v>
      </c>
      <c r="S623" s="7">
        <f t="shared" si="59"/>
        <v>2643.7499999999827</v>
      </c>
    </row>
    <row r="624" spans="1:19" x14ac:dyDescent="0.25">
      <c r="A624" s="4">
        <f>Sheet1!A624</f>
        <v>39990</v>
      </c>
      <c r="B624" s="5">
        <f>Sheet1!B624</f>
        <v>0.58333333333333337</v>
      </c>
      <c r="C624" s="6">
        <f>Sheet1!C624</f>
        <v>169.65</v>
      </c>
      <c r="D624" s="6">
        <f>Sheet1!D624</f>
        <v>170</v>
      </c>
      <c r="E624" s="6">
        <f>Sheet1!E624</f>
        <v>167.9</v>
      </c>
      <c r="F624" s="6">
        <f>Sheet1!F624</f>
        <v>168.3</v>
      </c>
      <c r="H624" s="6">
        <f ca="1">IF(ROW($H624)-1&lt;$I$1,$F624,AVERAGE($F624:OFFSET($F624,(($I$1-1)*-1),0)))</f>
        <v>168.7166666666667</v>
      </c>
      <c r="J624" s="6">
        <f ca="1">IF(ROW($J624)-1&lt;$K$1,$F624,AVERAGE($F624:OFFSET($F624,(($K$1-1)*-1),0)))</f>
        <v>180.48571428571432</v>
      </c>
      <c r="L624" s="7">
        <f t="shared" ca="1" si="54"/>
        <v>-1</v>
      </c>
      <c r="M624" s="7" t="str">
        <f t="shared" ca="1" si="55"/>
        <v/>
      </c>
      <c r="N624" s="6" t="str">
        <f t="shared" ca="1" si="56"/>
        <v/>
      </c>
      <c r="O624" s="6">
        <f t="shared" si="57"/>
        <v>-1.0499999999999829</v>
      </c>
      <c r="Q624" s="6">
        <v>11.949999999999989</v>
      </c>
      <c r="R624" s="9">
        <f t="shared" si="58"/>
        <v>4481.2499999999955</v>
      </c>
      <c r="S624" s="7">
        <f t="shared" si="59"/>
        <v>2643.7499999999827</v>
      </c>
    </row>
    <row r="625" spans="1:19" x14ac:dyDescent="0.25">
      <c r="A625" s="4">
        <f>Sheet1!A625</f>
        <v>39993</v>
      </c>
      <c r="B625" s="5">
        <f>Sheet1!B625</f>
        <v>0.58333333333333337</v>
      </c>
      <c r="C625" s="6">
        <f>Sheet1!C625</f>
        <v>168.1</v>
      </c>
      <c r="D625" s="6">
        <f>Sheet1!D625</f>
        <v>170.8</v>
      </c>
      <c r="E625" s="6">
        <f>Sheet1!E625</f>
        <v>167.6</v>
      </c>
      <c r="F625" s="6">
        <f>Sheet1!F625</f>
        <v>169.35</v>
      </c>
      <c r="H625" s="6">
        <f ca="1">IF(ROW($H625)-1&lt;$I$1,$F625,AVERAGE($F625:OFFSET($F625,(($I$1-1)*-1),0)))</f>
        <v>168.80833333333334</v>
      </c>
      <c r="J625" s="6">
        <f ca="1">IF(ROW($J625)-1&lt;$K$1,$F625,AVERAGE($F625:OFFSET($F625,(($K$1-1)*-1),0)))</f>
        <v>179.97857142857148</v>
      </c>
      <c r="L625" s="7">
        <f t="shared" ca="1" si="54"/>
        <v>-1</v>
      </c>
      <c r="M625" s="7" t="str">
        <f t="shared" ca="1" si="55"/>
        <v/>
      </c>
      <c r="N625" s="6" t="str">
        <f t="shared" ca="1" si="56"/>
        <v/>
      </c>
      <c r="O625" s="6">
        <f t="shared" si="57"/>
        <v>1.0499999999999829</v>
      </c>
      <c r="Q625" s="6">
        <v>10.900000000000006</v>
      </c>
      <c r="R625" s="9">
        <f t="shared" si="58"/>
        <v>4087.5000000000023</v>
      </c>
      <c r="S625" s="7">
        <f t="shared" si="59"/>
        <v>2643.7499999999827</v>
      </c>
    </row>
    <row r="626" spans="1:19" x14ac:dyDescent="0.25">
      <c r="A626" s="4">
        <f>Sheet1!A626</f>
        <v>39994</v>
      </c>
      <c r="B626" s="5">
        <f>Sheet1!B626</f>
        <v>0.58333333333333337</v>
      </c>
      <c r="C626" s="6">
        <f>Sheet1!C626</f>
        <v>168.9</v>
      </c>
      <c r="D626" s="6">
        <f>Sheet1!D626</f>
        <v>170.65</v>
      </c>
      <c r="E626" s="6">
        <f>Sheet1!E626</f>
        <v>167.8</v>
      </c>
      <c r="F626" s="6">
        <f>Sheet1!F626</f>
        <v>169</v>
      </c>
      <c r="H626" s="6">
        <f ca="1">IF(ROW($H626)-1&lt;$I$1,$F626,AVERAGE($F626:OFFSET($F626,(($I$1-1)*-1),0)))</f>
        <v>168.71666666666667</v>
      </c>
      <c r="J626" s="6">
        <f ca="1">IF(ROW($J626)-1&lt;$K$1,$F626,AVERAGE($F626:OFFSET($F626,(($K$1-1)*-1),0)))</f>
        <v>179.42321428571432</v>
      </c>
      <c r="L626" s="7">
        <f t="shared" ca="1" si="54"/>
        <v>-1</v>
      </c>
      <c r="M626" s="7" t="str">
        <f t="shared" ca="1" si="55"/>
        <v/>
      </c>
      <c r="N626" s="6" t="str">
        <f t="shared" ca="1" si="56"/>
        <v/>
      </c>
      <c r="O626" s="6">
        <f t="shared" si="57"/>
        <v>-0.34999999999999432</v>
      </c>
      <c r="Q626" s="6">
        <v>11.25</v>
      </c>
      <c r="R626" s="9">
        <f t="shared" si="58"/>
        <v>4218.75</v>
      </c>
      <c r="S626" s="7">
        <f t="shared" si="59"/>
        <v>2643.7499999999827</v>
      </c>
    </row>
    <row r="627" spans="1:19" x14ac:dyDescent="0.25">
      <c r="A627" s="4">
        <f>Sheet1!A627</f>
        <v>39995</v>
      </c>
      <c r="B627" s="5">
        <f>Sheet1!B627</f>
        <v>0.58333333333333337</v>
      </c>
      <c r="C627" s="6">
        <f>Sheet1!C627</f>
        <v>168.8</v>
      </c>
      <c r="D627" s="6">
        <f>Sheet1!D627</f>
        <v>170.2</v>
      </c>
      <c r="E627" s="6">
        <f>Sheet1!E627</f>
        <v>167.7</v>
      </c>
      <c r="F627" s="6">
        <f>Sheet1!F627</f>
        <v>168.15</v>
      </c>
      <c r="H627" s="6">
        <f ca="1">IF(ROW($H627)-1&lt;$I$1,$F627,AVERAGE($F627:OFFSET($F627,(($I$1-1)*-1),0)))</f>
        <v>168.73333333333332</v>
      </c>
      <c r="J627" s="6">
        <f ca="1">IF(ROW($J627)-1&lt;$K$1,$F627,AVERAGE($F627:OFFSET($F627,(($K$1-1)*-1),0)))</f>
        <v>178.74821428571434</v>
      </c>
      <c r="L627" s="7">
        <f t="shared" ca="1" si="54"/>
        <v>-1</v>
      </c>
      <c r="M627" s="7" t="str">
        <f t="shared" ca="1" si="55"/>
        <v/>
      </c>
      <c r="N627" s="6" t="str">
        <f t="shared" ca="1" si="56"/>
        <v/>
      </c>
      <c r="O627" s="6">
        <f t="shared" si="57"/>
        <v>-0.84999999999999432</v>
      </c>
      <c r="Q627" s="6">
        <v>12.099999999999994</v>
      </c>
      <c r="R627" s="9">
        <f t="shared" si="58"/>
        <v>4537.4999999999982</v>
      </c>
      <c r="S627" s="7">
        <f t="shared" si="59"/>
        <v>2643.7499999999827</v>
      </c>
    </row>
    <row r="628" spans="1:19" x14ac:dyDescent="0.25">
      <c r="A628" s="4">
        <f>Sheet1!A628</f>
        <v>39996</v>
      </c>
      <c r="B628" s="5">
        <f>Sheet1!B628</f>
        <v>0.58333333333333337</v>
      </c>
      <c r="C628" s="6">
        <f>Sheet1!C628</f>
        <v>168.05</v>
      </c>
      <c r="D628" s="6">
        <f>Sheet1!D628</f>
        <v>168.4</v>
      </c>
      <c r="E628" s="6">
        <f>Sheet1!E628</f>
        <v>166.15</v>
      </c>
      <c r="F628" s="6">
        <f>Sheet1!F628</f>
        <v>166.9</v>
      </c>
      <c r="H628" s="6">
        <f ca="1">IF(ROW($H628)-1&lt;$I$1,$F628,AVERAGE($F628:OFFSET($F628,(($I$1-1)*-1),0)))</f>
        <v>168.50833333333333</v>
      </c>
      <c r="J628" s="6">
        <f ca="1">IF(ROW($J628)-1&lt;$K$1,$F628,AVERAGE($F628:OFFSET($F628,(($K$1-1)*-1),0)))</f>
        <v>178.05714285714288</v>
      </c>
      <c r="L628" s="7">
        <f t="shared" ca="1" si="54"/>
        <v>-1</v>
      </c>
      <c r="M628" s="7" t="str">
        <f t="shared" ca="1" si="55"/>
        <v/>
      </c>
      <c r="N628" s="6" t="str">
        <f t="shared" ca="1" si="56"/>
        <v/>
      </c>
      <c r="O628" s="6">
        <f t="shared" si="57"/>
        <v>-1.25</v>
      </c>
      <c r="Q628" s="6">
        <v>13.349999999999994</v>
      </c>
      <c r="R628" s="9">
        <f t="shared" si="58"/>
        <v>5006.2499999999982</v>
      </c>
      <c r="S628" s="7">
        <f t="shared" si="59"/>
        <v>2643.7499999999827</v>
      </c>
    </row>
    <row r="629" spans="1:19" x14ac:dyDescent="0.25">
      <c r="A629" s="4">
        <f>Sheet1!A629</f>
        <v>40000</v>
      </c>
      <c r="B629" s="5">
        <f>Sheet1!B629</f>
        <v>0.58333333333333337</v>
      </c>
      <c r="C629" s="6">
        <f>Sheet1!C629</f>
        <v>167</v>
      </c>
      <c r="D629" s="6">
        <f>Sheet1!D629</f>
        <v>169.3</v>
      </c>
      <c r="E629" s="6">
        <f>Sheet1!E629</f>
        <v>165.75</v>
      </c>
      <c r="F629" s="6">
        <f>Sheet1!F629</f>
        <v>167.2</v>
      </c>
      <c r="H629" s="6">
        <f ca="1">IF(ROW($H629)-1&lt;$I$1,$F629,AVERAGE($F629:OFFSET($F629,(($I$1-1)*-1),0)))</f>
        <v>168.14999999999998</v>
      </c>
      <c r="J629" s="6">
        <f ca="1">IF(ROW($J629)-1&lt;$K$1,$F629,AVERAGE($F629:OFFSET($F629,(($K$1-1)*-1),0)))</f>
        <v>177.32499999999999</v>
      </c>
      <c r="L629" s="7">
        <f t="shared" ca="1" si="54"/>
        <v>-1</v>
      </c>
      <c r="M629" s="7" t="str">
        <f t="shared" ca="1" si="55"/>
        <v/>
      </c>
      <c r="N629" s="6" t="str">
        <f t="shared" ca="1" si="56"/>
        <v/>
      </c>
      <c r="O629" s="6">
        <f t="shared" si="57"/>
        <v>0.29999999999998295</v>
      </c>
      <c r="Q629" s="6">
        <v>13.050000000000011</v>
      </c>
      <c r="R629" s="9">
        <f t="shared" si="58"/>
        <v>4893.7500000000045</v>
      </c>
      <c r="S629" s="7">
        <f t="shared" si="59"/>
        <v>2643.7499999999827</v>
      </c>
    </row>
    <row r="630" spans="1:19" x14ac:dyDescent="0.25">
      <c r="A630" s="4">
        <f>Sheet1!A630</f>
        <v>40001</v>
      </c>
      <c r="B630" s="5">
        <f>Sheet1!B630</f>
        <v>0.58333333333333337</v>
      </c>
      <c r="C630" s="6">
        <f>Sheet1!C630</f>
        <v>167.9</v>
      </c>
      <c r="D630" s="6">
        <f>Sheet1!D630</f>
        <v>168.4</v>
      </c>
      <c r="E630" s="6">
        <f>Sheet1!E630</f>
        <v>165.6</v>
      </c>
      <c r="F630" s="6">
        <f>Sheet1!F630</f>
        <v>165.8</v>
      </c>
      <c r="H630" s="6">
        <f ca="1">IF(ROW($H630)-1&lt;$I$1,$F630,AVERAGE($F630:OFFSET($F630,(($I$1-1)*-1),0)))</f>
        <v>167.73333333333332</v>
      </c>
      <c r="J630" s="6">
        <f ca="1">IF(ROW($J630)-1&lt;$K$1,$F630,AVERAGE($F630:OFFSET($F630,(($K$1-1)*-1),0)))</f>
        <v>176.57678571428571</v>
      </c>
      <c r="L630" s="7">
        <f t="shared" ca="1" si="54"/>
        <v>-1</v>
      </c>
      <c r="M630" s="7" t="str">
        <f t="shared" ca="1" si="55"/>
        <v/>
      </c>
      <c r="N630" s="6" t="str">
        <f t="shared" ca="1" si="56"/>
        <v/>
      </c>
      <c r="O630" s="6">
        <f t="shared" si="57"/>
        <v>-1.3999999999999773</v>
      </c>
      <c r="Q630" s="6">
        <v>14.449999999999989</v>
      </c>
      <c r="R630" s="9">
        <f t="shared" si="58"/>
        <v>5418.7499999999955</v>
      </c>
      <c r="S630" s="7">
        <f t="shared" si="59"/>
        <v>2643.7499999999827</v>
      </c>
    </row>
    <row r="631" spans="1:19" x14ac:dyDescent="0.25">
      <c r="A631" s="4">
        <f>Sheet1!A631</f>
        <v>40002</v>
      </c>
      <c r="B631" s="5">
        <f>Sheet1!B631</f>
        <v>0.58333333333333337</v>
      </c>
      <c r="C631" s="6">
        <f>Sheet1!C631</f>
        <v>166.15</v>
      </c>
      <c r="D631" s="6">
        <f>Sheet1!D631</f>
        <v>166.5</v>
      </c>
      <c r="E631" s="6">
        <f>Sheet1!E631</f>
        <v>163.85</v>
      </c>
      <c r="F631" s="6">
        <f>Sheet1!F631</f>
        <v>164.3</v>
      </c>
      <c r="H631" s="6">
        <f ca="1">IF(ROW($H631)-1&lt;$I$1,$F631,AVERAGE($F631:OFFSET($F631,(($I$1-1)*-1),0)))</f>
        <v>166.89166666666665</v>
      </c>
      <c r="J631" s="6">
        <f ca="1">IF(ROW($J631)-1&lt;$K$1,$F631,AVERAGE($F631:OFFSET($F631,(($K$1-1)*-1),0)))</f>
        <v>175.72857142857143</v>
      </c>
      <c r="L631" s="7">
        <f t="shared" ca="1" si="54"/>
        <v>-1</v>
      </c>
      <c r="M631" s="7" t="str">
        <f t="shared" ca="1" si="55"/>
        <v/>
      </c>
      <c r="N631" s="6" t="str">
        <f t="shared" ca="1" si="56"/>
        <v/>
      </c>
      <c r="O631" s="6">
        <f t="shared" si="57"/>
        <v>-1.5</v>
      </c>
      <c r="Q631" s="6">
        <v>15.949999999999989</v>
      </c>
      <c r="R631" s="9">
        <f t="shared" si="58"/>
        <v>5981.2499999999955</v>
      </c>
      <c r="S631" s="7">
        <f t="shared" si="59"/>
        <v>2643.7499999999827</v>
      </c>
    </row>
    <row r="632" spans="1:19" x14ac:dyDescent="0.25">
      <c r="A632" s="4">
        <f>Sheet1!A632</f>
        <v>40003</v>
      </c>
      <c r="B632" s="5">
        <f>Sheet1!B632</f>
        <v>0.58333333333333337</v>
      </c>
      <c r="C632" s="6">
        <f>Sheet1!C632</f>
        <v>164.5</v>
      </c>
      <c r="D632" s="6">
        <f>Sheet1!D632</f>
        <v>167.9</v>
      </c>
      <c r="E632" s="6">
        <f>Sheet1!E632</f>
        <v>163.55000000000001</v>
      </c>
      <c r="F632" s="6">
        <f>Sheet1!F632</f>
        <v>164.75</v>
      </c>
      <c r="H632" s="6">
        <f ca="1">IF(ROW($H632)-1&lt;$I$1,$F632,AVERAGE($F632:OFFSET($F632,(($I$1-1)*-1),0)))</f>
        <v>166.18333333333331</v>
      </c>
      <c r="J632" s="6">
        <f ca="1">IF(ROW($J632)-1&lt;$K$1,$F632,AVERAGE($F632:OFFSET($F632,(($K$1-1)*-1),0)))</f>
        <v>174.875</v>
      </c>
      <c r="L632" s="7">
        <f t="shared" ca="1" si="54"/>
        <v>-1</v>
      </c>
      <c r="M632" s="7" t="str">
        <f t="shared" ca="1" si="55"/>
        <v/>
      </c>
      <c r="N632" s="6" t="str">
        <f t="shared" ca="1" si="56"/>
        <v/>
      </c>
      <c r="O632" s="6">
        <f t="shared" si="57"/>
        <v>0.44999999999998863</v>
      </c>
      <c r="Q632" s="6">
        <v>15.5</v>
      </c>
      <c r="R632" s="9">
        <f t="shared" si="58"/>
        <v>5812.5</v>
      </c>
      <c r="S632" s="7">
        <f t="shared" si="59"/>
        <v>2643.7499999999827</v>
      </c>
    </row>
    <row r="633" spans="1:19" x14ac:dyDescent="0.25">
      <c r="A633" s="4">
        <f>Sheet1!A633</f>
        <v>40004</v>
      </c>
      <c r="B633" s="5">
        <f>Sheet1!B633</f>
        <v>0.58333333333333337</v>
      </c>
      <c r="C633" s="6">
        <f>Sheet1!C633</f>
        <v>164.85</v>
      </c>
      <c r="D633" s="6">
        <f>Sheet1!D633</f>
        <v>166.3</v>
      </c>
      <c r="E633" s="6">
        <f>Sheet1!E633</f>
        <v>162.44999999999999</v>
      </c>
      <c r="F633" s="6">
        <f>Sheet1!F633</f>
        <v>163.5</v>
      </c>
      <c r="H633" s="6">
        <f ca="1">IF(ROW($H633)-1&lt;$I$1,$F633,AVERAGE($F633:OFFSET($F633,(($I$1-1)*-1),0)))</f>
        <v>165.40833333333333</v>
      </c>
      <c r="J633" s="6">
        <f ca="1">IF(ROW($J633)-1&lt;$K$1,$F633,AVERAGE($F633:OFFSET($F633,(($K$1-1)*-1),0)))</f>
        <v>173.80357142857147</v>
      </c>
      <c r="L633" s="7">
        <f t="shared" ca="1" si="54"/>
        <v>-1</v>
      </c>
      <c r="M633" s="7" t="str">
        <f t="shared" ca="1" si="55"/>
        <v/>
      </c>
      <c r="N633" s="6" t="str">
        <f t="shared" ca="1" si="56"/>
        <v/>
      </c>
      <c r="O633" s="6">
        <f t="shared" si="57"/>
        <v>-1.25</v>
      </c>
      <c r="Q633" s="6">
        <v>16.75</v>
      </c>
      <c r="R633" s="9">
        <f t="shared" si="58"/>
        <v>6281.25</v>
      </c>
      <c r="S633" s="7">
        <f t="shared" si="59"/>
        <v>2643.7499999999827</v>
      </c>
    </row>
    <row r="634" spans="1:19" x14ac:dyDescent="0.25">
      <c r="A634" s="4">
        <f>Sheet1!A634</f>
        <v>40007</v>
      </c>
      <c r="B634" s="5">
        <f>Sheet1!B634</f>
        <v>0.58333333333333337</v>
      </c>
      <c r="C634" s="6">
        <f>Sheet1!C634</f>
        <v>163.19999999999999</v>
      </c>
      <c r="D634" s="6">
        <f>Sheet1!D634</f>
        <v>164.2</v>
      </c>
      <c r="E634" s="6">
        <f>Sheet1!E634</f>
        <v>162.5</v>
      </c>
      <c r="F634" s="6">
        <f>Sheet1!F634</f>
        <v>164</v>
      </c>
      <c r="H634" s="6">
        <f ca="1">IF(ROW($H634)-1&lt;$I$1,$F634,AVERAGE($F634:OFFSET($F634,(($I$1-1)*-1),0)))</f>
        <v>164.92499999999998</v>
      </c>
      <c r="J634" s="6">
        <f ca="1">IF(ROW($J634)-1&lt;$K$1,$F634,AVERAGE($F634:OFFSET($F634,(($K$1-1)*-1),0)))</f>
        <v>172.75892857142861</v>
      </c>
      <c r="L634" s="7">
        <f t="shared" ca="1" si="54"/>
        <v>-1</v>
      </c>
      <c r="M634" s="7" t="str">
        <f t="shared" ca="1" si="55"/>
        <v/>
      </c>
      <c r="N634" s="6" t="str">
        <f t="shared" ca="1" si="56"/>
        <v/>
      </c>
      <c r="O634" s="6">
        <f t="shared" si="57"/>
        <v>0.5</v>
      </c>
      <c r="Q634" s="6">
        <v>16.25</v>
      </c>
      <c r="R634" s="9">
        <f t="shared" si="58"/>
        <v>6093.75</v>
      </c>
      <c r="S634" s="7">
        <f t="shared" si="59"/>
        <v>2643.7499999999827</v>
      </c>
    </row>
    <row r="635" spans="1:19" x14ac:dyDescent="0.25">
      <c r="A635" s="4">
        <f>Sheet1!A635</f>
        <v>40008</v>
      </c>
      <c r="B635" s="5">
        <f>Sheet1!B635</f>
        <v>0.58333333333333337</v>
      </c>
      <c r="C635" s="6">
        <f>Sheet1!C635</f>
        <v>164</v>
      </c>
      <c r="D635" s="6">
        <f>Sheet1!D635</f>
        <v>166.7</v>
      </c>
      <c r="E635" s="6">
        <f>Sheet1!E635</f>
        <v>163.65</v>
      </c>
      <c r="F635" s="6">
        <f>Sheet1!F635</f>
        <v>164.6</v>
      </c>
      <c r="H635" s="6">
        <f ca="1">IF(ROW($H635)-1&lt;$I$1,$F635,AVERAGE($F635:OFFSET($F635,(($I$1-1)*-1),0)))</f>
        <v>164.49166666666667</v>
      </c>
      <c r="J635" s="6">
        <f ca="1">IF(ROW($J635)-1&lt;$K$1,$F635,AVERAGE($F635:OFFSET($F635,(($K$1-1)*-1),0)))</f>
        <v>171.86607142857147</v>
      </c>
      <c r="L635" s="7">
        <f t="shared" ca="1" si="54"/>
        <v>-1</v>
      </c>
      <c r="M635" s="7" t="str">
        <f t="shared" ca="1" si="55"/>
        <v/>
      </c>
      <c r="N635" s="6" t="str">
        <f t="shared" ca="1" si="56"/>
        <v/>
      </c>
      <c r="O635" s="6">
        <f t="shared" si="57"/>
        <v>0.59999999999999432</v>
      </c>
      <c r="Q635" s="6">
        <v>15.650000000000006</v>
      </c>
      <c r="R635" s="9">
        <f t="shared" si="58"/>
        <v>5868.7500000000018</v>
      </c>
      <c r="S635" s="7">
        <f t="shared" si="59"/>
        <v>2643.7499999999827</v>
      </c>
    </row>
    <row r="636" spans="1:19" x14ac:dyDescent="0.25">
      <c r="A636" s="4">
        <f>Sheet1!A636</f>
        <v>40009</v>
      </c>
      <c r="B636" s="5">
        <f>Sheet1!B636</f>
        <v>0.58333333333333337</v>
      </c>
      <c r="C636" s="6">
        <f>Sheet1!C636</f>
        <v>164.75</v>
      </c>
      <c r="D636" s="6">
        <f>Sheet1!D636</f>
        <v>168.65</v>
      </c>
      <c r="E636" s="6">
        <f>Sheet1!E636</f>
        <v>164.75</v>
      </c>
      <c r="F636" s="6">
        <f>Sheet1!F636</f>
        <v>167.05</v>
      </c>
      <c r="H636" s="6">
        <f ca="1">IF(ROW($H636)-1&lt;$I$1,$F636,AVERAGE($F636:OFFSET($F636,(($I$1-1)*-1),0)))</f>
        <v>164.70000000000002</v>
      </c>
      <c r="J636" s="6">
        <f ca="1">IF(ROW($J636)-1&lt;$K$1,$F636,AVERAGE($F636:OFFSET($F636,(($K$1-1)*-1),0)))</f>
        <v>171.03035714285718</v>
      </c>
      <c r="L636" s="7">
        <f t="shared" ca="1" si="54"/>
        <v>-1</v>
      </c>
      <c r="M636" s="7" t="str">
        <f t="shared" ca="1" si="55"/>
        <v/>
      </c>
      <c r="N636" s="6" t="str">
        <f t="shared" ca="1" si="56"/>
        <v/>
      </c>
      <c r="O636" s="6">
        <f t="shared" si="57"/>
        <v>2.4500000000000171</v>
      </c>
      <c r="Q636" s="6">
        <v>13.199999999999989</v>
      </c>
      <c r="R636" s="9">
        <f t="shared" si="58"/>
        <v>4949.9999999999955</v>
      </c>
      <c r="S636" s="7">
        <f t="shared" si="59"/>
        <v>2643.7499999999827</v>
      </c>
    </row>
    <row r="637" spans="1:19" x14ac:dyDescent="0.25">
      <c r="A637" s="4">
        <f>Sheet1!A637</f>
        <v>40010</v>
      </c>
      <c r="B637" s="5">
        <f>Sheet1!B637</f>
        <v>0.58333333333333337</v>
      </c>
      <c r="C637" s="6">
        <f>Sheet1!C637</f>
        <v>167.85</v>
      </c>
      <c r="D637" s="6">
        <f>Sheet1!D637</f>
        <v>168.15</v>
      </c>
      <c r="E637" s="6">
        <f>Sheet1!E637</f>
        <v>163.69999999999999</v>
      </c>
      <c r="F637" s="6">
        <f>Sheet1!F637</f>
        <v>164.75</v>
      </c>
      <c r="H637" s="6">
        <f ca="1">IF(ROW($H637)-1&lt;$I$1,$F637,AVERAGE($F637:OFFSET($F637,(($I$1-1)*-1),0)))</f>
        <v>164.77500000000001</v>
      </c>
      <c r="J637" s="6">
        <f ca="1">IF(ROW($J637)-1&lt;$K$1,$F637,AVERAGE($F637:OFFSET($F637,(($K$1-1)*-1),0)))</f>
        <v>170.30357142857147</v>
      </c>
      <c r="L637" s="7">
        <f t="shared" ca="1" si="54"/>
        <v>-1</v>
      </c>
      <c r="M637" s="7" t="str">
        <f t="shared" ca="1" si="55"/>
        <v/>
      </c>
      <c r="N637" s="6" t="str">
        <f t="shared" ca="1" si="56"/>
        <v/>
      </c>
      <c r="O637" s="6">
        <f t="shared" si="57"/>
        <v>-2.3000000000000114</v>
      </c>
      <c r="Q637" s="6">
        <v>15.5</v>
      </c>
      <c r="R637" s="9">
        <f t="shared" si="58"/>
        <v>5812.5</v>
      </c>
      <c r="S637" s="7">
        <f t="shared" si="59"/>
        <v>2643.7499999999827</v>
      </c>
    </row>
    <row r="638" spans="1:19" x14ac:dyDescent="0.25">
      <c r="A638" s="4">
        <f>Sheet1!A638</f>
        <v>40011</v>
      </c>
      <c r="B638" s="5">
        <f>Sheet1!B638</f>
        <v>0.58333333333333337</v>
      </c>
      <c r="C638" s="6">
        <f>Sheet1!C638</f>
        <v>165.1</v>
      </c>
      <c r="D638" s="6">
        <f>Sheet1!D638</f>
        <v>168.1</v>
      </c>
      <c r="E638" s="6">
        <f>Sheet1!E638</f>
        <v>164.9</v>
      </c>
      <c r="F638" s="6">
        <f>Sheet1!F638</f>
        <v>167.8</v>
      </c>
      <c r="H638" s="6">
        <f ca="1">IF(ROW($H638)-1&lt;$I$1,$F638,AVERAGE($F638:OFFSET($F638,(($I$1-1)*-1),0)))</f>
        <v>165.28333333333333</v>
      </c>
      <c r="J638" s="6">
        <f ca="1">IF(ROW($J638)-1&lt;$K$1,$F638,AVERAGE($F638:OFFSET($F638,(($K$1-1)*-1),0)))</f>
        <v>169.82142857142861</v>
      </c>
      <c r="L638" s="7">
        <f t="shared" ca="1" si="54"/>
        <v>-1</v>
      </c>
      <c r="M638" s="7" t="str">
        <f t="shared" ca="1" si="55"/>
        <v/>
      </c>
      <c r="N638" s="6" t="str">
        <f t="shared" ca="1" si="56"/>
        <v/>
      </c>
      <c r="O638" s="6">
        <f t="shared" si="57"/>
        <v>3.0500000000000114</v>
      </c>
      <c r="Q638" s="6">
        <v>12.449999999999989</v>
      </c>
      <c r="R638" s="9">
        <f t="shared" si="58"/>
        <v>4668.7499999999955</v>
      </c>
      <c r="S638" s="7">
        <f t="shared" si="59"/>
        <v>2643.7499999999827</v>
      </c>
    </row>
    <row r="639" spans="1:19" x14ac:dyDescent="0.25">
      <c r="A639" s="4">
        <f>Sheet1!A639</f>
        <v>40014</v>
      </c>
      <c r="B639" s="5">
        <f>Sheet1!B639</f>
        <v>0.58333333333333337</v>
      </c>
      <c r="C639" s="6">
        <f>Sheet1!C639</f>
        <v>168.1</v>
      </c>
      <c r="D639" s="6">
        <f>Sheet1!D639</f>
        <v>171.9</v>
      </c>
      <c r="E639" s="6">
        <f>Sheet1!E639</f>
        <v>167.9</v>
      </c>
      <c r="F639" s="6">
        <f>Sheet1!F639</f>
        <v>171.4</v>
      </c>
      <c r="H639" s="6">
        <f ca="1">IF(ROW($H639)-1&lt;$I$1,$F639,AVERAGE($F639:OFFSET($F639,(($I$1-1)*-1),0)))</f>
        <v>166.6</v>
      </c>
      <c r="J639" s="6">
        <f ca="1">IF(ROW($J639)-1&lt;$K$1,$F639,AVERAGE($F639:OFFSET($F639,(($K$1-1)*-1),0)))</f>
        <v>169.42857142857142</v>
      </c>
      <c r="L639" s="7">
        <f t="shared" ca="1" si="54"/>
        <v>-1</v>
      </c>
      <c r="M639" s="7" t="str">
        <f t="shared" ca="1" si="55"/>
        <v/>
      </c>
      <c r="N639" s="6" t="str">
        <f t="shared" ca="1" si="56"/>
        <v/>
      </c>
      <c r="O639" s="6">
        <f t="shared" si="57"/>
        <v>3.5999999999999943</v>
      </c>
      <c r="Q639" s="6">
        <v>8.8499999999999943</v>
      </c>
      <c r="R639" s="9">
        <f t="shared" si="58"/>
        <v>3318.7499999999977</v>
      </c>
      <c r="S639" s="7">
        <f t="shared" si="59"/>
        <v>2643.7499999999827</v>
      </c>
    </row>
    <row r="640" spans="1:19" x14ac:dyDescent="0.25">
      <c r="A640" s="4">
        <f>Sheet1!A640</f>
        <v>40015</v>
      </c>
      <c r="B640" s="5">
        <f>Sheet1!B640</f>
        <v>0.58333333333333337</v>
      </c>
      <c r="C640" s="6">
        <f>Sheet1!C640</f>
        <v>170.75</v>
      </c>
      <c r="D640" s="6">
        <f>Sheet1!D640</f>
        <v>172.6</v>
      </c>
      <c r="E640" s="6">
        <f>Sheet1!E640</f>
        <v>170.2</v>
      </c>
      <c r="F640" s="6">
        <f>Sheet1!F640</f>
        <v>171.6</v>
      </c>
      <c r="H640" s="6">
        <f ca="1">IF(ROW($H640)-1&lt;$I$1,$F640,AVERAGE($F640:OFFSET($F640,(($I$1-1)*-1),0)))</f>
        <v>167.86666666666667</v>
      </c>
      <c r="J640" s="6">
        <f ca="1">IF(ROW($J640)-1&lt;$K$1,$F640,AVERAGE($F640:OFFSET($F640,(($K$1-1)*-1),0)))</f>
        <v>169.0732142857143</v>
      </c>
      <c r="L640" s="7">
        <f t="shared" ca="1" si="54"/>
        <v>-1</v>
      </c>
      <c r="M640" s="7" t="str">
        <f t="shared" ca="1" si="55"/>
        <v/>
      </c>
      <c r="N640" s="6" t="str">
        <f t="shared" ca="1" si="56"/>
        <v/>
      </c>
      <c r="O640" s="6">
        <f t="shared" si="57"/>
        <v>0.19999999999998863</v>
      </c>
      <c r="Q640" s="6">
        <v>8.6500000000000057</v>
      </c>
      <c r="R640" s="9">
        <f t="shared" si="58"/>
        <v>3243.7500000000023</v>
      </c>
      <c r="S640" s="7">
        <f t="shared" si="59"/>
        <v>2643.7499999999827</v>
      </c>
    </row>
    <row r="641" spans="1:19" x14ac:dyDescent="0.25">
      <c r="A641" s="4">
        <f>Sheet1!A641</f>
        <v>40016</v>
      </c>
      <c r="B641" s="5">
        <f>Sheet1!B641</f>
        <v>0.58333333333333337</v>
      </c>
      <c r="C641" s="6">
        <f>Sheet1!C641</f>
        <v>171.65</v>
      </c>
      <c r="D641" s="6">
        <f>Sheet1!D641</f>
        <v>172.4</v>
      </c>
      <c r="E641" s="6">
        <f>Sheet1!E641</f>
        <v>165.45</v>
      </c>
      <c r="F641" s="6">
        <f>Sheet1!F641</f>
        <v>169.2</v>
      </c>
      <c r="H641" s="6">
        <f ca="1">IF(ROW($H641)-1&lt;$I$1,$F641,AVERAGE($F641:OFFSET($F641,(($I$1-1)*-1),0)))</f>
        <v>168.63333333333333</v>
      </c>
      <c r="J641" s="6">
        <f ca="1">IF(ROW($J641)-1&lt;$K$1,$F641,AVERAGE($F641:OFFSET($F641,(($K$1-1)*-1),0)))</f>
        <v>168.58750000000001</v>
      </c>
      <c r="L641" s="7">
        <f t="shared" ca="1" si="54"/>
        <v>1</v>
      </c>
      <c r="M641" s="7">
        <f t="shared" ca="1" si="55"/>
        <v>1</v>
      </c>
      <c r="N641" s="6" t="str">
        <f t="shared" ca="1" si="56"/>
        <v/>
      </c>
      <c r="O641" s="6">
        <f t="shared" si="57"/>
        <v>-2.4000000000000057</v>
      </c>
      <c r="Q641" s="6">
        <v>11.050000000000011</v>
      </c>
      <c r="R641" s="9">
        <f t="shared" si="58"/>
        <v>4143.7500000000045</v>
      </c>
      <c r="S641" s="7">
        <f t="shared" si="59"/>
        <v>2643.7499999999827</v>
      </c>
    </row>
    <row r="642" spans="1:19" x14ac:dyDescent="0.25">
      <c r="A642" s="4">
        <f>Sheet1!A642</f>
        <v>40017</v>
      </c>
      <c r="B642" s="5">
        <f>Sheet1!B642</f>
        <v>0.58333333333333337</v>
      </c>
      <c r="C642" s="6">
        <f>Sheet1!C642</f>
        <v>169.6</v>
      </c>
      <c r="D642" s="6">
        <f>Sheet1!D642</f>
        <v>174.55</v>
      </c>
      <c r="E642" s="6">
        <f>Sheet1!E642</f>
        <v>168.75</v>
      </c>
      <c r="F642" s="6">
        <f>Sheet1!F642</f>
        <v>173.65</v>
      </c>
      <c r="H642" s="6">
        <f ca="1">IF(ROW($H642)-1&lt;$I$1,$F642,AVERAGE($F642:OFFSET($F642,(($I$1-1)*-1),0)))</f>
        <v>169.73333333333332</v>
      </c>
      <c r="J642" s="6">
        <f ca="1">IF(ROW($J642)-1&lt;$K$1,$F642,AVERAGE($F642:OFFSET($F642,(($K$1-1)*-1),0)))</f>
        <v>168.33392857142854</v>
      </c>
      <c r="L642" s="7">
        <f t="shared" ca="1" si="54"/>
        <v>1</v>
      </c>
      <c r="M642" s="7" t="str">
        <f t="shared" ca="1" si="55"/>
        <v/>
      </c>
      <c r="N642" s="6">
        <f t="shared" ca="1" si="56"/>
        <v>169.6</v>
      </c>
      <c r="O642" s="6">
        <f t="shared" si="57"/>
        <v>4.4500000000000171</v>
      </c>
      <c r="P642" s="6">
        <v>10.650000000000006</v>
      </c>
      <c r="Q642" s="6">
        <v>4.0500000000000114</v>
      </c>
      <c r="R642" s="9">
        <f t="shared" si="58"/>
        <v>1518.7500000000043</v>
      </c>
      <c r="S642" s="7">
        <f t="shared" si="59"/>
        <v>6637.4999999999854</v>
      </c>
    </row>
    <row r="643" spans="1:19" x14ac:dyDescent="0.25">
      <c r="A643" s="4">
        <f>Sheet1!A643</f>
        <v>40018</v>
      </c>
      <c r="B643" s="5">
        <f>Sheet1!B643</f>
        <v>0.58333333333333337</v>
      </c>
      <c r="C643" s="6">
        <f>Sheet1!C643</f>
        <v>173.65</v>
      </c>
      <c r="D643" s="6">
        <f>Sheet1!D643</f>
        <v>174.5</v>
      </c>
      <c r="E643" s="6">
        <f>Sheet1!E643</f>
        <v>172.5</v>
      </c>
      <c r="F643" s="6">
        <f>Sheet1!F643</f>
        <v>173.05</v>
      </c>
      <c r="H643" s="6">
        <f ca="1">IF(ROW($H643)-1&lt;$I$1,$F643,AVERAGE($F643:OFFSET($F643,(($I$1-1)*-1),0)))</f>
        <v>171.11666666666667</v>
      </c>
      <c r="J643" s="6">
        <f ca="1">IF(ROW($J643)-1&lt;$K$1,$F643,AVERAGE($F643:OFFSET($F643,(($K$1-1)*-1),0)))</f>
        <v>168.35357142857143</v>
      </c>
      <c r="L643" s="7">
        <f t="shared" ref="L643:L706" ca="1" si="60">IF(ROW($L643)&gt;($K$1),IF($H643&gt;$J643,1,IF($H643&lt;$J643,-1,$L642*-1)),0)</f>
        <v>1</v>
      </c>
      <c r="M643" s="7" t="str">
        <f t="shared" ca="1" si="55"/>
        <v/>
      </c>
      <c r="N643" s="6" t="str">
        <f t="shared" ca="1" si="56"/>
        <v/>
      </c>
      <c r="O643" s="6">
        <f t="shared" si="57"/>
        <v>-0.59999999999999432</v>
      </c>
      <c r="Q643" s="6">
        <v>3.4500000000000171</v>
      </c>
      <c r="R643" s="9">
        <f t="shared" si="58"/>
        <v>1293.7500000000064</v>
      </c>
      <c r="S643" s="7">
        <f t="shared" si="59"/>
        <v>6637.4999999999854</v>
      </c>
    </row>
    <row r="644" spans="1:19" x14ac:dyDescent="0.25">
      <c r="A644" s="4">
        <f>Sheet1!A644</f>
        <v>40021</v>
      </c>
      <c r="B644" s="5">
        <f>Sheet1!B644</f>
        <v>0.58333333333333337</v>
      </c>
      <c r="C644" s="6">
        <f>Sheet1!C644</f>
        <v>173.1</v>
      </c>
      <c r="D644" s="6">
        <f>Sheet1!D644</f>
        <v>174.1</v>
      </c>
      <c r="E644" s="6">
        <f>Sheet1!E644</f>
        <v>172</v>
      </c>
      <c r="F644" s="6">
        <f>Sheet1!F644</f>
        <v>173.55</v>
      </c>
      <c r="H644" s="6">
        <f ca="1">IF(ROW($H644)-1&lt;$I$1,$F644,AVERAGE($F644:OFFSET($F644,(($I$1-1)*-1),0)))</f>
        <v>172.07500000000002</v>
      </c>
      <c r="J644" s="6">
        <f ca="1">IF(ROW($J644)-1&lt;$K$1,$F644,AVERAGE($F644:OFFSET($F644,(($K$1-1)*-1),0)))</f>
        <v>168.35</v>
      </c>
      <c r="L644" s="7">
        <f t="shared" ca="1" si="60"/>
        <v>1</v>
      </c>
      <c r="M644" s="7" t="str">
        <f t="shared" ref="M644:M707" ca="1" si="61">IF(L644&lt;&gt;L643,L644,"")</f>
        <v/>
      </c>
      <c r="N644" s="6" t="str">
        <f t="shared" ref="N644:N707" ca="1" si="62">IF(M643&lt;&gt;"",C644,"")</f>
        <v/>
      </c>
      <c r="O644" s="6">
        <f t="shared" ref="O644:O707" si="63">F644-F643</f>
        <v>0.5</v>
      </c>
      <c r="Q644" s="6">
        <v>3.9500000000000171</v>
      </c>
      <c r="R644" s="9">
        <f t="shared" ref="R644:R707" si="64">IF(Q644="","",Q644*375)</f>
        <v>1481.2500000000064</v>
      </c>
      <c r="S644" s="7">
        <f t="shared" si="59"/>
        <v>6637.4999999999854</v>
      </c>
    </row>
    <row r="645" spans="1:19" x14ac:dyDescent="0.25">
      <c r="A645" s="4">
        <f>Sheet1!A645</f>
        <v>40022</v>
      </c>
      <c r="B645" s="5">
        <f>Sheet1!B645</f>
        <v>0.58333333333333337</v>
      </c>
      <c r="C645" s="6">
        <f>Sheet1!C645</f>
        <v>174.1</v>
      </c>
      <c r="D645" s="6">
        <f>Sheet1!D645</f>
        <v>175.4</v>
      </c>
      <c r="E645" s="6">
        <f>Sheet1!E645</f>
        <v>169.4</v>
      </c>
      <c r="F645" s="6">
        <f>Sheet1!F645</f>
        <v>171.9</v>
      </c>
      <c r="H645" s="6">
        <f ca="1">IF(ROW($H645)-1&lt;$I$1,$F645,AVERAGE($F645:OFFSET($F645,(($I$1-1)*-1),0)))</f>
        <v>172.15833333333333</v>
      </c>
      <c r="J645" s="6">
        <f ca="1">IF(ROW($J645)-1&lt;$K$1,$F645,AVERAGE($F645:OFFSET($F645,(($K$1-1)*-1),0)))</f>
        <v>168.41964285714286</v>
      </c>
      <c r="L645" s="7">
        <f t="shared" ca="1" si="60"/>
        <v>1</v>
      </c>
      <c r="M645" s="7" t="str">
        <f t="shared" ca="1" si="61"/>
        <v/>
      </c>
      <c r="N645" s="6" t="str">
        <f t="shared" ca="1" si="62"/>
        <v/>
      </c>
      <c r="O645" s="6">
        <f t="shared" si="63"/>
        <v>-1.6500000000000057</v>
      </c>
      <c r="Q645" s="6">
        <v>2.3000000000000114</v>
      </c>
      <c r="R645" s="9">
        <f t="shared" si="64"/>
        <v>862.50000000000432</v>
      </c>
      <c r="S645" s="7">
        <f t="shared" si="59"/>
        <v>6637.4999999999854</v>
      </c>
    </row>
    <row r="646" spans="1:19" x14ac:dyDescent="0.25">
      <c r="A646" s="4">
        <f>Sheet1!A646</f>
        <v>40023</v>
      </c>
      <c r="B646" s="5">
        <f>Sheet1!B646</f>
        <v>0.58333333333333337</v>
      </c>
      <c r="C646" s="6">
        <f>Sheet1!C646</f>
        <v>171.5</v>
      </c>
      <c r="D646" s="6">
        <f>Sheet1!D646</f>
        <v>173.5</v>
      </c>
      <c r="E646" s="6">
        <f>Sheet1!E646</f>
        <v>170.35</v>
      </c>
      <c r="F646" s="6">
        <f>Sheet1!F646</f>
        <v>171.95</v>
      </c>
      <c r="H646" s="6">
        <f ca="1">IF(ROW($H646)-1&lt;$I$1,$F646,AVERAGE($F646:OFFSET($F646,(($I$1-1)*-1),0)))</f>
        <v>172.21666666666667</v>
      </c>
      <c r="J646" s="6">
        <f ca="1">IF(ROW($J646)-1&lt;$K$1,$F646,AVERAGE($F646:OFFSET($F646,(($K$1-1)*-1),0)))</f>
        <v>168.41964285714286</v>
      </c>
      <c r="L646" s="7">
        <f t="shared" ca="1" si="60"/>
        <v>1</v>
      </c>
      <c r="M646" s="7" t="str">
        <f t="shared" ca="1" si="61"/>
        <v/>
      </c>
      <c r="N646" s="6" t="str">
        <f t="shared" ca="1" si="62"/>
        <v/>
      </c>
      <c r="O646" s="6">
        <f t="shared" si="63"/>
        <v>4.9999999999982947E-2</v>
      </c>
      <c r="Q646" s="6">
        <v>2.3499999999999943</v>
      </c>
      <c r="R646" s="9">
        <f t="shared" si="64"/>
        <v>881.24999999999784</v>
      </c>
      <c r="S646" s="7">
        <f t="shared" si="59"/>
        <v>6637.4999999999854</v>
      </c>
    </row>
    <row r="647" spans="1:19" x14ac:dyDescent="0.25">
      <c r="A647" s="4">
        <f>Sheet1!A647</f>
        <v>40024</v>
      </c>
      <c r="B647" s="5">
        <f>Sheet1!B647</f>
        <v>0.58333333333333337</v>
      </c>
      <c r="C647" s="6">
        <f>Sheet1!C647</f>
        <v>172.5</v>
      </c>
      <c r="D647" s="6">
        <f>Sheet1!D647</f>
        <v>175</v>
      </c>
      <c r="E647" s="6">
        <f>Sheet1!E647</f>
        <v>172.2</v>
      </c>
      <c r="F647" s="6">
        <f>Sheet1!F647</f>
        <v>174.05</v>
      </c>
      <c r="H647" s="6">
        <f ca="1">IF(ROW($H647)-1&lt;$I$1,$F647,AVERAGE($F647:OFFSET($F647,(($I$1-1)*-1),0)))</f>
        <v>173.02499999999998</v>
      </c>
      <c r="J647" s="6">
        <f ca="1">IF(ROW($J647)-1&lt;$K$1,$F647,AVERAGE($F647:OFFSET($F647,(($K$1-1)*-1),0)))</f>
        <v>168.60714285714286</v>
      </c>
      <c r="L647" s="7">
        <f t="shared" ca="1" si="60"/>
        <v>1</v>
      </c>
      <c r="M647" s="7" t="str">
        <f t="shared" ca="1" si="61"/>
        <v/>
      </c>
      <c r="N647" s="6" t="str">
        <f t="shared" ca="1" si="62"/>
        <v/>
      </c>
      <c r="O647" s="6">
        <f t="shared" si="63"/>
        <v>2.1000000000000227</v>
      </c>
      <c r="Q647" s="6">
        <v>4.4500000000000171</v>
      </c>
      <c r="R647" s="9">
        <f t="shared" si="64"/>
        <v>1668.7500000000064</v>
      </c>
      <c r="S647" s="7">
        <f t="shared" si="59"/>
        <v>6637.4999999999854</v>
      </c>
    </row>
    <row r="648" spans="1:19" x14ac:dyDescent="0.25">
      <c r="A648" s="4">
        <f>Sheet1!A648</f>
        <v>40025</v>
      </c>
      <c r="B648" s="5">
        <f>Sheet1!B648</f>
        <v>0.58333333333333337</v>
      </c>
      <c r="C648" s="6">
        <f>Sheet1!C648</f>
        <v>174.2</v>
      </c>
      <c r="D648" s="6">
        <f>Sheet1!D648</f>
        <v>177.1</v>
      </c>
      <c r="E648" s="6">
        <f>Sheet1!E648</f>
        <v>172.7</v>
      </c>
      <c r="F648" s="6">
        <f>Sheet1!F648</f>
        <v>176.95</v>
      </c>
      <c r="H648" s="6">
        <f ca="1">IF(ROW($H648)-1&lt;$I$1,$F648,AVERAGE($F648:OFFSET($F648,(($I$1-1)*-1),0)))</f>
        <v>173.57500000000002</v>
      </c>
      <c r="J648" s="6">
        <f ca="1">IF(ROW($J648)-1&lt;$K$1,$F648,AVERAGE($F648:OFFSET($F648,(($K$1-1)*-1),0)))</f>
        <v>168.87142857142859</v>
      </c>
      <c r="L648" s="7">
        <f t="shared" ca="1" si="60"/>
        <v>1</v>
      </c>
      <c r="M648" s="7" t="str">
        <f t="shared" ca="1" si="61"/>
        <v/>
      </c>
      <c r="N648" s="6" t="str">
        <f t="shared" ca="1" si="62"/>
        <v/>
      </c>
      <c r="O648" s="6">
        <f t="shared" si="63"/>
        <v>2.8999999999999773</v>
      </c>
      <c r="Q648" s="6">
        <v>7.3499999999999943</v>
      </c>
      <c r="R648" s="9">
        <f t="shared" si="64"/>
        <v>2756.2499999999977</v>
      </c>
      <c r="S648" s="7">
        <f t="shared" si="59"/>
        <v>6637.4999999999854</v>
      </c>
    </row>
    <row r="649" spans="1:19" x14ac:dyDescent="0.25">
      <c r="A649" s="4">
        <f>Sheet1!A649</f>
        <v>40028</v>
      </c>
      <c r="B649" s="5">
        <f>Sheet1!B649</f>
        <v>0.58333333333333337</v>
      </c>
      <c r="C649" s="6">
        <f>Sheet1!C649</f>
        <v>177.25</v>
      </c>
      <c r="D649" s="6">
        <f>Sheet1!D649</f>
        <v>182.5</v>
      </c>
      <c r="E649" s="6">
        <f>Sheet1!E649</f>
        <v>177.15</v>
      </c>
      <c r="F649" s="6">
        <f>Sheet1!F649</f>
        <v>182.15</v>
      </c>
      <c r="H649" s="6">
        <f ca="1">IF(ROW($H649)-1&lt;$I$1,$F649,AVERAGE($F649:OFFSET($F649,(($I$1-1)*-1),0)))</f>
        <v>175.0916666666667</v>
      </c>
      <c r="J649" s="6">
        <f ca="1">IF(ROW($J649)-1&lt;$K$1,$F649,AVERAGE($F649:OFFSET($F649,(($K$1-1)*-1),0)))</f>
        <v>169.375</v>
      </c>
      <c r="L649" s="7">
        <f t="shared" ca="1" si="60"/>
        <v>1</v>
      </c>
      <c r="M649" s="7" t="str">
        <f t="shared" ca="1" si="61"/>
        <v/>
      </c>
      <c r="N649" s="6" t="str">
        <f t="shared" ca="1" si="62"/>
        <v/>
      </c>
      <c r="O649" s="6">
        <f t="shared" si="63"/>
        <v>5.2000000000000171</v>
      </c>
      <c r="Q649" s="6">
        <v>12.550000000000011</v>
      </c>
      <c r="R649" s="9">
        <f t="shared" si="64"/>
        <v>4706.2500000000045</v>
      </c>
      <c r="S649" s="7">
        <f t="shared" si="59"/>
        <v>6637.4999999999854</v>
      </c>
    </row>
    <row r="650" spans="1:19" x14ac:dyDescent="0.25">
      <c r="A650" s="4">
        <f>Sheet1!A650</f>
        <v>40029</v>
      </c>
      <c r="B650" s="5">
        <f>Sheet1!B650</f>
        <v>0.58333333333333337</v>
      </c>
      <c r="C650" s="6">
        <f>Sheet1!C650</f>
        <v>181.7</v>
      </c>
      <c r="D650" s="6">
        <f>Sheet1!D650</f>
        <v>183.2</v>
      </c>
      <c r="E650" s="6">
        <f>Sheet1!E650</f>
        <v>180.4</v>
      </c>
      <c r="F650" s="6">
        <f>Sheet1!F650</f>
        <v>182.1</v>
      </c>
      <c r="H650" s="6">
        <f ca="1">IF(ROW($H650)-1&lt;$I$1,$F650,AVERAGE($F650:OFFSET($F650,(($I$1-1)*-1),0)))</f>
        <v>176.51666666666668</v>
      </c>
      <c r="J650" s="6">
        <f ca="1">IF(ROW($J650)-1&lt;$K$1,$F650,AVERAGE($F650:OFFSET($F650,(($K$1-1)*-1),0)))</f>
        <v>169.86964285714288</v>
      </c>
      <c r="L650" s="7">
        <f t="shared" ca="1" si="60"/>
        <v>1</v>
      </c>
      <c r="M650" s="7" t="str">
        <f t="shared" ca="1" si="61"/>
        <v/>
      </c>
      <c r="N650" s="6" t="str">
        <f t="shared" ca="1" si="62"/>
        <v/>
      </c>
      <c r="O650" s="6">
        <f t="shared" si="63"/>
        <v>-5.0000000000011369E-2</v>
      </c>
      <c r="Q650" s="6">
        <v>12.5</v>
      </c>
      <c r="R650" s="9">
        <f t="shared" si="64"/>
        <v>4687.5</v>
      </c>
      <c r="S650" s="7">
        <f t="shared" si="59"/>
        <v>6637.4999999999854</v>
      </c>
    </row>
    <row r="651" spans="1:19" x14ac:dyDescent="0.25">
      <c r="A651" s="4">
        <f>Sheet1!A651</f>
        <v>40030</v>
      </c>
      <c r="B651" s="5">
        <f>Sheet1!B651</f>
        <v>0.58333333333333337</v>
      </c>
      <c r="C651" s="6">
        <f>Sheet1!C651</f>
        <v>182.1</v>
      </c>
      <c r="D651" s="6">
        <f>Sheet1!D651</f>
        <v>182.95</v>
      </c>
      <c r="E651" s="6">
        <f>Sheet1!E651</f>
        <v>179.7</v>
      </c>
      <c r="F651" s="6">
        <f>Sheet1!F651</f>
        <v>180.6</v>
      </c>
      <c r="H651" s="6">
        <f ca="1">IF(ROW($H651)-1&lt;$I$1,$F651,AVERAGE($F651:OFFSET($F651,(($I$1-1)*-1),0)))</f>
        <v>177.96666666666667</v>
      </c>
      <c r="J651" s="6">
        <f ca="1">IF(ROW($J651)-1&lt;$K$1,$F651,AVERAGE($F651:OFFSET($F651,(($K$1-1)*-1),0)))</f>
        <v>170.27142857142857</v>
      </c>
      <c r="L651" s="7">
        <f t="shared" ca="1" si="60"/>
        <v>1</v>
      </c>
      <c r="M651" s="7" t="str">
        <f t="shared" ca="1" si="61"/>
        <v/>
      </c>
      <c r="N651" s="6" t="str">
        <f t="shared" ca="1" si="62"/>
        <v/>
      </c>
      <c r="O651" s="6">
        <f t="shared" si="63"/>
        <v>-1.5</v>
      </c>
      <c r="Q651" s="6">
        <v>11</v>
      </c>
      <c r="R651" s="9">
        <f t="shared" si="64"/>
        <v>4125</v>
      </c>
      <c r="S651" s="7">
        <f t="shared" si="59"/>
        <v>6637.4999999999854</v>
      </c>
    </row>
    <row r="652" spans="1:19" x14ac:dyDescent="0.25">
      <c r="A652" s="4">
        <f>Sheet1!A652</f>
        <v>40031</v>
      </c>
      <c r="B652" s="5">
        <f>Sheet1!B652</f>
        <v>0.58333333333333337</v>
      </c>
      <c r="C652" s="6">
        <f>Sheet1!C652</f>
        <v>181.3</v>
      </c>
      <c r="D652" s="6">
        <f>Sheet1!D652</f>
        <v>183.85</v>
      </c>
      <c r="E652" s="6">
        <f>Sheet1!E652</f>
        <v>180.6</v>
      </c>
      <c r="F652" s="6">
        <f>Sheet1!F652</f>
        <v>183.8</v>
      </c>
      <c r="H652" s="6">
        <f ca="1">IF(ROW($H652)-1&lt;$I$1,$F652,AVERAGE($F652:OFFSET($F652,(($I$1-1)*-1),0)))</f>
        <v>179.94166666666669</v>
      </c>
      <c r="J652" s="6">
        <f ca="1">IF(ROW($J652)-1&lt;$K$1,$F652,AVERAGE($F652:OFFSET($F652,(($K$1-1)*-1),0)))</f>
        <v>170.82500000000002</v>
      </c>
      <c r="L652" s="7">
        <f t="shared" ca="1" si="60"/>
        <v>1</v>
      </c>
      <c r="M652" s="7" t="str">
        <f t="shared" ca="1" si="61"/>
        <v/>
      </c>
      <c r="N652" s="6" t="str">
        <f t="shared" ca="1" si="62"/>
        <v/>
      </c>
      <c r="O652" s="6">
        <f t="shared" si="63"/>
        <v>3.2000000000000171</v>
      </c>
      <c r="Q652" s="6">
        <v>14.200000000000017</v>
      </c>
      <c r="R652" s="9">
        <f t="shared" si="64"/>
        <v>5325.0000000000064</v>
      </c>
      <c r="S652" s="7">
        <f t="shared" si="59"/>
        <v>6637.4999999999854</v>
      </c>
    </row>
    <row r="653" spans="1:19" x14ac:dyDescent="0.25">
      <c r="A653" s="4">
        <f>Sheet1!A653</f>
        <v>40032</v>
      </c>
      <c r="B653" s="5">
        <f>Sheet1!B653</f>
        <v>0.58333333333333337</v>
      </c>
      <c r="C653" s="6">
        <f>Sheet1!C653</f>
        <v>183.5</v>
      </c>
      <c r="D653" s="6">
        <f>Sheet1!D653</f>
        <v>187.15</v>
      </c>
      <c r="E653" s="6">
        <f>Sheet1!E653</f>
        <v>182.2</v>
      </c>
      <c r="F653" s="6">
        <f>Sheet1!F653</f>
        <v>187</v>
      </c>
      <c r="H653" s="6">
        <f ca="1">IF(ROW($H653)-1&lt;$I$1,$F653,AVERAGE($F653:OFFSET($F653,(($I$1-1)*-1),0)))</f>
        <v>182.10000000000002</v>
      </c>
      <c r="J653" s="6">
        <f ca="1">IF(ROW($J653)-1&lt;$K$1,$F653,AVERAGE($F653:OFFSET($F653,(($K$1-1)*-1),0)))</f>
        <v>171.45535714285717</v>
      </c>
      <c r="L653" s="7">
        <f t="shared" ca="1" si="60"/>
        <v>1</v>
      </c>
      <c r="M653" s="7" t="str">
        <f t="shared" ca="1" si="61"/>
        <v/>
      </c>
      <c r="N653" s="6" t="str">
        <f t="shared" ca="1" si="62"/>
        <v/>
      </c>
      <c r="O653" s="6">
        <f t="shared" si="63"/>
        <v>3.1999999999999886</v>
      </c>
      <c r="Q653" s="6">
        <v>17.400000000000006</v>
      </c>
      <c r="R653" s="9">
        <f t="shared" si="64"/>
        <v>6525.0000000000018</v>
      </c>
      <c r="S653" s="7">
        <f t="shared" si="59"/>
        <v>6637.4999999999854</v>
      </c>
    </row>
    <row r="654" spans="1:19" x14ac:dyDescent="0.25">
      <c r="A654" s="4">
        <f>Sheet1!A654</f>
        <v>40035</v>
      </c>
      <c r="B654" s="5">
        <f>Sheet1!B654</f>
        <v>0.58333333333333337</v>
      </c>
      <c r="C654" s="6">
        <f>Sheet1!C654</f>
        <v>186.45</v>
      </c>
      <c r="D654" s="6">
        <f>Sheet1!D654</f>
        <v>188.1</v>
      </c>
      <c r="E654" s="6">
        <f>Sheet1!E654</f>
        <v>184</v>
      </c>
      <c r="F654" s="6">
        <f>Sheet1!F654</f>
        <v>188.1</v>
      </c>
      <c r="H654" s="6">
        <f ca="1">IF(ROW($H654)-1&lt;$I$1,$F654,AVERAGE($F654:OFFSET($F654,(($I$1-1)*-1),0)))</f>
        <v>183.95833333333334</v>
      </c>
      <c r="J654" s="6">
        <f ca="1">IF(ROW($J654)-1&lt;$K$1,$F654,AVERAGE($F654:OFFSET($F654,(($K$1-1)*-1),0)))</f>
        <v>172.13750000000002</v>
      </c>
      <c r="L654" s="7">
        <f t="shared" ca="1" si="60"/>
        <v>1</v>
      </c>
      <c r="M654" s="7" t="str">
        <f t="shared" ca="1" si="61"/>
        <v/>
      </c>
      <c r="N654" s="6" t="str">
        <f t="shared" ca="1" si="62"/>
        <v/>
      </c>
      <c r="O654" s="6">
        <f t="shared" si="63"/>
        <v>1.0999999999999943</v>
      </c>
      <c r="Q654" s="6">
        <v>18.5</v>
      </c>
      <c r="R654" s="9">
        <f t="shared" si="64"/>
        <v>6937.5</v>
      </c>
      <c r="S654" s="7">
        <f t="shared" si="59"/>
        <v>6637.4999999999854</v>
      </c>
    </row>
    <row r="655" spans="1:19" x14ac:dyDescent="0.25">
      <c r="A655" s="4">
        <f>Sheet1!A655</f>
        <v>40036</v>
      </c>
      <c r="B655" s="5">
        <f>Sheet1!B655</f>
        <v>0.58333333333333337</v>
      </c>
      <c r="C655" s="6">
        <f>Sheet1!C655</f>
        <v>184.75</v>
      </c>
      <c r="D655" s="6">
        <f>Sheet1!D655</f>
        <v>186.45</v>
      </c>
      <c r="E655" s="6">
        <f>Sheet1!E655</f>
        <v>183.2</v>
      </c>
      <c r="F655" s="6">
        <f>Sheet1!F655</f>
        <v>186</v>
      </c>
      <c r="H655" s="6">
        <f ca="1">IF(ROW($H655)-1&lt;$I$1,$F655,AVERAGE($F655:OFFSET($F655,(($I$1-1)*-1),0)))</f>
        <v>184.6</v>
      </c>
      <c r="J655" s="6">
        <f ca="1">IF(ROW($J655)-1&lt;$K$1,$F655,AVERAGE($F655:OFFSET($F655,(($K$1-1)*-1),0)))</f>
        <v>172.77500000000003</v>
      </c>
      <c r="L655" s="7">
        <f t="shared" ca="1" si="60"/>
        <v>1</v>
      </c>
      <c r="M655" s="7" t="str">
        <f t="shared" ca="1" si="61"/>
        <v/>
      </c>
      <c r="N655" s="6" t="str">
        <f t="shared" ca="1" si="62"/>
        <v/>
      </c>
      <c r="O655" s="6">
        <f t="shared" si="63"/>
        <v>-2.0999999999999943</v>
      </c>
      <c r="Q655" s="6">
        <v>16.400000000000006</v>
      </c>
      <c r="R655" s="9">
        <f t="shared" si="64"/>
        <v>6150.0000000000018</v>
      </c>
      <c r="S655" s="7">
        <f t="shared" si="59"/>
        <v>6637.4999999999854</v>
      </c>
    </row>
    <row r="656" spans="1:19" x14ac:dyDescent="0.25">
      <c r="A656" s="4">
        <f>Sheet1!A656</f>
        <v>40037</v>
      </c>
      <c r="B656" s="5">
        <f>Sheet1!B656</f>
        <v>0.58333333333333337</v>
      </c>
      <c r="C656" s="6">
        <f>Sheet1!C656</f>
        <v>185.35</v>
      </c>
      <c r="D656" s="6">
        <f>Sheet1!D656</f>
        <v>186.4</v>
      </c>
      <c r="E656" s="6">
        <f>Sheet1!E656</f>
        <v>184.05</v>
      </c>
      <c r="F656" s="6">
        <f>Sheet1!F656</f>
        <v>184.65</v>
      </c>
      <c r="H656" s="6">
        <f ca="1">IF(ROW($H656)-1&lt;$I$1,$F656,AVERAGE($F656:OFFSET($F656,(($I$1-1)*-1),0)))</f>
        <v>185.02500000000001</v>
      </c>
      <c r="J656" s="6">
        <f ca="1">IF(ROW($J656)-1&lt;$K$1,$F656,AVERAGE($F656:OFFSET($F656,(($K$1-1)*-1),0)))</f>
        <v>173.40892857142856</v>
      </c>
      <c r="L656" s="7">
        <f t="shared" ca="1" si="60"/>
        <v>1</v>
      </c>
      <c r="M656" s="7" t="str">
        <f t="shared" ca="1" si="61"/>
        <v/>
      </c>
      <c r="N656" s="6" t="str">
        <f t="shared" ca="1" si="62"/>
        <v/>
      </c>
      <c r="O656" s="6">
        <f t="shared" si="63"/>
        <v>-1.3499999999999943</v>
      </c>
      <c r="Q656" s="6">
        <v>15.050000000000011</v>
      </c>
      <c r="R656" s="9">
        <f t="shared" si="64"/>
        <v>5643.7500000000045</v>
      </c>
      <c r="S656" s="7">
        <f t="shared" ref="S656:S719" si="65">S655+(P656*375)</f>
        <v>6637.4999999999854</v>
      </c>
    </row>
    <row r="657" spans="1:19" x14ac:dyDescent="0.25">
      <c r="A657" s="4">
        <f>Sheet1!A657</f>
        <v>40038</v>
      </c>
      <c r="B657" s="5">
        <f>Sheet1!B657</f>
        <v>0.58333333333333337</v>
      </c>
      <c r="C657" s="6">
        <f>Sheet1!C657</f>
        <v>184.05</v>
      </c>
      <c r="D657" s="6">
        <f>Sheet1!D657</f>
        <v>185.35</v>
      </c>
      <c r="E657" s="6">
        <f>Sheet1!E657</f>
        <v>180.9</v>
      </c>
      <c r="F657" s="6">
        <f>Sheet1!F657</f>
        <v>182</v>
      </c>
      <c r="H657" s="6">
        <f ca="1">IF(ROW($H657)-1&lt;$I$1,$F657,AVERAGE($F657:OFFSET($F657,(($I$1-1)*-1),0)))</f>
        <v>185.25833333333333</v>
      </c>
      <c r="J657" s="6">
        <f ca="1">IF(ROW($J657)-1&lt;$K$1,$F657,AVERAGE($F657:OFFSET($F657,(($K$1-1)*-1),0)))</f>
        <v>173.9375</v>
      </c>
      <c r="L657" s="7">
        <f t="shared" ca="1" si="60"/>
        <v>1</v>
      </c>
      <c r="M657" s="7" t="str">
        <f t="shared" ca="1" si="61"/>
        <v/>
      </c>
      <c r="N657" s="6" t="str">
        <f t="shared" ca="1" si="62"/>
        <v/>
      </c>
      <c r="O657" s="6">
        <f t="shared" si="63"/>
        <v>-2.6500000000000057</v>
      </c>
      <c r="Q657" s="6">
        <v>12.400000000000006</v>
      </c>
      <c r="R657" s="9">
        <f t="shared" si="64"/>
        <v>4650.0000000000018</v>
      </c>
      <c r="S657" s="7">
        <f t="shared" si="65"/>
        <v>6637.4999999999854</v>
      </c>
    </row>
    <row r="658" spans="1:19" x14ac:dyDescent="0.25">
      <c r="A658" s="4">
        <f>Sheet1!A658</f>
        <v>40039</v>
      </c>
      <c r="B658" s="5">
        <f>Sheet1!B658</f>
        <v>0.58333333333333337</v>
      </c>
      <c r="C658" s="6">
        <f>Sheet1!C658</f>
        <v>181.45</v>
      </c>
      <c r="D658" s="6">
        <f>Sheet1!D658</f>
        <v>182.8</v>
      </c>
      <c r="E658" s="6">
        <f>Sheet1!E658</f>
        <v>177.5</v>
      </c>
      <c r="F658" s="6">
        <f>Sheet1!F658</f>
        <v>178.3</v>
      </c>
      <c r="H658" s="6">
        <f ca="1">IF(ROW($H658)-1&lt;$I$1,$F658,AVERAGE($F658:OFFSET($F658,(($I$1-1)*-1),0)))</f>
        <v>184.34166666666667</v>
      </c>
      <c r="J658" s="6">
        <f ca="1">IF(ROW($J658)-1&lt;$K$1,$F658,AVERAGE($F658:OFFSET($F658,(($K$1-1)*-1),0)))</f>
        <v>174.38392857142858</v>
      </c>
      <c r="L658" s="7">
        <f t="shared" ca="1" si="60"/>
        <v>1</v>
      </c>
      <c r="M658" s="7" t="str">
        <f t="shared" ca="1" si="61"/>
        <v/>
      </c>
      <c r="N658" s="6" t="str">
        <f t="shared" ca="1" si="62"/>
        <v/>
      </c>
      <c r="O658" s="6">
        <f t="shared" si="63"/>
        <v>-3.6999999999999886</v>
      </c>
      <c r="Q658" s="6">
        <v>8.7000000000000171</v>
      </c>
      <c r="R658" s="9">
        <f t="shared" si="64"/>
        <v>3262.5000000000064</v>
      </c>
      <c r="S658" s="7">
        <f t="shared" si="65"/>
        <v>6637.4999999999854</v>
      </c>
    </row>
    <row r="659" spans="1:19" x14ac:dyDescent="0.25">
      <c r="A659" s="4">
        <f>Sheet1!A659</f>
        <v>40042</v>
      </c>
      <c r="B659" s="5">
        <f>Sheet1!B659</f>
        <v>0.58333333333333337</v>
      </c>
      <c r="C659" s="6">
        <f>Sheet1!C659</f>
        <v>177.45</v>
      </c>
      <c r="D659" s="6">
        <f>Sheet1!D659</f>
        <v>177.45</v>
      </c>
      <c r="E659" s="6">
        <f>Sheet1!E659</f>
        <v>173.65</v>
      </c>
      <c r="F659" s="6">
        <f>Sheet1!F659</f>
        <v>174.9</v>
      </c>
      <c r="H659" s="6">
        <f ca="1">IF(ROW($H659)-1&lt;$I$1,$F659,AVERAGE($F659:OFFSET($F659,(($I$1-1)*-1),0)))</f>
        <v>182.32500000000002</v>
      </c>
      <c r="J659" s="6">
        <f ca="1">IF(ROW($J659)-1&lt;$K$1,$F659,AVERAGE($F659:OFFSET($F659,(($K$1-1)*-1),0)))</f>
        <v>174.76249999999999</v>
      </c>
      <c r="L659" s="7">
        <f t="shared" ca="1" si="60"/>
        <v>1</v>
      </c>
      <c r="M659" s="7" t="str">
        <f t="shared" ca="1" si="61"/>
        <v/>
      </c>
      <c r="N659" s="6" t="str">
        <f t="shared" ca="1" si="62"/>
        <v/>
      </c>
      <c r="O659" s="6">
        <f t="shared" si="63"/>
        <v>-3.4000000000000057</v>
      </c>
      <c r="Q659" s="6">
        <v>5.3000000000000114</v>
      </c>
      <c r="R659" s="9">
        <f t="shared" si="64"/>
        <v>1987.5000000000043</v>
      </c>
      <c r="S659" s="7">
        <f t="shared" si="65"/>
        <v>6637.4999999999854</v>
      </c>
    </row>
    <row r="660" spans="1:19" x14ac:dyDescent="0.25">
      <c r="A660" s="4">
        <f>Sheet1!A660</f>
        <v>40043</v>
      </c>
      <c r="B660" s="5">
        <f>Sheet1!B660</f>
        <v>0.58333333333333337</v>
      </c>
      <c r="C660" s="6">
        <f>Sheet1!C660</f>
        <v>174.95</v>
      </c>
      <c r="D660" s="6">
        <f>Sheet1!D660</f>
        <v>175.5</v>
      </c>
      <c r="E660" s="6">
        <f>Sheet1!E660</f>
        <v>172.2</v>
      </c>
      <c r="F660" s="6">
        <f>Sheet1!F660</f>
        <v>174.2</v>
      </c>
      <c r="H660" s="6">
        <f ca="1">IF(ROW($H660)-1&lt;$I$1,$F660,AVERAGE($F660:OFFSET($F660,(($I$1-1)*-1),0)))</f>
        <v>180.00833333333333</v>
      </c>
      <c r="J660" s="6">
        <f ca="1">IF(ROW($J660)-1&lt;$K$1,$F660,AVERAGE($F660:OFFSET($F660,(($K$1-1)*-1),0)))</f>
        <v>175.09999999999997</v>
      </c>
      <c r="L660" s="7">
        <f t="shared" ca="1" si="60"/>
        <v>1</v>
      </c>
      <c r="M660" s="7" t="str">
        <f t="shared" ca="1" si="61"/>
        <v/>
      </c>
      <c r="N660" s="6" t="str">
        <f t="shared" ca="1" si="62"/>
        <v/>
      </c>
      <c r="O660" s="6">
        <f t="shared" si="63"/>
        <v>-0.70000000000001705</v>
      </c>
      <c r="Q660" s="6">
        <v>4.5999999999999943</v>
      </c>
      <c r="R660" s="9">
        <f t="shared" si="64"/>
        <v>1724.999999999998</v>
      </c>
      <c r="S660" s="7">
        <f t="shared" si="65"/>
        <v>6637.4999999999854</v>
      </c>
    </row>
    <row r="661" spans="1:19" x14ac:dyDescent="0.25">
      <c r="A661" s="4">
        <f>Sheet1!A661</f>
        <v>40044</v>
      </c>
      <c r="B661" s="5">
        <f>Sheet1!B661</f>
        <v>0.58333333333333337</v>
      </c>
      <c r="C661" s="6">
        <f>Sheet1!C661</f>
        <v>173.95</v>
      </c>
      <c r="D661" s="6">
        <f>Sheet1!D661</f>
        <v>174.85</v>
      </c>
      <c r="E661" s="6">
        <f>Sheet1!E661</f>
        <v>172.65</v>
      </c>
      <c r="F661" s="6">
        <f>Sheet1!F661</f>
        <v>174.65</v>
      </c>
      <c r="H661" s="6">
        <f ca="1">IF(ROW($H661)-1&lt;$I$1,$F661,AVERAGE($F661:OFFSET($F661,(($I$1-1)*-1),0)))</f>
        <v>178.11666666666667</v>
      </c>
      <c r="J661" s="6">
        <f ca="1">IF(ROW($J661)-1&lt;$K$1,$F661,AVERAGE($F661:OFFSET($F661,(($K$1-1)*-1),0)))</f>
        <v>175.49821428571425</v>
      </c>
      <c r="L661" s="7">
        <f t="shared" ca="1" si="60"/>
        <v>1</v>
      </c>
      <c r="M661" s="7" t="str">
        <f t="shared" ca="1" si="61"/>
        <v/>
      </c>
      <c r="N661" s="6" t="str">
        <f t="shared" ca="1" si="62"/>
        <v/>
      </c>
      <c r="O661" s="6">
        <f t="shared" si="63"/>
        <v>0.45000000000001705</v>
      </c>
      <c r="Q661" s="6">
        <v>5.0500000000000114</v>
      </c>
      <c r="R661" s="9">
        <f t="shared" si="64"/>
        <v>1893.7500000000043</v>
      </c>
      <c r="S661" s="7">
        <f t="shared" si="65"/>
        <v>6637.4999999999854</v>
      </c>
    </row>
    <row r="662" spans="1:19" x14ac:dyDescent="0.25">
      <c r="A662" s="4">
        <f>Sheet1!A662</f>
        <v>40045</v>
      </c>
      <c r="B662" s="5">
        <f>Sheet1!B662</f>
        <v>0.58333333333333337</v>
      </c>
      <c r="C662" s="6">
        <f>Sheet1!C662</f>
        <v>174.8</v>
      </c>
      <c r="D662" s="6">
        <f>Sheet1!D662</f>
        <v>174.8</v>
      </c>
      <c r="E662" s="6">
        <f>Sheet1!E662</f>
        <v>171.55</v>
      </c>
      <c r="F662" s="6">
        <f>Sheet1!F662</f>
        <v>171.75</v>
      </c>
      <c r="H662" s="6">
        <f ca="1">IF(ROW($H662)-1&lt;$I$1,$F662,AVERAGE($F662:OFFSET($F662,(($I$1-1)*-1),0)))</f>
        <v>175.9666666666667</v>
      </c>
      <c r="J662" s="6">
        <f ca="1">IF(ROW($J662)-1&lt;$K$1,$F662,AVERAGE($F662:OFFSET($F662,(($K$1-1)*-1),0)))</f>
        <v>175.77499999999995</v>
      </c>
      <c r="L662" s="7">
        <f t="shared" ca="1" si="60"/>
        <v>1</v>
      </c>
      <c r="M662" s="7" t="str">
        <f t="shared" ca="1" si="61"/>
        <v/>
      </c>
      <c r="N662" s="6" t="str">
        <f t="shared" ca="1" si="62"/>
        <v/>
      </c>
      <c r="O662" s="6">
        <f t="shared" si="63"/>
        <v>-2.9000000000000057</v>
      </c>
      <c r="Q662" s="6">
        <v>2.1500000000000057</v>
      </c>
      <c r="R662" s="9">
        <f t="shared" si="64"/>
        <v>806.25000000000216</v>
      </c>
      <c r="S662" s="7">
        <f t="shared" si="65"/>
        <v>6637.4999999999854</v>
      </c>
    </row>
    <row r="663" spans="1:19" x14ac:dyDescent="0.25">
      <c r="A663" s="4">
        <f>Sheet1!A663</f>
        <v>40046</v>
      </c>
      <c r="B663" s="5">
        <f>Sheet1!B663</f>
        <v>0.58333333333333337</v>
      </c>
      <c r="C663" s="6">
        <f>Sheet1!C663</f>
        <v>171.7</v>
      </c>
      <c r="D663" s="6">
        <f>Sheet1!D663</f>
        <v>174.45</v>
      </c>
      <c r="E663" s="6">
        <f>Sheet1!E663</f>
        <v>170.95</v>
      </c>
      <c r="F663" s="6">
        <f>Sheet1!F663</f>
        <v>171</v>
      </c>
      <c r="H663" s="6">
        <f ca="1">IF(ROW($H663)-1&lt;$I$1,$F663,AVERAGE($F663:OFFSET($F663,(($I$1-1)*-1),0)))</f>
        <v>174.13333333333335</v>
      </c>
      <c r="J663" s="6">
        <f ca="1">IF(ROW($J663)-1&lt;$K$1,$F663,AVERAGE($F663:OFFSET($F663,(($K$1-1)*-1),0)))</f>
        <v>176.00357142857141</v>
      </c>
      <c r="L663" s="7">
        <f t="shared" ca="1" si="60"/>
        <v>-1</v>
      </c>
      <c r="M663" s="7">
        <f t="shared" ca="1" si="61"/>
        <v>-1</v>
      </c>
      <c r="N663" s="6" t="str">
        <f t="shared" ca="1" si="62"/>
        <v/>
      </c>
      <c r="O663" s="6">
        <f t="shared" si="63"/>
        <v>-0.75</v>
      </c>
      <c r="Q663" s="6">
        <v>1.4000000000000057</v>
      </c>
      <c r="R663" s="9">
        <f t="shared" si="64"/>
        <v>525.00000000000216</v>
      </c>
      <c r="S663" s="7">
        <f t="shared" si="65"/>
        <v>6637.4999999999854</v>
      </c>
    </row>
    <row r="664" spans="1:19" x14ac:dyDescent="0.25">
      <c r="A664" s="4">
        <f>Sheet1!A664</f>
        <v>40049</v>
      </c>
      <c r="B664" s="5">
        <f>Sheet1!B664</f>
        <v>0.58333333333333337</v>
      </c>
      <c r="C664" s="6">
        <f>Sheet1!C664</f>
        <v>171.05</v>
      </c>
      <c r="D664" s="6">
        <f>Sheet1!D664</f>
        <v>172.35</v>
      </c>
      <c r="E664" s="6">
        <f>Sheet1!E664</f>
        <v>168.2</v>
      </c>
      <c r="F664" s="6">
        <f>Sheet1!F664</f>
        <v>168.45</v>
      </c>
      <c r="H664" s="6">
        <f ca="1">IF(ROW($H664)-1&lt;$I$1,$F664,AVERAGE($F664:OFFSET($F664,(($I$1-1)*-1),0)))</f>
        <v>172.49166666666667</v>
      </c>
      <c r="J664" s="6">
        <f ca="1">IF(ROW($J664)-1&lt;$K$1,$F664,AVERAGE($F664:OFFSET($F664,(($K$1-1)*-1),0)))</f>
        <v>176.05357142857142</v>
      </c>
      <c r="L664" s="7">
        <f t="shared" ca="1" si="60"/>
        <v>-1</v>
      </c>
      <c r="M664" s="7" t="str">
        <f t="shared" ca="1" si="61"/>
        <v/>
      </c>
      <c r="N664" s="6">
        <f t="shared" ca="1" si="62"/>
        <v>171.05</v>
      </c>
      <c r="O664" s="6">
        <f t="shared" si="63"/>
        <v>-2.5500000000000114</v>
      </c>
      <c r="P664" s="6">
        <v>1.4500000000000171</v>
      </c>
      <c r="Q664" s="6">
        <v>2.6000000000000227</v>
      </c>
      <c r="R664" s="9">
        <f t="shared" si="64"/>
        <v>975.00000000000853</v>
      </c>
      <c r="S664" s="7">
        <f t="shared" si="65"/>
        <v>7181.2499999999918</v>
      </c>
    </row>
    <row r="665" spans="1:19" x14ac:dyDescent="0.25">
      <c r="A665" s="4">
        <f>Sheet1!A665</f>
        <v>40050</v>
      </c>
      <c r="B665" s="5">
        <f>Sheet1!B665</f>
        <v>0.58333333333333337</v>
      </c>
      <c r="C665" s="6">
        <f>Sheet1!C665</f>
        <v>168.35</v>
      </c>
      <c r="D665" s="6">
        <f>Sheet1!D665</f>
        <v>169.65</v>
      </c>
      <c r="E665" s="6">
        <f>Sheet1!E665</f>
        <v>167.25</v>
      </c>
      <c r="F665" s="6">
        <f>Sheet1!F665</f>
        <v>167.35</v>
      </c>
      <c r="H665" s="6">
        <f ca="1">IF(ROW($H665)-1&lt;$I$1,$F665,AVERAGE($F665:OFFSET($F665,(($I$1-1)*-1),0)))</f>
        <v>171.23333333333332</v>
      </c>
      <c r="J665" s="6">
        <f ca="1">IF(ROW($J665)-1&lt;$K$1,$F665,AVERAGE($F665:OFFSET($F665,(($K$1-1)*-1),0)))</f>
        <v>176.14642857142857</v>
      </c>
      <c r="L665" s="7">
        <f t="shared" ca="1" si="60"/>
        <v>-1</v>
      </c>
      <c r="M665" s="7" t="str">
        <f t="shared" ca="1" si="61"/>
        <v/>
      </c>
      <c r="N665" s="6" t="str">
        <f t="shared" ca="1" si="62"/>
        <v/>
      </c>
      <c r="O665" s="6">
        <f t="shared" si="63"/>
        <v>-1.0999999999999943</v>
      </c>
      <c r="Q665" s="6">
        <v>3.7000000000000171</v>
      </c>
      <c r="R665" s="9">
        <f t="shared" si="64"/>
        <v>1387.5000000000064</v>
      </c>
      <c r="S665" s="7">
        <f t="shared" si="65"/>
        <v>7181.2499999999918</v>
      </c>
    </row>
    <row r="666" spans="1:19" x14ac:dyDescent="0.25">
      <c r="A666" s="4">
        <f>Sheet1!A666</f>
        <v>40051</v>
      </c>
      <c r="B666" s="5">
        <f>Sheet1!B666</f>
        <v>0.58333333333333337</v>
      </c>
      <c r="C666" s="6">
        <f>Sheet1!C666</f>
        <v>167.35</v>
      </c>
      <c r="D666" s="6">
        <f>Sheet1!D666</f>
        <v>170.7</v>
      </c>
      <c r="E666" s="6">
        <f>Sheet1!E666</f>
        <v>166.7</v>
      </c>
      <c r="F666" s="6">
        <f>Sheet1!F666</f>
        <v>170.45</v>
      </c>
      <c r="H666" s="6">
        <f ca="1">IF(ROW($H666)-1&lt;$I$1,$F666,AVERAGE($F666:OFFSET($F666,(($I$1-1)*-1),0)))</f>
        <v>170.60833333333332</v>
      </c>
      <c r="J666" s="6">
        <f ca="1">IF(ROW($J666)-1&lt;$K$1,$F666,AVERAGE($F666:OFFSET($F666,(($K$1-1)*-1),0)))</f>
        <v>176.24107142857142</v>
      </c>
      <c r="L666" s="7">
        <f t="shared" ca="1" si="60"/>
        <v>-1</v>
      </c>
      <c r="M666" s="7" t="str">
        <f t="shared" ca="1" si="61"/>
        <v/>
      </c>
      <c r="N666" s="6" t="str">
        <f t="shared" ca="1" si="62"/>
        <v/>
      </c>
      <c r="O666" s="6">
        <f t="shared" si="63"/>
        <v>3.0999999999999943</v>
      </c>
      <c r="Q666" s="6">
        <v>0.60000000000002274</v>
      </c>
      <c r="R666" s="9">
        <f t="shared" si="64"/>
        <v>225.00000000000853</v>
      </c>
      <c r="S666" s="7">
        <f t="shared" si="65"/>
        <v>7181.2499999999918</v>
      </c>
    </row>
    <row r="667" spans="1:19" x14ac:dyDescent="0.25">
      <c r="A667" s="4">
        <f>Sheet1!A667</f>
        <v>40052</v>
      </c>
      <c r="B667" s="5">
        <f>Sheet1!B667</f>
        <v>0.58333333333333337</v>
      </c>
      <c r="C667" s="6">
        <f>Sheet1!C667</f>
        <v>170.25</v>
      </c>
      <c r="D667" s="6">
        <f>Sheet1!D667</f>
        <v>170.85</v>
      </c>
      <c r="E667" s="6">
        <f>Sheet1!E667</f>
        <v>166.95</v>
      </c>
      <c r="F667" s="6">
        <f>Sheet1!F667</f>
        <v>167.3</v>
      </c>
      <c r="H667" s="6">
        <f ca="1">IF(ROW($H667)-1&lt;$I$1,$F667,AVERAGE($F667:OFFSET($F667,(($I$1-1)*-1),0)))</f>
        <v>169.38333333333333</v>
      </c>
      <c r="J667" s="6">
        <f ca="1">IF(ROW($J667)-1&lt;$K$1,$F667,AVERAGE($F667:OFFSET($F667,(($K$1-1)*-1),0)))</f>
        <v>176.09464285714287</v>
      </c>
      <c r="L667" s="7">
        <f t="shared" ca="1" si="60"/>
        <v>-1</v>
      </c>
      <c r="M667" s="7" t="str">
        <f t="shared" ca="1" si="61"/>
        <v/>
      </c>
      <c r="N667" s="6" t="str">
        <f t="shared" ca="1" si="62"/>
        <v/>
      </c>
      <c r="O667" s="6">
        <f t="shared" si="63"/>
        <v>-3.1499999999999773</v>
      </c>
      <c r="Q667" s="6">
        <v>3.75</v>
      </c>
      <c r="R667" s="9">
        <f t="shared" si="64"/>
        <v>1406.25</v>
      </c>
      <c r="S667" s="7">
        <f t="shared" si="65"/>
        <v>7181.2499999999918</v>
      </c>
    </row>
    <row r="668" spans="1:19" x14ac:dyDescent="0.25">
      <c r="A668" s="4">
        <f>Sheet1!A668</f>
        <v>40053</v>
      </c>
      <c r="B668" s="5">
        <f>Sheet1!B668</f>
        <v>0.58333333333333337</v>
      </c>
      <c r="C668" s="6">
        <f>Sheet1!C668</f>
        <v>167.95</v>
      </c>
      <c r="D668" s="6">
        <f>Sheet1!D668</f>
        <v>169.55</v>
      </c>
      <c r="E668" s="6">
        <f>Sheet1!E668</f>
        <v>167.65</v>
      </c>
      <c r="F668" s="6">
        <f>Sheet1!F668</f>
        <v>168.25</v>
      </c>
      <c r="H668" s="6">
        <f ca="1">IF(ROW($H668)-1&lt;$I$1,$F668,AVERAGE($F668:OFFSET($F668,(($I$1-1)*-1),0)))</f>
        <v>168.79999999999998</v>
      </c>
      <c r="J668" s="6">
        <f ca="1">IF(ROW($J668)-1&lt;$K$1,$F668,AVERAGE($F668:OFFSET($F668,(($K$1-1)*-1),0)))</f>
        <v>175.97499999999999</v>
      </c>
      <c r="L668" s="7">
        <f t="shared" ca="1" si="60"/>
        <v>-1</v>
      </c>
      <c r="M668" s="7" t="str">
        <f t="shared" ca="1" si="61"/>
        <v/>
      </c>
      <c r="N668" s="6" t="str">
        <f t="shared" ca="1" si="62"/>
        <v/>
      </c>
      <c r="O668" s="6">
        <f t="shared" si="63"/>
        <v>0.94999999999998863</v>
      </c>
      <c r="Q668" s="6">
        <v>2.8000000000000114</v>
      </c>
      <c r="R668" s="9">
        <f t="shared" si="64"/>
        <v>1050.0000000000043</v>
      </c>
      <c r="S668" s="7">
        <f t="shared" si="65"/>
        <v>7181.2499999999918</v>
      </c>
    </row>
    <row r="669" spans="1:19" x14ac:dyDescent="0.25">
      <c r="A669" s="4">
        <f>Sheet1!A669</f>
        <v>40056</v>
      </c>
      <c r="B669" s="5">
        <f>Sheet1!B669</f>
        <v>0.58333333333333337</v>
      </c>
      <c r="C669" s="6">
        <f>Sheet1!C669</f>
        <v>168.1</v>
      </c>
      <c r="D669" s="6">
        <f>Sheet1!D669</f>
        <v>168.65</v>
      </c>
      <c r="E669" s="6">
        <f>Sheet1!E669</f>
        <v>166.25</v>
      </c>
      <c r="F669" s="6">
        <f>Sheet1!F669</f>
        <v>168.25</v>
      </c>
      <c r="H669" s="6">
        <f ca="1">IF(ROW($H669)-1&lt;$I$1,$F669,AVERAGE($F669:OFFSET($F669,(($I$1-1)*-1),0)))</f>
        <v>168.34166666666667</v>
      </c>
      <c r="J669" s="6">
        <f ca="1">IF(ROW($J669)-1&lt;$K$1,$F669,AVERAGE($F669:OFFSET($F669,(($K$1-1)*-1),0)))</f>
        <v>175.94107142857143</v>
      </c>
      <c r="L669" s="7">
        <f t="shared" ca="1" si="60"/>
        <v>-1</v>
      </c>
      <c r="M669" s="7" t="str">
        <f t="shared" ca="1" si="61"/>
        <v/>
      </c>
      <c r="N669" s="6" t="str">
        <f t="shared" ca="1" si="62"/>
        <v/>
      </c>
      <c r="O669" s="6">
        <f t="shared" si="63"/>
        <v>0</v>
      </c>
      <c r="Q669" s="6">
        <v>2.8000000000000114</v>
      </c>
      <c r="R669" s="9">
        <f t="shared" si="64"/>
        <v>1050.0000000000043</v>
      </c>
      <c r="S669" s="7">
        <f t="shared" si="65"/>
        <v>7181.2499999999918</v>
      </c>
    </row>
    <row r="670" spans="1:19" x14ac:dyDescent="0.25">
      <c r="A670" s="4">
        <f>Sheet1!A670</f>
        <v>40057</v>
      </c>
      <c r="B670" s="5">
        <f>Sheet1!B670</f>
        <v>0.58333333333333337</v>
      </c>
      <c r="C670" s="6">
        <f>Sheet1!C670</f>
        <v>168.55</v>
      </c>
      <c r="D670" s="6">
        <f>Sheet1!D670</f>
        <v>169.45</v>
      </c>
      <c r="E670" s="6">
        <f>Sheet1!E670</f>
        <v>165.95</v>
      </c>
      <c r="F670" s="6">
        <f>Sheet1!F670</f>
        <v>166.05</v>
      </c>
      <c r="H670" s="6">
        <f ca="1">IF(ROW($H670)-1&lt;$I$1,$F670,AVERAGE($F670:OFFSET($F670,(($I$1-1)*-1),0)))</f>
        <v>167.94166666666663</v>
      </c>
      <c r="J670" s="6">
        <f ca="1">IF(ROW($J670)-1&lt;$K$1,$F670,AVERAGE($F670:OFFSET($F670,(($K$1-1)*-1),0)))</f>
        <v>175.66964285714286</v>
      </c>
      <c r="L670" s="7">
        <f t="shared" ca="1" si="60"/>
        <v>-1</v>
      </c>
      <c r="M670" s="7" t="str">
        <f t="shared" ca="1" si="61"/>
        <v/>
      </c>
      <c r="N670" s="6" t="str">
        <f t="shared" ca="1" si="62"/>
        <v/>
      </c>
      <c r="O670" s="6">
        <f t="shared" si="63"/>
        <v>-2.1999999999999886</v>
      </c>
      <c r="Q670" s="6">
        <v>5</v>
      </c>
      <c r="R670" s="9">
        <f t="shared" si="64"/>
        <v>1875</v>
      </c>
      <c r="S670" s="7">
        <f t="shared" si="65"/>
        <v>7181.2499999999918</v>
      </c>
    </row>
    <row r="671" spans="1:19" x14ac:dyDescent="0.25">
      <c r="A671" s="4">
        <f>Sheet1!A671</f>
        <v>40058</v>
      </c>
      <c r="B671" s="5">
        <f>Sheet1!B671</f>
        <v>0.58333333333333337</v>
      </c>
      <c r="C671" s="6">
        <f>Sheet1!C671</f>
        <v>165.95</v>
      </c>
      <c r="D671" s="6">
        <f>Sheet1!D671</f>
        <v>168.05</v>
      </c>
      <c r="E671" s="6">
        <f>Sheet1!E671</f>
        <v>165.85</v>
      </c>
      <c r="F671" s="6">
        <f>Sheet1!F671</f>
        <v>167.1</v>
      </c>
      <c r="H671" s="6">
        <f ca="1">IF(ROW($H671)-1&lt;$I$1,$F671,AVERAGE($F671:OFFSET($F671,(($I$1-1)*-1),0)))</f>
        <v>167.9</v>
      </c>
      <c r="J671" s="6">
        <f ca="1">IF(ROW($J671)-1&lt;$K$1,$F671,AVERAGE($F671:OFFSET($F671,(($K$1-1)*-1),0)))</f>
        <v>175.45714285714286</v>
      </c>
      <c r="L671" s="7">
        <f t="shared" ca="1" si="60"/>
        <v>-1</v>
      </c>
      <c r="M671" s="7" t="str">
        <f t="shared" ca="1" si="61"/>
        <v/>
      </c>
      <c r="N671" s="6" t="str">
        <f t="shared" ca="1" si="62"/>
        <v/>
      </c>
      <c r="O671" s="6">
        <f t="shared" si="63"/>
        <v>1.0499999999999829</v>
      </c>
      <c r="Q671" s="6">
        <v>3.9500000000000171</v>
      </c>
      <c r="R671" s="9">
        <f t="shared" si="64"/>
        <v>1481.2500000000064</v>
      </c>
      <c r="S671" s="7">
        <f t="shared" si="65"/>
        <v>7181.2499999999918</v>
      </c>
    </row>
    <row r="672" spans="1:19" x14ac:dyDescent="0.25">
      <c r="A672" s="4">
        <f>Sheet1!A672</f>
        <v>40059</v>
      </c>
      <c r="B672" s="5">
        <f>Sheet1!B672</f>
        <v>0.58333333333333337</v>
      </c>
      <c r="C672" s="6">
        <f>Sheet1!C672</f>
        <v>167.2</v>
      </c>
      <c r="D672" s="6">
        <f>Sheet1!D672</f>
        <v>168.35</v>
      </c>
      <c r="E672" s="6">
        <f>Sheet1!E672</f>
        <v>166.05</v>
      </c>
      <c r="F672" s="6">
        <f>Sheet1!F672</f>
        <v>166.75</v>
      </c>
      <c r="H672" s="6">
        <f ca="1">IF(ROW($H672)-1&lt;$I$1,$F672,AVERAGE($F672:OFFSET($F672,(($I$1-1)*-1),0)))</f>
        <v>167.28333333333333</v>
      </c>
      <c r="J672" s="6">
        <f ca="1">IF(ROW($J672)-1&lt;$K$1,$F672,AVERAGE($F672:OFFSET($F672,(($K$1-1)*-1),0)))</f>
        <v>175.21428571428575</v>
      </c>
      <c r="L672" s="7">
        <f t="shared" ca="1" si="60"/>
        <v>-1</v>
      </c>
      <c r="M672" s="7" t="str">
        <f t="shared" ca="1" si="61"/>
        <v/>
      </c>
      <c r="N672" s="6" t="str">
        <f t="shared" ca="1" si="62"/>
        <v/>
      </c>
      <c r="O672" s="6">
        <f t="shared" si="63"/>
        <v>-0.34999999999999432</v>
      </c>
      <c r="Q672" s="6">
        <v>4.3000000000000114</v>
      </c>
      <c r="R672" s="9">
        <f t="shared" si="64"/>
        <v>1612.5000000000043</v>
      </c>
      <c r="S672" s="7">
        <f t="shared" si="65"/>
        <v>7181.2499999999918</v>
      </c>
    </row>
    <row r="673" spans="1:19" x14ac:dyDescent="0.25">
      <c r="A673" s="4">
        <f>Sheet1!A673</f>
        <v>40060</v>
      </c>
      <c r="B673" s="5">
        <f>Sheet1!B673</f>
        <v>0.58333333333333337</v>
      </c>
      <c r="C673" s="6">
        <f>Sheet1!C673</f>
        <v>166.95</v>
      </c>
      <c r="D673" s="6">
        <f>Sheet1!D673</f>
        <v>170.75</v>
      </c>
      <c r="E673" s="6">
        <f>Sheet1!E673</f>
        <v>166.55</v>
      </c>
      <c r="F673" s="6">
        <f>Sheet1!F673</f>
        <v>170.05</v>
      </c>
      <c r="H673" s="6">
        <f ca="1">IF(ROW($H673)-1&lt;$I$1,$F673,AVERAGE($F673:OFFSET($F673,(($I$1-1)*-1),0)))</f>
        <v>167.74166666666667</v>
      </c>
      <c r="J673" s="6">
        <f ca="1">IF(ROW($J673)-1&lt;$K$1,$F673,AVERAGE($F673:OFFSET($F673,(($K$1-1)*-1),0)))</f>
        <v>175.14821428571432</v>
      </c>
      <c r="L673" s="7">
        <f t="shared" ca="1" si="60"/>
        <v>-1</v>
      </c>
      <c r="M673" s="7" t="str">
        <f t="shared" ca="1" si="61"/>
        <v/>
      </c>
      <c r="N673" s="6" t="str">
        <f t="shared" ca="1" si="62"/>
        <v/>
      </c>
      <c r="O673" s="6">
        <f t="shared" si="63"/>
        <v>3.3000000000000114</v>
      </c>
      <c r="Q673" s="6">
        <v>1</v>
      </c>
      <c r="R673" s="9">
        <f t="shared" si="64"/>
        <v>375</v>
      </c>
      <c r="S673" s="7">
        <f t="shared" si="65"/>
        <v>7181.2499999999918</v>
      </c>
    </row>
    <row r="674" spans="1:19" x14ac:dyDescent="0.25">
      <c r="A674" s="4">
        <f>Sheet1!A674</f>
        <v>40064</v>
      </c>
      <c r="B674" s="5">
        <f>Sheet1!B674</f>
        <v>0.58333333333333337</v>
      </c>
      <c r="C674" s="6">
        <f>Sheet1!C674</f>
        <v>170.95</v>
      </c>
      <c r="D674" s="6">
        <f>Sheet1!D674</f>
        <v>172.55</v>
      </c>
      <c r="E674" s="6">
        <f>Sheet1!E674</f>
        <v>169.4</v>
      </c>
      <c r="F674" s="6">
        <f>Sheet1!F674</f>
        <v>170.55</v>
      </c>
      <c r="H674" s="6">
        <f ca="1">IF(ROW($H674)-1&lt;$I$1,$F674,AVERAGE($F674:OFFSET($F674,(($I$1-1)*-1),0)))</f>
        <v>168.125</v>
      </c>
      <c r="J674" s="6">
        <f ca="1">IF(ROW($J674)-1&lt;$K$1,$F674,AVERAGE($F674:OFFSET($F674,(($K$1-1)*-1),0)))</f>
        <v>175.09821428571431</v>
      </c>
      <c r="L674" s="7">
        <f t="shared" ca="1" si="60"/>
        <v>-1</v>
      </c>
      <c r="M674" s="7" t="str">
        <f t="shared" ca="1" si="61"/>
        <v/>
      </c>
      <c r="N674" s="6" t="str">
        <f t="shared" ca="1" si="62"/>
        <v/>
      </c>
      <c r="O674" s="6">
        <f t="shared" si="63"/>
        <v>0.5</v>
      </c>
      <c r="Q674" s="6">
        <v>0.5</v>
      </c>
      <c r="R674" s="9">
        <f t="shared" si="64"/>
        <v>187.5</v>
      </c>
      <c r="S674" s="7">
        <f t="shared" si="65"/>
        <v>7181.2499999999918</v>
      </c>
    </row>
    <row r="675" spans="1:19" x14ac:dyDescent="0.25">
      <c r="A675" s="4">
        <f>Sheet1!A675</f>
        <v>40065</v>
      </c>
      <c r="B675" s="5">
        <f>Sheet1!B675</f>
        <v>0.58333333333333337</v>
      </c>
      <c r="C675" s="6">
        <f>Sheet1!C675</f>
        <v>170.75</v>
      </c>
      <c r="D675" s="6">
        <f>Sheet1!D675</f>
        <v>172.05</v>
      </c>
      <c r="E675" s="6">
        <f>Sheet1!E675</f>
        <v>170.25</v>
      </c>
      <c r="F675" s="6">
        <f>Sheet1!F675</f>
        <v>171.15</v>
      </c>
      <c r="H675" s="6">
        <f ca="1">IF(ROW($H675)-1&lt;$I$1,$F675,AVERAGE($F675:OFFSET($F675,(($I$1-1)*-1),0)))</f>
        <v>168.60833333333332</v>
      </c>
      <c r="J675" s="6">
        <f ca="1">IF(ROW($J675)-1&lt;$K$1,$F675,AVERAGE($F675:OFFSET($F675,(($K$1-1)*-1),0)))</f>
        <v>174.99464285714288</v>
      </c>
      <c r="L675" s="7">
        <f t="shared" ca="1" si="60"/>
        <v>-1</v>
      </c>
      <c r="M675" s="7" t="str">
        <f t="shared" ca="1" si="61"/>
        <v/>
      </c>
      <c r="N675" s="6" t="str">
        <f t="shared" ca="1" si="62"/>
        <v/>
      </c>
      <c r="O675" s="6">
        <f t="shared" si="63"/>
        <v>0.59999999999999432</v>
      </c>
      <c r="Q675" s="6">
        <v>-9.9999999999994316E-2</v>
      </c>
      <c r="R675" s="9">
        <f t="shared" si="64"/>
        <v>-37.499999999997868</v>
      </c>
      <c r="S675" s="7">
        <f t="shared" si="65"/>
        <v>7181.2499999999918</v>
      </c>
    </row>
    <row r="676" spans="1:19" x14ac:dyDescent="0.25">
      <c r="A676" s="4">
        <f>Sheet1!A676</f>
        <v>40066</v>
      </c>
      <c r="B676" s="5">
        <f>Sheet1!B676</f>
        <v>0.58333333333333337</v>
      </c>
      <c r="C676" s="6">
        <f>Sheet1!C676</f>
        <v>171.3</v>
      </c>
      <c r="D676" s="6">
        <f>Sheet1!D676</f>
        <v>172.15</v>
      </c>
      <c r="E676" s="6">
        <f>Sheet1!E676</f>
        <v>169.15</v>
      </c>
      <c r="F676" s="6">
        <f>Sheet1!F676</f>
        <v>170.6</v>
      </c>
      <c r="H676" s="6">
        <f ca="1">IF(ROW($H676)-1&lt;$I$1,$F676,AVERAGE($F676:OFFSET($F676,(($I$1-1)*-1),0)))</f>
        <v>169.36666666666667</v>
      </c>
      <c r="J676" s="6">
        <f ca="1">IF(ROW($J676)-1&lt;$K$1,$F676,AVERAGE($F676:OFFSET($F676,(($K$1-1)*-1),0)))</f>
        <v>174.76785714285714</v>
      </c>
      <c r="L676" s="7">
        <f t="shared" ca="1" si="60"/>
        <v>-1</v>
      </c>
      <c r="M676" s="7" t="str">
        <f t="shared" ca="1" si="61"/>
        <v/>
      </c>
      <c r="N676" s="6" t="str">
        <f t="shared" ca="1" si="62"/>
        <v/>
      </c>
      <c r="O676" s="6">
        <f t="shared" si="63"/>
        <v>-0.55000000000001137</v>
      </c>
      <c r="Q676" s="6">
        <v>0.45000000000001705</v>
      </c>
      <c r="R676" s="9">
        <f t="shared" si="64"/>
        <v>168.75000000000639</v>
      </c>
      <c r="S676" s="7">
        <f t="shared" si="65"/>
        <v>7181.2499999999918</v>
      </c>
    </row>
    <row r="677" spans="1:19" x14ac:dyDescent="0.25">
      <c r="A677" s="4">
        <f>Sheet1!A677</f>
        <v>40067</v>
      </c>
      <c r="B677" s="5">
        <f>Sheet1!B677</f>
        <v>0.58333333333333337</v>
      </c>
      <c r="C677" s="6">
        <f>Sheet1!C677</f>
        <v>170.6</v>
      </c>
      <c r="D677" s="6">
        <f>Sheet1!D677</f>
        <v>173.95</v>
      </c>
      <c r="E677" s="6">
        <f>Sheet1!E677</f>
        <v>170.45</v>
      </c>
      <c r="F677" s="6">
        <f>Sheet1!F677</f>
        <v>172.5</v>
      </c>
      <c r="H677" s="6">
        <f ca="1">IF(ROW($H677)-1&lt;$I$1,$F677,AVERAGE($F677:OFFSET($F677,(($I$1-1)*-1),0)))</f>
        <v>170.26666666666668</v>
      </c>
      <c r="J677" s="6">
        <f ca="1">IF(ROW($J677)-1&lt;$K$1,$F677,AVERAGE($F677:OFFSET($F677,(($K$1-1)*-1),0)))</f>
        <v>174.42321428571429</v>
      </c>
      <c r="L677" s="7">
        <f t="shared" ca="1" si="60"/>
        <v>-1</v>
      </c>
      <c r="M677" s="7" t="str">
        <f t="shared" ca="1" si="61"/>
        <v/>
      </c>
      <c r="N677" s="6" t="str">
        <f t="shared" ca="1" si="62"/>
        <v/>
      </c>
      <c r="O677" s="6">
        <f t="shared" si="63"/>
        <v>1.9000000000000057</v>
      </c>
      <c r="Q677" s="6">
        <v>-1.4499999999999886</v>
      </c>
      <c r="R677" s="9">
        <f t="shared" si="64"/>
        <v>-543.74999999999568</v>
      </c>
      <c r="S677" s="7">
        <f t="shared" si="65"/>
        <v>7181.2499999999918</v>
      </c>
    </row>
    <row r="678" spans="1:19" x14ac:dyDescent="0.25">
      <c r="A678" s="4">
        <f>Sheet1!A678</f>
        <v>40070</v>
      </c>
      <c r="B678" s="5">
        <f>Sheet1!B678</f>
        <v>0.58333333333333337</v>
      </c>
      <c r="C678" s="6">
        <f>Sheet1!C678</f>
        <v>171.6</v>
      </c>
      <c r="D678" s="6">
        <f>Sheet1!D678</f>
        <v>179.85</v>
      </c>
      <c r="E678" s="6">
        <f>Sheet1!E678</f>
        <v>171.05</v>
      </c>
      <c r="F678" s="6">
        <f>Sheet1!F678</f>
        <v>179.05</v>
      </c>
      <c r="H678" s="6">
        <f ca="1">IF(ROW($H678)-1&lt;$I$1,$F678,AVERAGE($F678:OFFSET($F678,(($I$1-1)*-1),0)))</f>
        <v>172.31666666666669</v>
      </c>
      <c r="J678" s="6">
        <f ca="1">IF(ROW($J678)-1&lt;$K$1,$F678,AVERAGE($F678:OFFSET($F678,(($K$1-1)*-1),0)))</f>
        <v>174.31428571428572</v>
      </c>
      <c r="L678" s="7">
        <f t="shared" ca="1" si="60"/>
        <v>-1</v>
      </c>
      <c r="M678" s="7" t="str">
        <f t="shared" ca="1" si="61"/>
        <v/>
      </c>
      <c r="N678" s="6" t="str">
        <f t="shared" ca="1" si="62"/>
        <v/>
      </c>
      <c r="O678" s="6">
        <f t="shared" si="63"/>
        <v>6.5500000000000114</v>
      </c>
      <c r="Q678" s="6">
        <v>-8</v>
      </c>
      <c r="R678" s="9">
        <f t="shared" si="64"/>
        <v>-3000</v>
      </c>
      <c r="S678" s="7">
        <f t="shared" si="65"/>
        <v>7181.2499999999918</v>
      </c>
    </row>
    <row r="679" spans="1:19" x14ac:dyDescent="0.25">
      <c r="A679" s="4">
        <f>Sheet1!A679</f>
        <v>40071</v>
      </c>
      <c r="B679" s="5">
        <f>Sheet1!B679</f>
        <v>0.58333333333333337</v>
      </c>
      <c r="C679" s="6">
        <f>Sheet1!C679</f>
        <v>179.8</v>
      </c>
      <c r="D679" s="6">
        <f>Sheet1!D679</f>
        <v>181.15</v>
      </c>
      <c r="E679" s="6">
        <f>Sheet1!E679</f>
        <v>177.55</v>
      </c>
      <c r="F679" s="6">
        <f>Sheet1!F679</f>
        <v>180.55</v>
      </c>
      <c r="H679" s="6">
        <f ca="1">IF(ROW($H679)-1&lt;$I$1,$F679,AVERAGE($F679:OFFSET($F679,(($I$1-1)*-1),0)))</f>
        <v>174.06666666666669</v>
      </c>
      <c r="J679" s="6">
        <f ca="1">IF(ROW($J679)-1&lt;$K$1,$F679,AVERAGE($F679:OFFSET($F679,(($K$1-1)*-1),0)))</f>
        <v>174.31250000000003</v>
      </c>
      <c r="L679" s="7">
        <f t="shared" ca="1" si="60"/>
        <v>-1</v>
      </c>
      <c r="M679" s="7" t="str">
        <f t="shared" ca="1" si="61"/>
        <v/>
      </c>
      <c r="N679" s="6" t="str">
        <f t="shared" ca="1" si="62"/>
        <v/>
      </c>
      <c r="O679" s="6">
        <f t="shared" si="63"/>
        <v>1.5</v>
      </c>
      <c r="Q679" s="6">
        <v>-9.5</v>
      </c>
      <c r="R679" s="9">
        <f t="shared" si="64"/>
        <v>-3562.5</v>
      </c>
      <c r="S679" s="7">
        <f t="shared" si="65"/>
        <v>7181.2499999999918</v>
      </c>
    </row>
    <row r="680" spans="1:19" x14ac:dyDescent="0.25">
      <c r="A680" s="4">
        <f>Sheet1!A680</f>
        <v>40072</v>
      </c>
      <c r="B680" s="5">
        <f>Sheet1!B680</f>
        <v>0.58333333333333337</v>
      </c>
      <c r="C680" s="6">
        <f>Sheet1!C680</f>
        <v>180.55</v>
      </c>
      <c r="D680" s="6">
        <f>Sheet1!D680</f>
        <v>182.35</v>
      </c>
      <c r="E680" s="6">
        <f>Sheet1!E680</f>
        <v>179.3</v>
      </c>
      <c r="F680" s="6">
        <f>Sheet1!F680</f>
        <v>180.15</v>
      </c>
      <c r="H680" s="6">
        <f ca="1">IF(ROW($H680)-1&lt;$I$1,$F680,AVERAGE($F680:OFFSET($F680,(($I$1-1)*-1),0)))</f>
        <v>175.66666666666666</v>
      </c>
      <c r="J680" s="6">
        <f ca="1">IF(ROW($J680)-1&lt;$K$1,$F680,AVERAGE($F680:OFFSET($F680,(($K$1-1)*-1),0)))</f>
        <v>174.18214285714288</v>
      </c>
      <c r="L680" s="7">
        <f t="shared" ca="1" si="60"/>
        <v>1</v>
      </c>
      <c r="M680" s="7">
        <f t="shared" ca="1" si="61"/>
        <v>1</v>
      </c>
      <c r="N680" s="6" t="str">
        <f t="shared" ca="1" si="62"/>
        <v/>
      </c>
      <c r="O680" s="6">
        <f t="shared" si="63"/>
        <v>-0.40000000000000568</v>
      </c>
      <c r="Q680" s="6">
        <v>-9.0999999999999943</v>
      </c>
      <c r="R680" s="9">
        <f t="shared" si="64"/>
        <v>-3412.4999999999977</v>
      </c>
      <c r="S680" s="7">
        <f t="shared" si="65"/>
        <v>7181.2499999999918</v>
      </c>
    </row>
    <row r="681" spans="1:19" x14ac:dyDescent="0.25">
      <c r="A681" s="4">
        <f>Sheet1!A681</f>
        <v>40073</v>
      </c>
      <c r="B681" s="5">
        <f>Sheet1!B681</f>
        <v>0.58333333333333337</v>
      </c>
      <c r="C681" s="6">
        <f>Sheet1!C681</f>
        <v>180.45</v>
      </c>
      <c r="D681" s="6">
        <f>Sheet1!D681</f>
        <v>183</v>
      </c>
      <c r="E681" s="6">
        <f>Sheet1!E681</f>
        <v>180.15</v>
      </c>
      <c r="F681" s="6">
        <f>Sheet1!F681</f>
        <v>182</v>
      </c>
      <c r="H681" s="6">
        <f ca="1">IF(ROW($H681)-1&lt;$I$1,$F681,AVERAGE($F681:OFFSET($F681,(($I$1-1)*-1),0)))</f>
        <v>177.47499999999999</v>
      </c>
      <c r="J681" s="6">
        <f ca="1">IF(ROW($J681)-1&lt;$K$1,$F681,AVERAGE($F681:OFFSET($F681,(($K$1-1)*-1),0)))</f>
        <v>174.00357142857143</v>
      </c>
      <c r="L681" s="7">
        <f t="shared" ca="1" si="60"/>
        <v>1</v>
      </c>
      <c r="M681" s="7" t="str">
        <f t="shared" ca="1" si="61"/>
        <v/>
      </c>
      <c r="N681" s="6">
        <f t="shared" ca="1" si="62"/>
        <v>180.45</v>
      </c>
      <c r="O681" s="6">
        <f t="shared" si="63"/>
        <v>1.8499999999999943</v>
      </c>
      <c r="P681" s="6">
        <v>-9.3999999999999773</v>
      </c>
      <c r="Q681" s="6">
        <v>1.5500000000000114</v>
      </c>
      <c r="R681" s="9">
        <f t="shared" si="64"/>
        <v>581.25000000000432</v>
      </c>
      <c r="S681" s="7">
        <f t="shared" si="65"/>
        <v>3656.2500000000005</v>
      </c>
    </row>
    <row r="682" spans="1:19" x14ac:dyDescent="0.25">
      <c r="A682" s="4">
        <f>Sheet1!A682</f>
        <v>40074</v>
      </c>
      <c r="B682" s="5">
        <f>Sheet1!B682</f>
        <v>0.58333333333333337</v>
      </c>
      <c r="C682" s="6">
        <f>Sheet1!C682</f>
        <v>181.45</v>
      </c>
      <c r="D682" s="6">
        <f>Sheet1!D682</f>
        <v>183.1</v>
      </c>
      <c r="E682" s="6">
        <f>Sheet1!E682</f>
        <v>179.75</v>
      </c>
      <c r="F682" s="6">
        <f>Sheet1!F682</f>
        <v>182</v>
      </c>
      <c r="H682" s="6">
        <f ca="1">IF(ROW($H682)-1&lt;$I$1,$F682,AVERAGE($F682:OFFSET($F682,(($I$1-1)*-1),0)))</f>
        <v>179.375</v>
      </c>
      <c r="J682" s="6">
        <f ca="1">IF(ROW($J682)-1&lt;$K$1,$F682,AVERAGE($F682:OFFSET($F682,(($K$1-1)*-1),0)))</f>
        <v>173.78571428571428</v>
      </c>
      <c r="L682" s="7">
        <f t="shared" ca="1" si="60"/>
        <v>1</v>
      </c>
      <c r="M682" s="7" t="str">
        <f t="shared" ca="1" si="61"/>
        <v/>
      </c>
      <c r="N682" s="6" t="str">
        <f t="shared" ca="1" si="62"/>
        <v/>
      </c>
      <c r="O682" s="6">
        <f t="shared" si="63"/>
        <v>0</v>
      </c>
      <c r="Q682" s="6">
        <v>1.5500000000000114</v>
      </c>
      <c r="R682" s="9">
        <f t="shared" si="64"/>
        <v>581.25000000000432</v>
      </c>
      <c r="S682" s="7">
        <f t="shared" si="65"/>
        <v>3656.2500000000005</v>
      </c>
    </row>
    <row r="683" spans="1:19" x14ac:dyDescent="0.25">
      <c r="A683" s="4">
        <f>Sheet1!A683</f>
        <v>40077</v>
      </c>
      <c r="B683" s="5">
        <f>Sheet1!B683</f>
        <v>0.58333333333333337</v>
      </c>
      <c r="C683" s="6">
        <f>Sheet1!C683</f>
        <v>181.55</v>
      </c>
      <c r="D683" s="6">
        <f>Sheet1!D683</f>
        <v>184.25</v>
      </c>
      <c r="E683" s="6">
        <f>Sheet1!E683</f>
        <v>181.05</v>
      </c>
      <c r="F683" s="6">
        <f>Sheet1!F683</f>
        <v>181.6</v>
      </c>
      <c r="H683" s="6">
        <f ca="1">IF(ROW($H683)-1&lt;$I$1,$F683,AVERAGE($F683:OFFSET($F683,(($I$1-1)*-1),0)))</f>
        <v>180.89166666666665</v>
      </c>
      <c r="J683" s="6">
        <f ca="1">IF(ROW($J683)-1&lt;$K$1,$F683,AVERAGE($F683:OFFSET($F683,(($K$1-1)*-1),0)))</f>
        <v>173.62857142857143</v>
      </c>
      <c r="L683" s="7">
        <f t="shared" ca="1" si="60"/>
        <v>1</v>
      </c>
      <c r="M683" s="7" t="str">
        <f t="shared" ca="1" si="61"/>
        <v/>
      </c>
      <c r="N683" s="6" t="str">
        <f t="shared" ca="1" si="62"/>
        <v/>
      </c>
      <c r="O683" s="6">
        <f t="shared" si="63"/>
        <v>-0.40000000000000568</v>
      </c>
      <c r="Q683" s="6">
        <v>1.1500000000000057</v>
      </c>
      <c r="R683" s="9">
        <f t="shared" si="64"/>
        <v>431.25000000000216</v>
      </c>
      <c r="S683" s="7">
        <f t="shared" si="65"/>
        <v>3656.2500000000005</v>
      </c>
    </row>
    <row r="684" spans="1:19" x14ac:dyDescent="0.25">
      <c r="A684" s="4">
        <f>Sheet1!A684</f>
        <v>40078</v>
      </c>
      <c r="B684" s="5">
        <f>Sheet1!B684</f>
        <v>0.58333333333333337</v>
      </c>
      <c r="C684" s="6">
        <f>Sheet1!C684</f>
        <v>181.95</v>
      </c>
      <c r="D684" s="6">
        <f>Sheet1!D684</f>
        <v>184.2</v>
      </c>
      <c r="E684" s="6">
        <f>Sheet1!E684</f>
        <v>181.05</v>
      </c>
      <c r="F684" s="6">
        <f>Sheet1!F684</f>
        <v>184</v>
      </c>
      <c r="H684" s="6">
        <f ca="1">IF(ROW($H684)-1&lt;$I$1,$F684,AVERAGE($F684:OFFSET($F684,(($I$1-1)*-1),0)))</f>
        <v>181.7166666666667</v>
      </c>
      <c r="J684" s="6">
        <f ca="1">IF(ROW($J684)-1&lt;$K$1,$F684,AVERAGE($F684:OFFSET($F684,(($K$1-1)*-1),0)))</f>
        <v>173.6053571428572</v>
      </c>
      <c r="L684" s="7">
        <f t="shared" ca="1" si="60"/>
        <v>1</v>
      </c>
      <c r="M684" s="7" t="str">
        <f t="shared" ca="1" si="61"/>
        <v/>
      </c>
      <c r="N684" s="6" t="str">
        <f t="shared" ca="1" si="62"/>
        <v/>
      </c>
      <c r="O684" s="6">
        <f t="shared" si="63"/>
        <v>2.4000000000000057</v>
      </c>
      <c r="Q684" s="6">
        <v>3.5500000000000114</v>
      </c>
      <c r="R684" s="9">
        <f t="shared" si="64"/>
        <v>1331.2500000000043</v>
      </c>
      <c r="S684" s="7">
        <f t="shared" si="65"/>
        <v>3656.2500000000005</v>
      </c>
    </row>
    <row r="685" spans="1:19" x14ac:dyDescent="0.25">
      <c r="A685" s="4">
        <f>Sheet1!A685</f>
        <v>40079</v>
      </c>
      <c r="B685" s="5">
        <f>Sheet1!B685</f>
        <v>0.58333333333333337</v>
      </c>
      <c r="C685" s="6">
        <f>Sheet1!C685</f>
        <v>183.45</v>
      </c>
      <c r="D685" s="6">
        <f>Sheet1!D685</f>
        <v>184.2</v>
      </c>
      <c r="E685" s="6">
        <f>Sheet1!E685</f>
        <v>181</v>
      </c>
      <c r="F685" s="6">
        <f>Sheet1!F685</f>
        <v>182.35</v>
      </c>
      <c r="H685" s="6">
        <f ca="1">IF(ROW($H685)-1&lt;$I$1,$F685,AVERAGE($F685:OFFSET($F685,(($I$1-1)*-1),0)))</f>
        <v>182.01666666666665</v>
      </c>
      <c r="J685" s="6">
        <f ca="1">IF(ROW($J685)-1&lt;$K$1,$F685,AVERAGE($F685:OFFSET($F685,(($K$1-1)*-1),0)))</f>
        <v>173.61785714285722</v>
      </c>
      <c r="L685" s="7">
        <f t="shared" ca="1" si="60"/>
        <v>1</v>
      </c>
      <c r="M685" s="7" t="str">
        <f t="shared" ca="1" si="61"/>
        <v/>
      </c>
      <c r="N685" s="6" t="str">
        <f t="shared" ca="1" si="62"/>
        <v/>
      </c>
      <c r="O685" s="6">
        <f t="shared" si="63"/>
        <v>-1.6500000000000057</v>
      </c>
      <c r="Q685" s="6">
        <v>1.9000000000000057</v>
      </c>
      <c r="R685" s="9">
        <f t="shared" si="64"/>
        <v>712.50000000000216</v>
      </c>
      <c r="S685" s="7">
        <f t="shared" si="65"/>
        <v>3656.2500000000005</v>
      </c>
    </row>
    <row r="686" spans="1:19" x14ac:dyDescent="0.25">
      <c r="A686" s="4">
        <f>Sheet1!A686</f>
        <v>40080</v>
      </c>
      <c r="B686" s="5">
        <f>Sheet1!B686</f>
        <v>0.58333333333333337</v>
      </c>
      <c r="C686" s="6">
        <f>Sheet1!C686</f>
        <v>181.45</v>
      </c>
      <c r="D686" s="6">
        <f>Sheet1!D686</f>
        <v>181.7</v>
      </c>
      <c r="E686" s="6">
        <f>Sheet1!E686</f>
        <v>174.45</v>
      </c>
      <c r="F686" s="6">
        <f>Sheet1!F686</f>
        <v>175.25</v>
      </c>
      <c r="H686" s="6">
        <f ca="1">IF(ROW($H686)-1&lt;$I$1,$F686,AVERAGE($F686:OFFSET($F686,(($I$1-1)*-1),0)))</f>
        <v>181.20000000000002</v>
      </c>
      <c r="J686" s="6">
        <f ca="1">IF(ROW($J686)-1&lt;$K$1,$F686,AVERAGE($F686:OFFSET($F686,(($K$1-1)*-1),0)))</f>
        <v>173.50892857142864</v>
      </c>
      <c r="L686" s="7">
        <f t="shared" ca="1" si="60"/>
        <v>1</v>
      </c>
      <c r="M686" s="7" t="str">
        <f t="shared" ca="1" si="61"/>
        <v/>
      </c>
      <c r="N686" s="6" t="str">
        <f t="shared" ca="1" si="62"/>
        <v/>
      </c>
      <c r="O686" s="6">
        <f t="shared" si="63"/>
        <v>-7.0999999999999943</v>
      </c>
      <c r="Q686" s="6">
        <v>-5.1999999999999886</v>
      </c>
      <c r="R686" s="9">
        <f t="shared" si="64"/>
        <v>-1949.9999999999957</v>
      </c>
      <c r="S686" s="7">
        <f t="shared" si="65"/>
        <v>3656.2500000000005</v>
      </c>
    </row>
    <row r="687" spans="1:19" x14ac:dyDescent="0.25">
      <c r="A687" s="4">
        <f>Sheet1!A687</f>
        <v>40081</v>
      </c>
      <c r="B687" s="5">
        <f>Sheet1!B687</f>
        <v>0.58333333333333337</v>
      </c>
      <c r="C687" s="6">
        <f>Sheet1!C687</f>
        <v>175.25</v>
      </c>
      <c r="D687" s="6">
        <f>Sheet1!D687</f>
        <v>175.8</v>
      </c>
      <c r="E687" s="6">
        <f>Sheet1!E687</f>
        <v>173.05</v>
      </c>
      <c r="F687" s="6">
        <f>Sheet1!F687</f>
        <v>173.65</v>
      </c>
      <c r="H687" s="6">
        <f ca="1">IF(ROW($H687)-1&lt;$I$1,$F687,AVERAGE($F687:OFFSET($F687,(($I$1-1)*-1),0)))</f>
        <v>179.80833333333337</v>
      </c>
      <c r="J687" s="6">
        <f ca="1">IF(ROW($J687)-1&lt;$K$1,$F687,AVERAGE($F687:OFFSET($F687,(($K$1-1)*-1),0)))</f>
        <v>173.46428571428575</v>
      </c>
      <c r="L687" s="7">
        <f t="shared" ca="1" si="60"/>
        <v>1</v>
      </c>
      <c r="M687" s="7" t="str">
        <f t="shared" ca="1" si="61"/>
        <v/>
      </c>
      <c r="N687" s="6" t="str">
        <f t="shared" ca="1" si="62"/>
        <v/>
      </c>
      <c r="O687" s="6">
        <f t="shared" si="63"/>
        <v>-1.5999999999999943</v>
      </c>
      <c r="Q687" s="6">
        <v>-6.7999999999999829</v>
      </c>
      <c r="R687" s="9">
        <f t="shared" si="64"/>
        <v>-2549.9999999999936</v>
      </c>
      <c r="S687" s="7">
        <f t="shared" si="65"/>
        <v>3656.2500000000005</v>
      </c>
    </row>
    <row r="688" spans="1:19" x14ac:dyDescent="0.25">
      <c r="A688" s="4">
        <f>Sheet1!A688</f>
        <v>40084</v>
      </c>
      <c r="B688" s="5">
        <f>Sheet1!B688</f>
        <v>0.58333333333333337</v>
      </c>
      <c r="C688" s="6">
        <f>Sheet1!C688</f>
        <v>173.3</v>
      </c>
      <c r="D688" s="6">
        <f>Sheet1!D688</f>
        <v>174.5</v>
      </c>
      <c r="E688" s="6">
        <f>Sheet1!E688</f>
        <v>172.95</v>
      </c>
      <c r="F688" s="6">
        <f>Sheet1!F688</f>
        <v>173.1</v>
      </c>
      <c r="H688" s="6">
        <f ca="1">IF(ROW($H688)-1&lt;$I$1,$F688,AVERAGE($F688:OFFSET($F688,(($I$1-1)*-1),0)))</f>
        <v>178.32500000000002</v>
      </c>
      <c r="J688" s="6">
        <f ca="1">IF(ROW($J688)-1&lt;$K$1,$F688,AVERAGE($F688:OFFSET($F688,(($K$1-1)*-1),0)))</f>
        <v>173.42500000000001</v>
      </c>
      <c r="L688" s="7">
        <f t="shared" ca="1" si="60"/>
        <v>1</v>
      </c>
      <c r="M688" s="7" t="str">
        <f t="shared" ca="1" si="61"/>
        <v/>
      </c>
      <c r="N688" s="6" t="str">
        <f t="shared" ca="1" si="62"/>
        <v/>
      </c>
      <c r="O688" s="6">
        <f t="shared" si="63"/>
        <v>-0.55000000000001137</v>
      </c>
      <c r="Q688" s="6">
        <v>-7.3499999999999943</v>
      </c>
      <c r="R688" s="9">
        <f t="shared" si="64"/>
        <v>-2756.2499999999977</v>
      </c>
      <c r="S688" s="7">
        <f t="shared" si="65"/>
        <v>3656.2500000000005</v>
      </c>
    </row>
    <row r="689" spans="1:19" x14ac:dyDescent="0.25">
      <c r="A689" s="4">
        <f>Sheet1!A689</f>
        <v>40085</v>
      </c>
      <c r="B689" s="5">
        <f>Sheet1!B689</f>
        <v>0.58333333333333337</v>
      </c>
      <c r="C689" s="6">
        <f>Sheet1!C689</f>
        <v>173.1</v>
      </c>
      <c r="D689" s="6">
        <f>Sheet1!D689</f>
        <v>173.35</v>
      </c>
      <c r="E689" s="6">
        <f>Sheet1!E689</f>
        <v>171.25</v>
      </c>
      <c r="F689" s="6">
        <f>Sheet1!F689</f>
        <v>171.45</v>
      </c>
      <c r="H689" s="6">
        <f ca="1">IF(ROW($H689)-1&lt;$I$1,$F689,AVERAGE($F689:OFFSET($F689,(($I$1-1)*-1),0)))</f>
        <v>176.63333333333333</v>
      </c>
      <c r="J689" s="6">
        <f ca="1">IF(ROW($J689)-1&lt;$K$1,$F689,AVERAGE($F689:OFFSET($F689,(($K$1-1)*-1),0)))</f>
        <v>173.31071428571428</v>
      </c>
      <c r="L689" s="7">
        <f t="shared" ca="1" si="60"/>
        <v>1</v>
      </c>
      <c r="M689" s="7" t="str">
        <f t="shared" ca="1" si="61"/>
        <v/>
      </c>
      <c r="N689" s="6" t="str">
        <f t="shared" ca="1" si="62"/>
        <v/>
      </c>
      <c r="O689" s="6">
        <f t="shared" si="63"/>
        <v>-1.6500000000000057</v>
      </c>
      <c r="Q689" s="6">
        <v>-9</v>
      </c>
      <c r="R689" s="9">
        <f t="shared" si="64"/>
        <v>-3375</v>
      </c>
      <c r="S689" s="7">
        <f t="shared" si="65"/>
        <v>3656.2500000000005</v>
      </c>
    </row>
    <row r="690" spans="1:19" x14ac:dyDescent="0.25">
      <c r="A690" s="4">
        <f>Sheet1!A690</f>
        <v>40086</v>
      </c>
      <c r="B690" s="5">
        <f>Sheet1!B690</f>
        <v>0.58333333333333337</v>
      </c>
      <c r="C690" s="6">
        <f>Sheet1!C690</f>
        <v>171.6</v>
      </c>
      <c r="D690" s="6">
        <f>Sheet1!D690</f>
        <v>173.95</v>
      </c>
      <c r="E690" s="6">
        <f>Sheet1!E690</f>
        <v>171.5</v>
      </c>
      <c r="F690" s="6">
        <f>Sheet1!F690</f>
        <v>173.75</v>
      </c>
      <c r="H690" s="6">
        <f ca="1">IF(ROW($H690)-1&lt;$I$1,$F690,AVERAGE($F690:OFFSET($F690,(($I$1-1)*-1),0)))</f>
        <v>174.92499999999998</v>
      </c>
      <c r="J690" s="6">
        <f ca="1">IF(ROW($J690)-1&lt;$K$1,$F690,AVERAGE($F690:OFFSET($F690,(($K$1-1)*-1),0)))</f>
        <v>173.38214285714284</v>
      </c>
      <c r="L690" s="7">
        <f t="shared" ca="1" si="60"/>
        <v>1</v>
      </c>
      <c r="M690" s="7" t="str">
        <f t="shared" ca="1" si="61"/>
        <v/>
      </c>
      <c r="N690" s="6" t="str">
        <f t="shared" ca="1" si="62"/>
        <v/>
      </c>
      <c r="O690" s="6">
        <f t="shared" si="63"/>
        <v>2.3000000000000114</v>
      </c>
      <c r="Q690" s="6">
        <v>-6.6999999999999886</v>
      </c>
      <c r="R690" s="9">
        <f t="shared" si="64"/>
        <v>-2512.4999999999959</v>
      </c>
      <c r="S690" s="7">
        <f t="shared" si="65"/>
        <v>3656.2500000000005</v>
      </c>
    </row>
    <row r="691" spans="1:19" x14ac:dyDescent="0.25">
      <c r="A691" s="4">
        <f>Sheet1!A691</f>
        <v>40087</v>
      </c>
      <c r="B691" s="5">
        <f>Sheet1!B691</f>
        <v>0.58333333333333337</v>
      </c>
      <c r="C691" s="6">
        <f>Sheet1!C691</f>
        <v>173.45</v>
      </c>
      <c r="D691" s="6">
        <f>Sheet1!D691</f>
        <v>175.7</v>
      </c>
      <c r="E691" s="6">
        <f>Sheet1!E691</f>
        <v>171.85</v>
      </c>
      <c r="F691" s="6">
        <f>Sheet1!F691</f>
        <v>172.65</v>
      </c>
      <c r="H691" s="6">
        <f ca="1">IF(ROW($H691)-1&lt;$I$1,$F691,AVERAGE($F691:OFFSET($F691,(($I$1-1)*-1),0)))</f>
        <v>173.30833333333337</v>
      </c>
      <c r="J691" s="6">
        <f ca="1">IF(ROW($J691)-1&lt;$K$1,$F691,AVERAGE($F691:OFFSET($F691,(($K$1-1)*-1),0)))</f>
        <v>173.44107142857141</v>
      </c>
      <c r="L691" s="7">
        <f t="shared" ca="1" si="60"/>
        <v>-1</v>
      </c>
      <c r="M691" s="7">
        <f t="shared" ca="1" si="61"/>
        <v>-1</v>
      </c>
      <c r="N691" s="6" t="str">
        <f t="shared" ca="1" si="62"/>
        <v/>
      </c>
      <c r="O691" s="6">
        <f t="shared" si="63"/>
        <v>-1.0999999999999943</v>
      </c>
      <c r="Q691" s="6">
        <v>-7.7999999999999829</v>
      </c>
      <c r="R691" s="9">
        <f t="shared" si="64"/>
        <v>-2924.9999999999936</v>
      </c>
      <c r="S691" s="7">
        <f t="shared" si="65"/>
        <v>3656.2500000000005</v>
      </c>
    </row>
    <row r="692" spans="1:19" x14ac:dyDescent="0.25">
      <c r="A692" s="4">
        <f>Sheet1!A692</f>
        <v>40088</v>
      </c>
      <c r="B692" s="5">
        <f>Sheet1!B692</f>
        <v>0.58333333333333337</v>
      </c>
      <c r="C692" s="6">
        <f>Sheet1!C692</f>
        <v>172.65</v>
      </c>
      <c r="D692" s="6">
        <f>Sheet1!D692</f>
        <v>175.95</v>
      </c>
      <c r="E692" s="6">
        <f>Sheet1!E692</f>
        <v>172.2</v>
      </c>
      <c r="F692" s="6">
        <f>Sheet1!F692</f>
        <v>175.65</v>
      </c>
      <c r="H692" s="6">
        <f ca="1">IF(ROW($H692)-1&lt;$I$1,$F692,AVERAGE($F692:OFFSET($F692,(($I$1-1)*-1),0)))</f>
        <v>173.375</v>
      </c>
      <c r="J692" s="6">
        <f ca="1">IF(ROW($J692)-1&lt;$K$1,$F692,AVERAGE($F692:OFFSET($F692,(($K$1-1)*-1),0)))</f>
        <v>173.69821428571427</v>
      </c>
      <c r="L692" s="7">
        <f t="shared" ca="1" si="60"/>
        <v>-1</v>
      </c>
      <c r="M692" s="7" t="str">
        <f t="shared" ca="1" si="61"/>
        <v/>
      </c>
      <c r="N692" s="6">
        <f t="shared" ca="1" si="62"/>
        <v>172.65</v>
      </c>
      <c r="O692" s="6">
        <f t="shared" si="63"/>
        <v>3</v>
      </c>
      <c r="P692" s="6">
        <v>-7.7999999999999829</v>
      </c>
      <c r="Q692" s="6">
        <v>-3</v>
      </c>
      <c r="R692" s="9">
        <f t="shared" si="64"/>
        <v>-1125</v>
      </c>
      <c r="S692" s="7">
        <f t="shared" si="65"/>
        <v>731.25000000000682</v>
      </c>
    </row>
    <row r="693" spans="1:19" x14ac:dyDescent="0.25">
      <c r="A693" s="4">
        <f>Sheet1!A693</f>
        <v>40091</v>
      </c>
      <c r="B693" s="5">
        <f>Sheet1!B693</f>
        <v>0.58333333333333337</v>
      </c>
      <c r="C693" s="6">
        <f>Sheet1!C693</f>
        <v>175.65</v>
      </c>
      <c r="D693" s="6">
        <f>Sheet1!D693</f>
        <v>177.6</v>
      </c>
      <c r="E693" s="6">
        <f>Sheet1!E693</f>
        <v>174.8</v>
      </c>
      <c r="F693" s="6">
        <f>Sheet1!F693</f>
        <v>175.4</v>
      </c>
      <c r="H693" s="6">
        <f ca="1">IF(ROW($H693)-1&lt;$I$1,$F693,AVERAGE($F693:OFFSET($F693,(($I$1-1)*-1),0)))</f>
        <v>173.66666666666666</v>
      </c>
      <c r="J693" s="6">
        <f ca="1">IF(ROW($J693)-1&lt;$K$1,$F693,AVERAGE($F693:OFFSET($F693,(($K$1-1)*-1),0)))</f>
        <v>173.98571428571427</v>
      </c>
      <c r="L693" s="7">
        <f t="shared" ca="1" si="60"/>
        <v>-1</v>
      </c>
      <c r="M693" s="7" t="str">
        <f t="shared" ca="1" si="61"/>
        <v/>
      </c>
      <c r="N693" s="6" t="str">
        <f t="shared" ca="1" si="62"/>
        <v/>
      </c>
      <c r="O693" s="6">
        <f t="shared" si="63"/>
        <v>-0.25</v>
      </c>
      <c r="Q693" s="6">
        <v>-2.75</v>
      </c>
      <c r="R693" s="9">
        <f t="shared" si="64"/>
        <v>-1031.25</v>
      </c>
      <c r="S693" s="7">
        <f t="shared" si="65"/>
        <v>731.25000000000682</v>
      </c>
    </row>
    <row r="694" spans="1:19" x14ac:dyDescent="0.25">
      <c r="A694" s="4">
        <f>Sheet1!A694</f>
        <v>40092</v>
      </c>
      <c r="B694" s="5">
        <f>Sheet1!B694</f>
        <v>0.58333333333333337</v>
      </c>
      <c r="C694" s="6">
        <f>Sheet1!C694</f>
        <v>175.95</v>
      </c>
      <c r="D694" s="6">
        <f>Sheet1!D694</f>
        <v>181.3</v>
      </c>
      <c r="E694" s="6">
        <f>Sheet1!E694</f>
        <v>175.65</v>
      </c>
      <c r="F694" s="6">
        <f>Sheet1!F694</f>
        <v>179.55</v>
      </c>
      <c r="H694" s="6">
        <f ca="1">IF(ROW($H694)-1&lt;$I$1,$F694,AVERAGE($F694:OFFSET($F694,(($I$1-1)*-1),0)))</f>
        <v>174.74166666666667</v>
      </c>
      <c r="J694" s="6">
        <f ca="1">IF(ROW($J694)-1&lt;$K$1,$F694,AVERAGE($F694:OFFSET($F694,(($K$1-1)*-1),0)))</f>
        <v>174.31071428571425</v>
      </c>
      <c r="L694" s="7">
        <f t="shared" ca="1" si="60"/>
        <v>1</v>
      </c>
      <c r="M694" s="7">
        <f t="shared" ca="1" si="61"/>
        <v>1</v>
      </c>
      <c r="N694" s="6" t="str">
        <f t="shared" ca="1" si="62"/>
        <v/>
      </c>
      <c r="O694" s="6">
        <f t="shared" si="63"/>
        <v>4.1500000000000057</v>
      </c>
      <c r="Q694" s="6">
        <v>-6.9000000000000057</v>
      </c>
      <c r="R694" s="9">
        <f t="shared" si="64"/>
        <v>-2587.5000000000023</v>
      </c>
      <c r="S694" s="7">
        <f t="shared" si="65"/>
        <v>731.25000000000682</v>
      </c>
    </row>
    <row r="695" spans="1:19" x14ac:dyDescent="0.25">
      <c r="A695" s="4">
        <f>Sheet1!A695</f>
        <v>40093</v>
      </c>
      <c r="B695" s="5">
        <f>Sheet1!B695</f>
        <v>0.58333333333333337</v>
      </c>
      <c r="C695" s="6">
        <f>Sheet1!C695</f>
        <v>179.55</v>
      </c>
      <c r="D695" s="6">
        <f>Sheet1!D695</f>
        <v>181.3</v>
      </c>
      <c r="E695" s="6">
        <f>Sheet1!E695</f>
        <v>179</v>
      </c>
      <c r="F695" s="6">
        <f>Sheet1!F695</f>
        <v>180.2</v>
      </c>
      <c r="H695" s="6">
        <f ca="1">IF(ROW($H695)-1&lt;$I$1,$F695,AVERAGE($F695:OFFSET($F695,(($I$1-1)*-1),0)))</f>
        <v>176.20000000000002</v>
      </c>
      <c r="J695" s="6">
        <f ca="1">IF(ROW($J695)-1&lt;$K$1,$F695,AVERAGE($F695:OFFSET($F695,(($K$1-1)*-1),0)))</f>
        <v>174.77142857142852</v>
      </c>
      <c r="L695" s="7">
        <f t="shared" ca="1" si="60"/>
        <v>1</v>
      </c>
      <c r="M695" s="7" t="str">
        <f t="shared" ca="1" si="61"/>
        <v/>
      </c>
      <c r="N695" s="6">
        <f t="shared" ca="1" si="62"/>
        <v>179.55</v>
      </c>
      <c r="O695" s="6">
        <f t="shared" si="63"/>
        <v>0.64999999999997726</v>
      </c>
      <c r="P695" s="6">
        <v>-6.9000000000000057</v>
      </c>
      <c r="Q695" s="6">
        <v>0.64999999999997726</v>
      </c>
      <c r="R695" s="9">
        <f t="shared" si="64"/>
        <v>243.74999999999147</v>
      </c>
      <c r="S695" s="7">
        <f t="shared" si="65"/>
        <v>-1856.2499999999955</v>
      </c>
    </row>
    <row r="696" spans="1:19" x14ac:dyDescent="0.25">
      <c r="A696" s="4">
        <f>Sheet1!A696</f>
        <v>40094</v>
      </c>
      <c r="B696" s="5">
        <f>Sheet1!B696</f>
        <v>0.58333333333333337</v>
      </c>
      <c r="C696" s="6">
        <f>Sheet1!C696</f>
        <v>180.95</v>
      </c>
      <c r="D696" s="6">
        <f>Sheet1!D696</f>
        <v>184.95</v>
      </c>
      <c r="E696" s="6">
        <f>Sheet1!E696</f>
        <v>180.85</v>
      </c>
      <c r="F696" s="6">
        <f>Sheet1!F696</f>
        <v>183.85</v>
      </c>
      <c r="H696" s="6">
        <f ca="1">IF(ROW($H696)-1&lt;$I$1,$F696,AVERAGE($F696:OFFSET($F696,(($I$1-1)*-1),0)))</f>
        <v>177.88333333333333</v>
      </c>
      <c r="J696" s="6">
        <f ca="1">IF(ROW($J696)-1&lt;$K$1,$F696,AVERAGE($F696:OFFSET($F696,(($K$1-1)*-1),0)))</f>
        <v>175.32857142857142</v>
      </c>
      <c r="L696" s="7">
        <f t="shared" ca="1" si="60"/>
        <v>1</v>
      </c>
      <c r="M696" s="7" t="str">
        <f t="shared" ca="1" si="61"/>
        <v/>
      </c>
      <c r="N696" s="6" t="str">
        <f t="shared" ca="1" si="62"/>
        <v/>
      </c>
      <c r="O696" s="6">
        <f t="shared" si="63"/>
        <v>3.6500000000000057</v>
      </c>
      <c r="Q696" s="6">
        <v>4.2999999999999829</v>
      </c>
      <c r="R696" s="9">
        <f t="shared" si="64"/>
        <v>1612.4999999999936</v>
      </c>
      <c r="S696" s="7">
        <f t="shared" si="65"/>
        <v>-1856.2499999999955</v>
      </c>
    </row>
    <row r="697" spans="1:19" x14ac:dyDescent="0.25">
      <c r="A697" s="4">
        <f>Sheet1!A697</f>
        <v>40095</v>
      </c>
      <c r="B697" s="5">
        <f>Sheet1!B697</f>
        <v>0.58333333333333337</v>
      </c>
      <c r="C697" s="6">
        <f>Sheet1!C697</f>
        <v>182.95</v>
      </c>
      <c r="D697" s="6">
        <f>Sheet1!D697</f>
        <v>184.9</v>
      </c>
      <c r="E697" s="6">
        <f>Sheet1!E697</f>
        <v>181.15</v>
      </c>
      <c r="F697" s="6">
        <f>Sheet1!F697</f>
        <v>181.6</v>
      </c>
      <c r="H697" s="6">
        <f ca="1">IF(ROW($H697)-1&lt;$I$1,$F697,AVERAGE($F697:OFFSET($F697,(($I$1-1)*-1),0)))</f>
        <v>179.375</v>
      </c>
      <c r="J697" s="6">
        <f ca="1">IF(ROW($J697)-1&lt;$K$1,$F697,AVERAGE($F697:OFFSET($F697,(($K$1-1)*-1),0)))</f>
        <v>175.80535714285716</v>
      </c>
      <c r="L697" s="7">
        <f t="shared" ca="1" si="60"/>
        <v>1</v>
      </c>
      <c r="M697" s="7" t="str">
        <f t="shared" ca="1" si="61"/>
        <v/>
      </c>
      <c r="N697" s="6" t="str">
        <f t="shared" ca="1" si="62"/>
        <v/>
      </c>
      <c r="O697" s="6">
        <f t="shared" si="63"/>
        <v>-2.25</v>
      </c>
      <c r="Q697" s="6">
        <v>2.0499999999999829</v>
      </c>
      <c r="R697" s="9">
        <f t="shared" si="64"/>
        <v>768.74999999999363</v>
      </c>
      <c r="S697" s="7">
        <f t="shared" si="65"/>
        <v>-1856.2499999999955</v>
      </c>
    </row>
    <row r="698" spans="1:19" x14ac:dyDescent="0.25">
      <c r="A698" s="4">
        <f>Sheet1!A698</f>
        <v>40098</v>
      </c>
      <c r="B698" s="5">
        <f>Sheet1!B698</f>
        <v>0.58333333333333337</v>
      </c>
      <c r="C698" s="6">
        <f>Sheet1!C698</f>
        <v>181.2</v>
      </c>
      <c r="D698" s="6">
        <f>Sheet1!D698</f>
        <v>184.85</v>
      </c>
      <c r="E698" s="6">
        <f>Sheet1!E698</f>
        <v>179.55</v>
      </c>
      <c r="F698" s="6">
        <f>Sheet1!F698</f>
        <v>184</v>
      </c>
      <c r="H698" s="6">
        <f ca="1">IF(ROW($H698)-1&lt;$I$1,$F698,AVERAGE($F698:OFFSET($F698,(($I$1-1)*-1),0)))</f>
        <v>180.76666666666668</v>
      </c>
      <c r="J698" s="6">
        <f ca="1">IF(ROW($J698)-1&lt;$K$1,$F698,AVERAGE($F698:OFFSET($F698,(($K$1-1)*-1),0)))</f>
        <v>176.44642857142858</v>
      </c>
      <c r="L698" s="7">
        <f t="shared" ca="1" si="60"/>
        <v>1</v>
      </c>
      <c r="M698" s="7" t="str">
        <f t="shared" ca="1" si="61"/>
        <v/>
      </c>
      <c r="N698" s="6" t="str">
        <f t="shared" ca="1" si="62"/>
        <v/>
      </c>
      <c r="O698" s="6">
        <f t="shared" si="63"/>
        <v>2.4000000000000057</v>
      </c>
      <c r="Q698" s="6">
        <v>4.4499999999999886</v>
      </c>
      <c r="R698" s="9">
        <f t="shared" si="64"/>
        <v>1668.7499999999957</v>
      </c>
      <c r="S698" s="7">
        <f t="shared" si="65"/>
        <v>-1856.2499999999955</v>
      </c>
    </row>
    <row r="699" spans="1:19" x14ac:dyDescent="0.25">
      <c r="A699" s="4">
        <f>Sheet1!A699</f>
        <v>40099</v>
      </c>
      <c r="B699" s="5">
        <f>Sheet1!B699</f>
        <v>0.58333333333333337</v>
      </c>
      <c r="C699" s="6">
        <f>Sheet1!C699</f>
        <v>184.1</v>
      </c>
      <c r="D699" s="6">
        <f>Sheet1!D699</f>
        <v>185.7</v>
      </c>
      <c r="E699" s="6">
        <f>Sheet1!E699</f>
        <v>181.75</v>
      </c>
      <c r="F699" s="6">
        <f>Sheet1!F699</f>
        <v>184.4</v>
      </c>
      <c r="H699" s="6">
        <f ca="1">IF(ROW($H699)-1&lt;$I$1,$F699,AVERAGE($F699:OFFSET($F699,(($I$1-1)*-1),0)))</f>
        <v>182.26666666666668</v>
      </c>
      <c r="J699" s="6">
        <f ca="1">IF(ROW($J699)-1&lt;$K$1,$F699,AVERAGE($F699:OFFSET($F699,(($K$1-1)*-1),0)))</f>
        <v>177.06428571428575</v>
      </c>
      <c r="L699" s="7">
        <f t="shared" ca="1" si="60"/>
        <v>1</v>
      </c>
      <c r="M699" s="7" t="str">
        <f t="shared" ca="1" si="61"/>
        <v/>
      </c>
      <c r="N699" s="6" t="str">
        <f t="shared" ca="1" si="62"/>
        <v/>
      </c>
      <c r="O699" s="6">
        <f t="shared" si="63"/>
        <v>0.40000000000000568</v>
      </c>
      <c r="Q699" s="6">
        <v>4.8499999999999943</v>
      </c>
      <c r="R699" s="9">
        <f t="shared" si="64"/>
        <v>1818.749999999998</v>
      </c>
      <c r="S699" s="7">
        <f t="shared" si="65"/>
        <v>-1856.2499999999955</v>
      </c>
    </row>
    <row r="700" spans="1:19" x14ac:dyDescent="0.25">
      <c r="A700" s="4">
        <f>Sheet1!A700</f>
        <v>40100</v>
      </c>
      <c r="B700" s="5">
        <f>Sheet1!B700</f>
        <v>0.58333333333333337</v>
      </c>
      <c r="C700" s="6">
        <f>Sheet1!C700</f>
        <v>184.7</v>
      </c>
      <c r="D700" s="6">
        <f>Sheet1!D700</f>
        <v>185.4</v>
      </c>
      <c r="E700" s="6">
        <f>Sheet1!E700</f>
        <v>183.95</v>
      </c>
      <c r="F700" s="6">
        <f>Sheet1!F700</f>
        <v>185.2</v>
      </c>
      <c r="H700" s="6">
        <f ca="1">IF(ROW($H700)-1&lt;$I$1,$F700,AVERAGE($F700:OFFSET($F700,(($I$1-1)*-1),0)))</f>
        <v>183.20833333333334</v>
      </c>
      <c r="J700" s="6">
        <f ca="1">IF(ROW($J700)-1&lt;$K$1,$F700,AVERAGE($F700:OFFSET($F700,(($K$1-1)*-1),0)))</f>
        <v>177.72321428571428</v>
      </c>
      <c r="L700" s="7">
        <f t="shared" ca="1" si="60"/>
        <v>1</v>
      </c>
      <c r="M700" s="7" t="str">
        <f t="shared" ca="1" si="61"/>
        <v/>
      </c>
      <c r="N700" s="6" t="str">
        <f t="shared" ca="1" si="62"/>
        <v/>
      </c>
      <c r="O700" s="6">
        <f t="shared" si="63"/>
        <v>0.79999999999998295</v>
      </c>
      <c r="Q700" s="6">
        <v>5.6499999999999773</v>
      </c>
      <c r="R700" s="9">
        <f t="shared" si="64"/>
        <v>2118.7499999999914</v>
      </c>
      <c r="S700" s="7">
        <f t="shared" si="65"/>
        <v>-1856.2499999999955</v>
      </c>
    </row>
    <row r="701" spans="1:19" x14ac:dyDescent="0.25">
      <c r="A701" s="4">
        <f>Sheet1!A701</f>
        <v>40101</v>
      </c>
      <c r="B701" s="5">
        <f>Sheet1!B701</f>
        <v>0.58333333333333337</v>
      </c>
      <c r="C701" s="6">
        <f>Sheet1!C701</f>
        <v>185.2</v>
      </c>
      <c r="D701" s="6">
        <f>Sheet1!D701</f>
        <v>185.4</v>
      </c>
      <c r="E701" s="6">
        <f>Sheet1!E701</f>
        <v>182.25</v>
      </c>
      <c r="F701" s="6">
        <f>Sheet1!F701</f>
        <v>183.7</v>
      </c>
      <c r="H701" s="6">
        <f ca="1">IF(ROW($H701)-1&lt;$I$1,$F701,AVERAGE($F701:OFFSET($F701,(($I$1-1)*-1),0)))</f>
        <v>183.79166666666666</v>
      </c>
      <c r="J701" s="6">
        <f ca="1">IF(ROW($J701)-1&lt;$K$1,$F701,AVERAGE($F701:OFFSET($F701,(($K$1-1)*-1),0)))</f>
        <v>178.21071428571426</v>
      </c>
      <c r="L701" s="7">
        <f t="shared" ca="1" si="60"/>
        <v>1</v>
      </c>
      <c r="M701" s="7" t="str">
        <f t="shared" ca="1" si="61"/>
        <v/>
      </c>
      <c r="N701" s="6" t="str">
        <f t="shared" ca="1" si="62"/>
        <v/>
      </c>
      <c r="O701" s="6">
        <f t="shared" si="63"/>
        <v>-1.5</v>
      </c>
      <c r="Q701" s="6">
        <v>4.1499999999999773</v>
      </c>
      <c r="R701" s="9">
        <f t="shared" si="64"/>
        <v>1556.2499999999914</v>
      </c>
      <c r="S701" s="7">
        <f t="shared" si="65"/>
        <v>-1856.2499999999955</v>
      </c>
    </row>
    <row r="702" spans="1:19" x14ac:dyDescent="0.25">
      <c r="A702" s="4">
        <f>Sheet1!A702</f>
        <v>40102</v>
      </c>
      <c r="B702" s="5">
        <f>Sheet1!B702</f>
        <v>0.58333333333333337</v>
      </c>
      <c r="C702" s="6">
        <f>Sheet1!C702</f>
        <v>183.7</v>
      </c>
      <c r="D702" s="6">
        <f>Sheet1!D702</f>
        <v>188.95</v>
      </c>
      <c r="E702" s="6">
        <f>Sheet1!E702</f>
        <v>182.55</v>
      </c>
      <c r="F702" s="6">
        <f>Sheet1!F702</f>
        <v>188.8</v>
      </c>
      <c r="H702" s="6">
        <f ca="1">IF(ROW($H702)-1&lt;$I$1,$F702,AVERAGE($F702:OFFSET($F702,(($I$1-1)*-1),0)))</f>
        <v>184.61666666666667</v>
      </c>
      <c r="J702" s="6">
        <f ca="1">IF(ROW($J702)-1&lt;$K$1,$F702,AVERAGE($F702:OFFSET($F702,(($K$1-1)*-1),0)))</f>
        <v>178.86249999999995</v>
      </c>
      <c r="L702" s="7">
        <f t="shared" ca="1" si="60"/>
        <v>1</v>
      </c>
      <c r="M702" s="7" t="str">
        <f t="shared" ca="1" si="61"/>
        <v/>
      </c>
      <c r="N702" s="6" t="str">
        <f t="shared" ca="1" si="62"/>
        <v/>
      </c>
      <c r="O702" s="6">
        <f t="shared" si="63"/>
        <v>5.1000000000000227</v>
      </c>
      <c r="Q702" s="6">
        <v>9.25</v>
      </c>
      <c r="R702" s="9">
        <f t="shared" si="64"/>
        <v>3468.75</v>
      </c>
      <c r="S702" s="7">
        <f t="shared" si="65"/>
        <v>-1856.2499999999955</v>
      </c>
    </row>
    <row r="703" spans="1:19" x14ac:dyDescent="0.25">
      <c r="A703" s="4">
        <f>Sheet1!A703</f>
        <v>40105</v>
      </c>
      <c r="B703" s="5">
        <f>Sheet1!B703</f>
        <v>0.58333333333333337</v>
      </c>
      <c r="C703" s="6">
        <f>Sheet1!C703</f>
        <v>188.8</v>
      </c>
      <c r="D703" s="6">
        <f>Sheet1!D703</f>
        <v>191.35</v>
      </c>
      <c r="E703" s="6">
        <f>Sheet1!E703</f>
        <v>187.2</v>
      </c>
      <c r="F703" s="6">
        <f>Sheet1!F703</f>
        <v>190.2</v>
      </c>
      <c r="H703" s="6">
        <f ca="1">IF(ROW($H703)-1&lt;$I$1,$F703,AVERAGE($F703:OFFSET($F703,(($I$1-1)*-1),0)))</f>
        <v>186.04999999999998</v>
      </c>
      <c r="J703" s="6">
        <f ca="1">IF(ROW($J703)-1&lt;$K$1,$F703,AVERAGE($F703:OFFSET($F703,(($K$1-1)*-1),0)))</f>
        <v>179.54285714285712</v>
      </c>
      <c r="L703" s="7">
        <f t="shared" ca="1" si="60"/>
        <v>1</v>
      </c>
      <c r="M703" s="7" t="str">
        <f t="shared" ca="1" si="61"/>
        <v/>
      </c>
      <c r="N703" s="6" t="str">
        <f t="shared" ca="1" si="62"/>
        <v/>
      </c>
      <c r="O703" s="6">
        <f t="shared" si="63"/>
        <v>1.3999999999999773</v>
      </c>
      <c r="Q703" s="6">
        <v>10.649999999999977</v>
      </c>
      <c r="R703" s="9">
        <f t="shared" si="64"/>
        <v>3993.7499999999914</v>
      </c>
      <c r="S703" s="7">
        <f t="shared" si="65"/>
        <v>-1856.2499999999955</v>
      </c>
    </row>
    <row r="704" spans="1:19" x14ac:dyDescent="0.25">
      <c r="A704" s="4">
        <f>Sheet1!A704</f>
        <v>40106</v>
      </c>
      <c r="B704" s="5">
        <f>Sheet1!B704</f>
        <v>0.58333333333333337</v>
      </c>
      <c r="C704" s="6">
        <f>Sheet1!C704</f>
        <v>189.95</v>
      </c>
      <c r="D704" s="6">
        <f>Sheet1!D704</f>
        <v>189.95</v>
      </c>
      <c r="E704" s="6">
        <f>Sheet1!E704</f>
        <v>185.95</v>
      </c>
      <c r="F704" s="6">
        <f>Sheet1!F704</f>
        <v>187.75</v>
      </c>
      <c r="H704" s="6">
        <f ca="1">IF(ROW($H704)-1&lt;$I$1,$F704,AVERAGE($F704:OFFSET($F704,(($I$1-1)*-1),0)))</f>
        <v>186.67499999999998</v>
      </c>
      <c r="J704" s="6">
        <f ca="1">IF(ROW($J704)-1&lt;$K$1,$F704,AVERAGE($F704:OFFSET($F704,(($K$1-1)*-1),0)))</f>
        <v>180.15535714285713</v>
      </c>
      <c r="L704" s="7">
        <f t="shared" ca="1" si="60"/>
        <v>1</v>
      </c>
      <c r="M704" s="7" t="str">
        <f t="shared" ca="1" si="61"/>
        <v/>
      </c>
      <c r="N704" s="6" t="str">
        <f t="shared" ca="1" si="62"/>
        <v/>
      </c>
      <c r="O704" s="6">
        <f t="shared" si="63"/>
        <v>-2.4499999999999886</v>
      </c>
      <c r="Q704" s="6">
        <v>8.1999999999999886</v>
      </c>
      <c r="R704" s="9">
        <f t="shared" si="64"/>
        <v>3074.9999999999959</v>
      </c>
      <c r="S704" s="7">
        <f t="shared" si="65"/>
        <v>-1856.2499999999955</v>
      </c>
    </row>
    <row r="705" spans="1:19" x14ac:dyDescent="0.25">
      <c r="A705" s="4">
        <f>Sheet1!A705</f>
        <v>40107</v>
      </c>
      <c r="B705" s="5">
        <f>Sheet1!B705</f>
        <v>0.58333333333333337</v>
      </c>
      <c r="C705" s="6">
        <f>Sheet1!C705</f>
        <v>187.8</v>
      </c>
      <c r="D705" s="6">
        <f>Sheet1!D705</f>
        <v>190.35</v>
      </c>
      <c r="E705" s="6">
        <f>Sheet1!E705</f>
        <v>185.95</v>
      </c>
      <c r="F705" s="6">
        <f>Sheet1!F705</f>
        <v>190.25</v>
      </c>
      <c r="H705" s="6">
        <f ca="1">IF(ROW($H705)-1&lt;$I$1,$F705,AVERAGE($F705:OFFSET($F705,(($I$1-1)*-1),0)))</f>
        <v>187.65</v>
      </c>
      <c r="J705" s="6">
        <f ca="1">IF(ROW($J705)-1&lt;$K$1,$F705,AVERAGE($F705:OFFSET($F705,(($K$1-1)*-1),0)))</f>
        <v>180.78928571428568</v>
      </c>
      <c r="L705" s="7">
        <f t="shared" ca="1" si="60"/>
        <v>1</v>
      </c>
      <c r="M705" s="7" t="str">
        <f t="shared" ca="1" si="61"/>
        <v/>
      </c>
      <c r="N705" s="6" t="str">
        <f t="shared" ca="1" si="62"/>
        <v/>
      </c>
      <c r="O705" s="6">
        <f t="shared" si="63"/>
        <v>2.5</v>
      </c>
      <c r="Q705" s="6">
        <v>10.699999999999989</v>
      </c>
      <c r="R705" s="9">
        <f t="shared" si="64"/>
        <v>4012.4999999999959</v>
      </c>
      <c r="S705" s="7">
        <f t="shared" si="65"/>
        <v>-1856.2499999999955</v>
      </c>
    </row>
    <row r="706" spans="1:19" x14ac:dyDescent="0.25">
      <c r="A706" s="4">
        <f>Sheet1!A706</f>
        <v>40108</v>
      </c>
      <c r="B706" s="5">
        <f>Sheet1!B706</f>
        <v>0.58333333333333337</v>
      </c>
      <c r="C706" s="6">
        <f>Sheet1!C706</f>
        <v>189.5</v>
      </c>
      <c r="D706" s="6">
        <f>Sheet1!D706</f>
        <v>189.75</v>
      </c>
      <c r="E706" s="6">
        <f>Sheet1!E706</f>
        <v>186.25</v>
      </c>
      <c r="F706" s="6">
        <f>Sheet1!F706</f>
        <v>189.6</v>
      </c>
      <c r="H706" s="6">
        <f ca="1">IF(ROW($H706)-1&lt;$I$1,$F706,AVERAGE($F706:OFFSET($F706,(($I$1-1)*-1),0)))</f>
        <v>188.38333333333333</v>
      </c>
      <c r="J706" s="6">
        <f ca="1">IF(ROW($J706)-1&lt;$K$1,$F706,AVERAGE($F706:OFFSET($F706,(($K$1-1)*-1),0)))</f>
        <v>181.16607142857146</v>
      </c>
      <c r="L706" s="7">
        <f t="shared" ca="1" si="60"/>
        <v>1</v>
      </c>
      <c r="M706" s="7" t="str">
        <f t="shared" ca="1" si="61"/>
        <v/>
      </c>
      <c r="N706" s="6" t="str">
        <f t="shared" ca="1" si="62"/>
        <v/>
      </c>
      <c r="O706" s="6">
        <f t="shared" si="63"/>
        <v>-0.65000000000000568</v>
      </c>
      <c r="Q706" s="6">
        <v>10.049999999999983</v>
      </c>
      <c r="R706" s="9">
        <f t="shared" si="64"/>
        <v>3768.7499999999936</v>
      </c>
      <c r="S706" s="7">
        <f t="shared" si="65"/>
        <v>-1856.2499999999955</v>
      </c>
    </row>
    <row r="707" spans="1:19" x14ac:dyDescent="0.25">
      <c r="A707" s="4">
        <f>Sheet1!A707</f>
        <v>40109</v>
      </c>
      <c r="B707" s="5">
        <f>Sheet1!B707</f>
        <v>0.58333333333333337</v>
      </c>
      <c r="C707" s="6">
        <f>Sheet1!C707</f>
        <v>189.2</v>
      </c>
      <c r="D707" s="6">
        <f>Sheet1!D707</f>
        <v>189.2</v>
      </c>
      <c r="E707" s="6">
        <f>Sheet1!E707</f>
        <v>181.9</v>
      </c>
      <c r="F707" s="6">
        <f>Sheet1!F707</f>
        <v>183.1</v>
      </c>
      <c r="H707" s="6">
        <f ca="1">IF(ROW($H707)-1&lt;$I$1,$F707,AVERAGE($F707:OFFSET($F707,(($I$1-1)*-1),0)))</f>
        <v>188.28333333333333</v>
      </c>
      <c r="J707" s="6">
        <f ca="1">IF(ROW($J707)-1&lt;$K$1,$F707,AVERAGE($F707:OFFSET($F707,(($K$1-1)*-1),0)))</f>
        <v>181.25714285714284</v>
      </c>
      <c r="L707" s="7">
        <f t="shared" ref="L707:L770" ca="1" si="66">IF(ROW($L707)&gt;($K$1),IF($H707&gt;$J707,1,IF($H707&lt;$J707,-1,$L706*-1)),0)</f>
        <v>1</v>
      </c>
      <c r="M707" s="7" t="str">
        <f t="shared" ca="1" si="61"/>
        <v/>
      </c>
      <c r="N707" s="6" t="str">
        <f t="shared" ca="1" si="62"/>
        <v/>
      </c>
      <c r="O707" s="6">
        <f t="shared" si="63"/>
        <v>-6.5</v>
      </c>
      <c r="Q707" s="6">
        <v>3.5499999999999829</v>
      </c>
      <c r="R707" s="9">
        <f t="shared" si="64"/>
        <v>1331.2499999999936</v>
      </c>
      <c r="S707" s="7">
        <f t="shared" si="65"/>
        <v>-1856.2499999999955</v>
      </c>
    </row>
    <row r="708" spans="1:19" x14ac:dyDescent="0.25">
      <c r="A708" s="4">
        <f>Sheet1!A708</f>
        <v>40112</v>
      </c>
      <c r="B708" s="5">
        <f>Sheet1!B708</f>
        <v>0.58333333333333337</v>
      </c>
      <c r="C708" s="6">
        <f>Sheet1!C708</f>
        <v>182.7</v>
      </c>
      <c r="D708" s="6">
        <f>Sheet1!D708</f>
        <v>185.15</v>
      </c>
      <c r="E708" s="6">
        <f>Sheet1!E708</f>
        <v>180.15</v>
      </c>
      <c r="F708" s="6">
        <f>Sheet1!F708</f>
        <v>182.45</v>
      </c>
      <c r="H708" s="6">
        <f ca="1">IF(ROW($H708)-1&lt;$I$1,$F708,AVERAGE($F708:OFFSET($F708,(($I$1-1)*-1),0)))</f>
        <v>187.22500000000002</v>
      </c>
      <c r="J708" s="6">
        <f ca="1">IF(ROW($J708)-1&lt;$K$1,$F708,AVERAGE($F708:OFFSET($F708,(($K$1-1)*-1),0)))</f>
        <v>181.33928571428575</v>
      </c>
      <c r="L708" s="7">
        <f t="shared" ca="1" si="66"/>
        <v>1</v>
      </c>
      <c r="M708" s="7" t="str">
        <f t="shared" ref="M708:M771" ca="1" si="67">IF(L708&lt;&gt;L707,L708,"")</f>
        <v/>
      </c>
      <c r="N708" s="6" t="str">
        <f t="shared" ref="N708:N771" ca="1" si="68">IF(M707&lt;&gt;"",C708,"")</f>
        <v/>
      </c>
      <c r="O708" s="6">
        <f t="shared" ref="O708:O771" si="69">F708-F707</f>
        <v>-0.65000000000000568</v>
      </c>
      <c r="Q708" s="6">
        <v>2.8999999999999773</v>
      </c>
      <c r="R708" s="9">
        <f t="shared" ref="R708:R771" si="70">IF(Q708="","",Q708*375)</f>
        <v>1087.4999999999914</v>
      </c>
      <c r="S708" s="7">
        <f t="shared" si="65"/>
        <v>-1856.2499999999955</v>
      </c>
    </row>
    <row r="709" spans="1:19" x14ac:dyDescent="0.25">
      <c r="A709" s="4">
        <f>Sheet1!A709</f>
        <v>40113</v>
      </c>
      <c r="B709" s="5">
        <f>Sheet1!B709</f>
        <v>0.58333333333333337</v>
      </c>
      <c r="C709" s="6">
        <f>Sheet1!C709</f>
        <v>182.35</v>
      </c>
      <c r="D709" s="6">
        <f>Sheet1!D709</f>
        <v>183.65</v>
      </c>
      <c r="E709" s="6">
        <f>Sheet1!E709</f>
        <v>181.35</v>
      </c>
      <c r="F709" s="6">
        <f>Sheet1!F709</f>
        <v>182.3</v>
      </c>
      <c r="H709" s="6">
        <f ca="1">IF(ROW($H709)-1&lt;$I$1,$F709,AVERAGE($F709:OFFSET($F709,(($I$1-1)*-1),0)))</f>
        <v>185.90833333333333</v>
      </c>
      <c r="J709" s="6">
        <f ca="1">IF(ROW($J709)-1&lt;$K$1,$F709,AVERAGE($F709:OFFSET($F709,(($K$1-1)*-1),0)))</f>
        <v>181.35000000000005</v>
      </c>
      <c r="L709" s="7">
        <f t="shared" ca="1" si="66"/>
        <v>1</v>
      </c>
      <c r="M709" s="7" t="str">
        <f t="shared" ca="1" si="67"/>
        <v/>
      </c>
      <c r="N709" s="6" t="str">
        <f t="shared" ca="1" si="68"/>
        <v/>
      </c>
      <c r="O709" s="6">
        <f t="shared" si="69"/>
        <v>-0.14999999999997726</v>
      </c>
      <c r="Q709" s="6">
        <v>2.75</v>
      </c>
      <c r="R709" s="9">
        <f t="shared" si="70"/>
        <v>1031.25</v>
      </c>
      <c r="S709" s="7">
        <f t="shared" si="65"/>
        <v>-1856.2499999999955</v>
      </c>
    </row>
    <row r="710" spans="1:19" x14ac:dyDescent="0.25">
      <c r="A710" s="4">
        <f>Sheet1!A710</f>
        <v>40114</v>
      </c>
      <c r="B710" s="5">
        <f>Sheet1!B710</f>
        <v>0.58333333333333337</v>
      </c>
      <c r="C710" s="6">
        <f>Sheet1!C710</f>
        <v>182.3</v>
      </c>
      <c r="D710" s="6">
        <f>Sheet1!D710</f>
        <v>182.5</v>
      </c>
      <c r="E710" s="6">
        <f>Sheet1!E710</f>
        <v>178.9</v>
      </c>
      <c r="F710" s="6">
        <f>Sheet1!F710</f>
        <v>180.55</v>
      </c>
      <c r="H710" s="6">
        <f ca="1">IF(ROW($H710)-1&lt;$I$1,$F710,AVERAGE($F710:OFFSET($F710,(($I$1-1)*-1),0)))</f>
        <v>184.70833333333334</v>
      </c>
      <c r="J710" s="6">
        <f ca="1">IF(ROW($J710)-1&lt;$K$1,$F710,AVERAGE($F710:OFFSET($F710,(($K$1-1)*-1),0)))</f>
        <v>181.29821428571432</v>
      </c>
      <c r="L710" s="7">
        <f t="shared" ca="1" si="66"/>
        <v>1</v>
      </c>
      <c r="M710" s="7" t="str">
        <f t="shared" ca="1" si="67"/>
        <v/>
      </c>
      <c r="N710" s="6" t="str">
        <f t="shared" ca="1" si="68"/>
        <v/>
      </c>
      <c r="O710" s="6">
        <f t="shared" si="69"/>
        <v>-1.75</v>
      </c>
      <c r="Q710" s="6">
        <v>1</v>
      </c>
      <c r="R710" s="9">
        <f t="shared" si="70"/>
        <v>375</v>
      </c>
      <c r="S710" s="7">
        <f t="shared" si="65"/>
        <v>-1856.2499999999955</v>
      </c>
    </row>
    <row r="711" spans="1:19" x14ac:dyDescent="0.25">
      <c r="A711" s="4">
        <f>Sheet1!A711</f>
        <v>40115</v>
      </c>
      <c r="B711" s="5">
        <f>Sheet1!B711</f>
        <v>0.58333333333333337</v>
      </c>
      <c r="C711" s="6">
        <f>Sheet1!C711</f>
        <v>180.7</v>
      </c>
      <c r="D711" s="6">
        <f>Sheet1!D711</f>
        <v>183.5</v>
      </c>
      <c r="E711" s="6">
        <f>Sheet1!E711</f>
        <v>179.5</v>
      </c>
      <c r="F711" s="6">
        <f>Sheet1!F711</f>
        <v>182.7</v>
      </c>
      <c r="H711" s="6">
        <f ca="1">IF(ROW($H711)-1&lt;$I$1,$F711,AVERAGE($F711:OFFSET($F711,(($I$1-1)*-1),0)))</f>
        <v>183.45000000000002</v>
      </c>
      <c r="J711" s="6">
        <f ca="1">IF(ROW($J711)-1&lt;$K$1,$F711,AVERAGE($F711:OFFSET($F711,(($K$1-1)*-1),0)))</f>
        <v>181.33750000000001</v>
      </c>
      <c r="L711" s="7">
        <f t="shared" ca="1" si="66"/>
        <v>1</v>
      </c>
      <c r="M711" s="7" t="str">
        <f t="shared" ca="1" si="67"/>
        <v/>
      </c>
      <c r="N711" s="6" t="str">
        <f t="shared" ca="1" si="68"/>
        <v/>
      </c>
      <c r="O711" s="6">
        <f t="shared" si="69"/>
        <v>2.1499999999999773</v>
      </c>
      <c r="Q711" s="6">
        <v>3.1499999999999773</v>
      </c>
      <c r="R711" s="9">
        <f t="shared" si="70"/>
        <v>1181.2499999999914</v>
      </c>
      <c r="S711" s="7">
        <f t="shared" si="65"/>
        <v>-1856.2499999999955</v>
      </c>
    </row>
    <row r="712" spans="1:19" x14ac:dyDescent="0.25">
      <c r="A712" s="4">
        <f>Sheet1!A712</f>
        <v>40116</v>
      </c>
      <c r="B712" s="5">
        <f>Sheet1!B712</f>
        <v>0.58333333333333337</v>
      </c>
      <c r="C712" s="6">
        <f>Sheet1!C712</f>
        <v>182.9</v>
      </c>
      <c r="D712" s="6">
        <f>Sheet1!D712</f>
        <v>184.45</v>
      </c>
      <c r="E712" s="6">
        <f>Sheet1!E712</f>
        <v>179.8</v>
      </c>
      <c r="F712" s="6">
        <f>Sheet1!F712</f>
        <v>181.45</v>
      </c>
      <c r="H712" s="6">
        <f ca="1">IF(ROW($H712)-1&lt;$I$1,$F712,AVERAGE($F712:OFFSET($F712,(($I$1-1)*-1),0)))</f>
        <v>182.09166666666667</v>
      </c>
      <c r="J712" s="6">
        <f ca="1">IF(ROW($J712)-1&lt;$K$1,$F712,AVERAGE($F712:OFFSET($F712,(($K$1-1)*-1),0)))</f>
        <v>181.24642857142857</v>
      </c>
      <c r="L712" s="7">
        <f t="shared" ca="1" si="66"/>
        <v>1</v>
      </c>
      <c r="M712" s="7" t="str">
        <f t="shared" ca="1" si="67"/>
        <v/>
      </c>
      <c r="N712" s="6" t="str">
        <f t="shared" ca="1" si="68"/>
        <v/>
      </c>
      <c r="O712" s="6">
        <f t="shared" si="69"/>
        <v>-1.25</v>
      </c>
      <c r="Q712" s="6">
        <v>1.8999999999999773</v>
      </c>
      <c r="R712" s="9">
        <f t="shared" si="70"/>
        <v>712.49999999999147</v>
      </c>
      <c r="S712" s="7">
        <f t="shared" si="65"/>
        <v>-1856.2499999999955</v>
      </c>
    </row>
    <row r="713" spans="1:19" x14ac:dyDescent="0.25">
      <c r="A713" s="4">
        <f>Sheet1!A713</f>
        <v>40119</v>
      </c>
      <c r="B713" s="5">
        <f>Sheet1!B713</f>
        <v>0.58333333333333337</v>
      </c>
      <c r="C713" s="6">
        <f>Sheet1!C713</f>
        <v>180.95</v>
      </c>
      <c r="D713" s="6">
        <f>Sheet1!D713</f>
        <v>189.05</v>
      </c>
      <c r="E713" s="6">
        <f>Sheet1!E713</f>
        <v>180.9</v>
      </c>
      <c r="F713" s="6">
        <f>Sheet1!F713</f>
        <v>188.3</v>
      </c>
      <c r="H713" s="6">
        <f ca="1">IF(ROW($H713)-1&lt;$I$1,$F713,AVERAGE($F713:OFFSET($F713,(($I$1-1)*-1),0)))</f>
        <v>182.95833333333334</v>
      </c>
      <c r="J713" s="6">
        <f ca="1">IF(ROW($J713)-1&lt;$K$1,$F713,AVERAGE($F713:OFFSET($F713,(($K$1-1)*-1),0)))</f>
        <v>181.45892857142857</v>
      </c>
      <c r="L713" s="7">
        <f t="shared" ca="1" si="66"/>
        <v>1</v>
      </c>
      <c r="M713" s="7" t="str">
        <f t="shared" ca="1" si="67"/>
        <v/>
      </c>
      <c r="N713" s="6" t="str">
        <f t="shared" ca="1" si="68"/>
        <v/>
      </c>
      <c r="O713" s="6">
        <f t="shared" si="69"/>
        <v>6.8500000000000227</v>
      </c>
      <c r="Q713" s="6">
        <v>8.75</v>
      </c>
      <c r="R713" s="9">
        <f t="shared" si="70"/>
        <v>3281.25</v>
      </c>
      <c r="S713" s="7">
        <f t="shared" si="65"/>
        <v>-1856.2499999999955</v>
      </c>
    </row>
    <row r="714" spans="1:19" x14ac:dyDescent="0.25">
      <c r="A714" s="4">
        <f>Sheet1!A714</f>
        <v>40120</v>
      </c>
      <c r="B714" s="5">
        <f>Sheet1!B714</f>
        <v>0.58333333333333337</v>
      </c>
      <c r="C714" s="6">
        <f>Sheet1!C714</f>
        <v>187.7</v>
      </c>
      <c r="D714" s="6">
        <f>Sheet1!D714</f>
        <v>188</v>
      </c>
      <c r="E714" s="6">
        <f>Sheet1!E714</f>
        <v>184.95</v>
      </c>
      <c r="F714" s="6">
        <f>Sheet1!F714</f>
        <v>187.05</v>
      </c>
      <c r="H714" s="6">
        <f ca="1">IF(ROW($H714)-1&lt;$I$1,$F714,AVERAGE($F714:OFFSET($F714,(($I$1-1)*-1),0)))</f>
        <v>183.72499999999999</v>
      </c>
      <c r="J714" s="6">
        <f ca="1">IF(ROW($J714)-1&lt;$K$1,$F714,AVERAGE($F714:OFFSET($F714,(($K$1-1)*-1),0)))</f>
        <v>181.88035714285712</v>
      </c>
      <c r="L714" s="7">
        <f t="shared" ca="1" si="66"/>
        <v>1</v>
      </c>
      <c r="M714" s="7" t="str">
        <f t="shared" ca="1" si="67"/>
        <v/>
      </c>
      <c r="N714" s="6" t="str">
        <f t="shared" ca="1" si="68"/>
        <v/>
      </c>
      <c r="O714" s="6">
        <f t="shared" si="69"/>
        <v>-1.25</v>
      </c>
      <c r="Q714" s="6">
        <v>7.5</v>
      </c>
      <c r="R714" s="9">
        <f t="shared" si="70"/>
        <v>2812.5</v>
      </c>
      <c r="S714" s="7">
        <f t="shared" si="65"/>
        <v>-1856.2499999999955</v>
      </c>
    </row>
    <row r="715" spans="1:19" x14ac:dyDescent="0.25">
      <c r="A715" s="4">
        <f>Sheet1!A715</f>
        <v>40121</v>
      </c>
      <c r="B715" s="5">
        <f>Sheet1!B715</f>
        <v>0.58333333333333337</v>
      </c>
      <c r="C715" s="6">
        <f>Sheet1!C715</f>
        <v>187.05</v>
      </c>
      <c r="D715" s="6">
        <f>Sheet1!D715</f>
        <v>188.9</v>
      </c>
      <c r="E715" s="6">
        <f>Sheet1!E715</f>
        <v>185.65</v>
      </c>
      <c r="F715" s="6">
        <f>Sheet1!F715</f>
        <v>186.7</v>
      </c>
      <c r="H715" s="6">
        <f ca="1">IF(ROW($H715)-1&lt;$I$1,$F715,AVERAGE($F715:OFFSET($F715,(($I$1-1)*-1),0)))</f>
        <v>184.45833333333334</v>
      </c>
      <c r="J715" s="6">
        <f ca="1">IF(ROW($J715)-1&lt;$K$1,$F715,AVERAGE($F715:OFFSET($F715,(($K$1-1)*-1),0)))</f>
        <v>182.34642857142853</v>
      </c>
      <c r="L715" s="7">
        <f t="shared" ca="1" si="66"/>
        <v>1</v>
      </c>
      <c r="M715" s="7" t="str">
        <f t="shared" ca="1" si="67"/>
        <v/>
      </c>
      <c r="N715" s="6" t="str">
        <f t="shared" ca="1" si="68"/>
        <v/>
      </c>
      <c r="O715" s="6">
        <f t="shared" si="69"/>
        <v>-0.35000000000002274</v>
      </c>
      <c r="Q715" s="6">
        <v>7.1499999999999773</v>
      </c>
      <c r="R715" s="9">
        <f t="shared" si="70"/>
        <v>2681.2499999999914</v>
      </c>
      <c r="S715" s="7">
        <f t="shared" si="65"/>
        <v>-1856.2499999999955</v>
      </c>
    </row>
    <row r="716" spans="1:19" x14ac:dyDescent="0.25">
      <c r="A716" s="4">
        <f>Sheet1!A716</f>
        <v>40122</v>
      </c>
      <c r="B716" s="5">
        <f>Sheet1!B716</f>
        <v>0.58333333333333337</v>
      </c>
      <c r="C716" s="6">
        <f>Sheet1!C716</f>
        <v>186.5</v>
      </c>
      <c r="D716" s="6">
        <f>Sheet1!D716</f>
        <v>189.95</v>
      </c>
      <c r="E716" s="6">
        <f>Sheet1!E716</f>
        <v>185.7</v>
      </c>
      <c r="F716" s="6">
        <f>Sheet1!F716</f>
        <v>188.05</v>
      </c>
      <c r="H716" s="6">
        <f ca="1">IF(ROW($H716)-1&lt;$I$1,$F716,AVERAGE($F716:OFFSET($F716,(($I$1-1)*-1),0)))</f>
        <v>185.70833333333334</v>
      </c>
      <c r="J716" s="6">
        <f ca="1">IF(ROW($J716)-1&lt;$K$1,$F716,AVERAGE($F716:OFFSET($F716,(($K$1-1)*-1),0)))</f>
        <v>182.88035714285712</v>
      </c>
      <c r="L716" s="7">
        <f t="shared" ca="1" si="66"/>
        <v>1</v>
      </c>
      <c r="M716" s="7" t="str">
        <f t="shared" ca="1" si="67"/>
        <v/>
      </c>
      <c r="N716" s="6" t="str">
        <f t="shared" ca="1" si="68"/>
        <v/>
      </c>
      <c r="O716" s="6">
        <f t="shared" si="69"/>
        <v>1.3500000000000227</v>
      </c>
      <c r="Q716" s="6">
        <v>8.5</v>
      </c>
      <c r="R716" s="9">
        <f t="shared" si="70"/>
        <v>3187.5</v>
      </c>
      <c r="S716" s="7">
        <f t="shared" si="65"/>
        <v>-1856.2499999999955</v>
      </c>
    </row>
    <row r="717" spans="1:19" x14ac:dyDescent="0.25">
      <c r="A717" s="4">
        <f>Sheet1!A717</f>
        <v>40123</v>
      </c>
      <c r="B717" s="5">
        <f>Sheet1!B717</f>
        <v>0.58333333333333337</v>
      </c>
      <c r="C717" s="6">
        <f>Sheet1!C717</f>
        <v>188.05</v>
      </c>
      <c r="D717" s="6">
        <f>Sheet1!D717</f>
        <v>189.1</v>
      </c>
      <c r="E717" s="6">
        <f>Sheet1!E717</f>
        <v>184.05</v>
      </c>
      <c r="F717" s="6">
        <f>Sheet1!F717</f>
        <v>184.85</v>
      </c>
      <c r="H717" s="6">
        <f ca="1">IF(ROW($H717)-1&lt;$I$1,$F717,AVERAGE($F717:OFFSET($F717,(($I$1-1)*-1),0)))</f>
        <v>186.06666666666663</v>
      </c>
      <c r="J717" s="6">
        <f ca="1">IF(ROW($J717)-1&lt;$K$1,$F717,AVERAGE($F717:OFFSET($F717,(($K$1-1)*-1),0)))</f>
        <v>183.35892857142858</v>
      </c>
      <c r="L717" s="7">
        <f t="shared" ca="1" si="66"/>
        <v>1</v>
      </c>
      <c r="M717" s="7" t="str">
        <f t="shared" ca="1" si="67"/>
        <v/>
      </c>
      <c r="N717" s="6" t="str">
        <f t="shared" ca="1" si="68"/>
        <v/>
      </c>
      <c r="O717" s="6">
        <f t="shared" si="69"/>
        <v>-3.2000000000000171</v>
      </c>
      <c r="Q717" s="6">
        <v>5.2999999999999829</v>
      </c>
      <c r="R717" s="9">
        <f t="shared" si="70"/>
        <v>1987.4999999999936</v>
      </c>
      <c r="S717" s="7">
        <f t="shared" si="65"/>
        <v>-1856.2499999999955</v>
      </c>
    </row>
    <row r="718" spans="1:19" x14ac:dyDescent="0.25">
      <c r="A718" s="4">
        <f>Sheet1!A718</f>
        <v>40126</v>
      </c>
      <c r="B718" s="5">
        <f>Sheet1!B718</f>
        <v>0.58333333333333337</v>
      </c>
      <c r="C718" s="6">
        <f>Sheet1!C718</f>
        <v>185.45</v>
      </c>
      <c r="D718" s="6">
        <f>Sheet1!D718</f>
        <v>188.2</v>
      </c>
      <c r="E718" s="6">
        <f>Sheet1!E718</f>
        <v>185.05</v>
      </c>
      <c r="F718" s="6">
        <f>Sheet1!F718</f>
        <v>186</v>
      </c>
      <c r="H718" s="6">
        <f ca="1">IF(ROW($H718)-1&lt;$I$1,$F718,AVERAGE($F718:OFFSET($F718,(($I$1-1)*-1),0)))</f>
        <v>186.82499999999996</v>
      </c>
      <c r="J718" s="6">
        <f ca="1">IF(ROW($J718)-1&lt;$K$1,$F718,AVERAGE($F718:OFFSET($F718,(($K$1-1)*-1),0)))</f>
        <v>183.79642857142858</v>
      </c>
      <c r="L718" s="7">
        <f t="shared" ca="1" si="66"/>
        <v>1</v>
      </c>
      <c r="M718" s="7" t="str">
        <f t="shared" ca="1" si="67"/>
        <v/>
      </c>
      <c r="N718" s="6" t="str">
        <f t="shared" ca="1" si="68"/>
        <v/>
      </c>
      <c r="O718" s="6">
        <f t="shared" si="69"/>
        <v>1.1500000000000057</v>
      </c>
      <c r="Q718" s="6">
        <v>6.4499999999999886</v>
      </c>
      <c r="R718" s="9">
        <f t="shared" si="70"/>
        <v>2418.7499999999959</v>
      </c>
      <c r="S718" s="7">
        <f t="shared" si="65"/>
        <v>-1856.2499999999955</v>
      </c>
    </row>
    <row r="719" spans="1:19" x14ac:dyDescent="0.25">
      <c r="A719" s="4">
        <f>Sheet1!A719</f>
        <v>40127</v>
      </c>
      <c r="B719" s="5">
        <f>Sheet1!B719</f>
        <v>0.58333333333333337</v>
      </c>
      <c r="C719" s="6">
        <f>Sheet1!C719</f>
        <v>185.4</v>
      </c>
      <c r="D719" s="6">
        <f>Sheet1!D719</f>
        <v>186.05</v>
      </c>
      <c r="E719" s="6">
        <f>Sheet1!E719</f>
        <v>179.1</v>
      </c>
      <c r="F719" s="6">
        <f>Sheet1!F719</f>
        <v>180</v>
      </c>
      <c r="H719" s="6">
        <f ca="1">IF(ROW($H719)-1&lt;$I$1,$F719,AVERAGE($F719:OFFSET($F719,(($I$1-1)*-1),0)))</f>
        <v>185.44166666666669</v>
      </c>
      <c r="J719" s="6">
        <f ca="1">IF(ROW($J719)-1&lt;$K$1,$F719,AVERAGE($F719:OFFSET($F719,(($K$1-1)*-1),0)))</f>
        <v>184.05892857142859</v>
      </c>
      <c r="L719" s="7">
        <f t="shared" ca="1" si="66"/>
        <v>1</v>
      </c>
      <c r="M719" s="7" t="str">
        <f t="shared" ca="1" si="67"/>
        <v/>
      </c>
      <c r="N719" s="6" t="str">
        <f t="shared" ca="1" si="68"/>
        <v/>
      </c>
      <c r="O719" s="6">
        <f t="shared" si="69"/>
        <v>-6</v>
      </c>
      <c r="Q719" s="6">
        <v>0.44999999999998863</v>
      </c>
      <c r="R719" s="9">
        <f t="shared" si="70"/>
        <v>168.74999999999574</v>
      </c>
      <c r="S719" s="7">
        <f t="shared" si="65"/>
        <v>-1856.2499999999955</v>
      </c>
    </row>
    <row r="720" spans="1:19" x14ac:dyDescent="0.25">
      <c r="A720" s="4">
        <f>Sheet1!A720</f>
        <v>40128</v>
      </c>
      <c r="B720" s="5">
        <f>Sheet1!B720</f>
        <v>0.58333333333333337</v>
      </c>
      <c r="C720" s="6">
        <f>Sheet1!C720</f>
        <v>180.45</v>
      </c>
      <c r="D720" s="6">
        <f>Sheet1!D720</f>
        <v>181.95</v>
      </c>
      <c r="E720" s="6">
        <f>Sheet1!E720</f>
        <v>177.95</v>
      </c>
      <c r="F720" s="6">
        <f>Sheet1!F720</f>
        <v>178.65</v>
      </c>
      <c r="H720" s="6">
        <f ca="1">IF(ROW($H720)-1&lt;$I$1,$F720,AVERAGE($F720:OFFSET($F720,(($I$1-1)*-1),0)))</f>
        <v>184.04166666666666</v>
      </c>
      <c r="J720" s="6">
        <f ca="1">IF(ROW($J720)-1&lt;$K$1,$F720,AVERAGE($F720:OFFSET($F720,(($K$1-1)*-1),0)))</f>
        <v>184.16607142857146</v>
      </c>
      <c r="L720" s="7">
        <f t="shared" ca="1" si="66"/>
        <v>-1</v>
      </c>
      <c r="M720" s="7">
        <f t="shared" ca="1" si="67"/>
        <v>-1</v>
      </c>
      <c r="N720" s="6" t="str">
        <f t="shared" ca="1" si="68"/>
        <v/>
      </c>
      <c r="O720" s="6">
        <f t="shared" si="69"/>
        <v>-1.3499999999999943</v>
      </c>
      <c r="Q720" s="6">
        <v>-0.90000000000000568</v>
      </c>
      <c r="R720" s="9">
        <f t="shared" si="70"/>
        <v>-337.50000000000216</v>
      </c>
      <c r="S720" s="7">
        <f t="shared" ref="S720:S783" si="71">S719+(P720*375)</f>
        <v>-1856.2499999999955</v>
      </c>
    </row>
    <row r="721" spans="1:19" x14ac:dyDescent="0.25">
      <c r="A721" s="4">
        <f>Sheet1!A721</f>
        <v>40129</v>
      </c>
      <c r="B721" s="5">
        <f>Sheet1!B721</f>
        <v>0.58333333333333337</v>
      </c>
      <c r="C721" s="6">
        <f>Sheet1!C721</f>
        <v>178.35</v>
      </c>
      <c r="D721" s="6">
        <f>Sheet1!D721</f>
        <v>178.65</v>
      </c>
      <c r="E721" s="6">
        <f>Sheet1!E721</f>
        <v>175.9</v>
      </c>
      <c r="F721" s="6">
        <f>Sheet1!F721</f>
        <v>176.5</v>
      </c>
      <c r="H721" s="6">
        <f ca="1">IF(ROW($H721)-1&lt;$I$1,$F721,AVERAGE($F721:OFFSET($F721,(($I$1-1)*-1),0)))</f>
        <v>182.34166666666667</v>
      </c>
      <c r="J721" s="6">
        <f ca="1">IF(ROW($J721)-1&lt;$K$1,$F721,AVERAGE($F721:OFFSET($F721,(($K$1-1)*-1),0)))</f>
        <v>184.20535714285714</v>
      </c>
      <c r="L721" s="7">
        <f t="shared" ca="1" si="66"/>
        <v>-1</v>
      </c>
      <c r="M721" s="7" t="str">
        <f t="shared" ca="1" si="67"/>
        <v/>
      </c>
      <c r="N721" s="6">
        <f t="shared" ca="1" si="68"/>
        <v>178.35</v>
      </c>
      <c r="O721" s="6">
        <f t="shared" si="69"/>
        <v>-2.1500000000000057</v>
      </c>
      <c r="P721" s="6">
        <v>-1.2000000000000171</v>
      </c>
      <c r="Q721" s="6">
        <v>1.8499999999999943</v>
      </c>
      <c r="R721" s="9">
        <f t="shared" si="70"/>
        <v>693.74999999999784</v>
      </c>
      <c r="S721" s="7">
        <f t="shared" si="71"/>
        <v>-2306.2500000000018</v>
      </c>
    </row>
    <row r="722" spans="1:19" x14ac:dyDescent="0.25">
      <c r="A722" s="4">
        <f>Sheet1!A722</f>
        <v>40130</v>
      </c>
      <c r="B722" s="5">
        <f>Sheet1!B722</f>
        <v>0.58333333333333337</v>
      </c>
      <c r="C722" s="6">
        <f>Sheet1!C722</f>
        <v>176.1</v>
      </c>
      <c r="D722" s="6">
        <f>Sheet1!D722</f>
        <v>178.55</v>
      </c>
      <c r="E722" s="6">
        <f>Sheet1!E722</f>
        <v>175.9</v>
      </c>
      <c r="F722" s="6">
        <f>Sheet1!F722</f>
        <v>177.05</v>
      </c>
      <c r="H722" s="6">
        <f ca="1">IF(ROW($H722)-1&lt;$I$1,$F722,AVERAGE($F722:OFFSET($F722,(($I$1-1)*-1),0)))</f>
        <v>180.50833333333333</v>
      </c>
      <c r="J722" s="6">
        <f ca="1">IF(ROW($J722)-1&lt;$K$1,$F722,AVERAGE($F722:OFFSET($F722,(($K$1-1)*-1),0)))</f>
        <v>184.11607142857142</v>
      </c>
      <c r="L722" s="7">
        <f t="shared" ca="1" si="66"/>
        <v>-1</v>
      </c>
      <c r="M722" s="7" t="str">
        <f t="shared" ca="1" si="67"/>
        <v/>
      </c>
      <c r="N722" s="6" t="str">
        <f t="shared" ca="1" si="68"/>
        <v/>
      </c>
      <c r="O722" s="6">
        <f t="shared" si="69"/>
        <v>0.55000000000001137</v>
      </c>
      <c r="Q722" s="6">
        <v>1.2999999999999829</v>
      </c>
      <c r="R722" s="9">
        <f t="shared" si="70"/>
        <v>487.49999999999363</v>
      </c>
      <c r="S722" s="7">
        <f t="shared" si="71"/>
        <v>-2306.2500000000018</v>
      </c>
    </row>
    <row r="723" spans="1:19" x14ac:dyDescent="0.25">
      <c r="A723" s="4">
        <f>Sheet1!A723</f>
        <v>40133</v>
      </c>
      <c r="B723" s="5">
        <f>Sheet1!B723</f>
        <v>0.58333333333333337</v>
      </c>
      <c r="C723" s="6">
        <f>Sheet1!C723</f>
        <v>178.4</v>
      </c>
      <c r="D723" s="6">
        <f>Sheet1!D723</f>
        <v>183.2</v>
      </c>
      <c r="E723" s="6">
        <f>Sheet1!E723</f>
        <v>177.95</v>
      </c>
      <c r="F723" s="6">
        <f>Sheet1!F723</f>
        <v>182.3</v>
      </c>
      <c r="H723" s="6">
        <f ca="1">IF(ROW($H723)-1&lt;$I$1,$F723,AVERAGE($F723:OFFSET($F723,(($I$1-1)*-1),0)))</f>
        <v>180.08333333333334</v>
      </c>
      <c r="J723" s="6">
        <f ca="1">IF(ROW($J723)-1&lt;$K$1,$F723,AVERAGE($F723:OFFSET($F723,(($K$1-1)*-1),0)))</f>
        <v>184.19107142857143</v>
      </c>
      <c r="L723" s="7">
        <f t="shared" ca="1" si="66"/>
        <v>-1</v>
      </c>
      <c r="M723" s="7" t="str">
        <f t="shared" ca="1" si="67"/>
        <v/>
      </c>
      <c r="N723" s="6" t="str">
        <f t="shared" ca="1" si="68"/>
        <v/>
      </c>
      <c r="O723" s="6">
        <f t="shared" si="69"/>
        <v>5.25</v>
      </c>
      <c r="Q723" s="6">
        <v>-3.9500000000000171</v>
      </c>
      <c r="R723" s="9">
        <f t="shared" si="70"/>
        <v>-1481.2500000000064</v>
      </c>
      <c r="S723" s="7">
        <f t="shared" si="71"/>
        <v>-2306.2500000000018</v>
      </c>
    </row>
    <row r="724" spans="1:19" x14ac:dyDescent="0.25">
      <c r="A724" s="4">
        <f>Sheet1!A724</f>
        <v>40134</v>
      </c>
      <c r="B724" s="5">
        <f>Sheet1!B724</f>
        <v>0.58333333333333337</v>
      </c>
      <c r="C724" s="6">
        <f>Sheet1!C724</f>
        <v>182.1</v>
      </c>
      <c r="D724" s="6">
        <f>Sheet1!D724</f>
        <v>182.3</v>
      </c>
      <c r="E724" s="6">
        <f>Sheet1!E724</f>
        <v>180.1</v>
      </c>
      <c r="F724" s="6">
        <f>Sheet1!F724</f>
        <v>181.7</v>
      </c>
      <c r="H724" s="6">
        <f ca="1">IF(ROW($H724)-1&lt;$I$1,$F724,AVERAGE($F724:OFFSET($F724,(($I$1-1)*-1),0)))</f>
        <v>179.36666666666667</v>
      </c>
      <c r="J724" s="6">
        <f ca="1">IF(ROW($J724)-1&lt;$K$1,$F724,AVERAGE($F724:OFFSET($F724,(($K$1-1)*-1),0)))</f>
        <v>184.1142857142857</v>
      </c>
      <c r="L724" s="7">
        <f t="shared" ca="1" si="66"/>
        <v>-1</v>
      </c>
      <c r="M724" s="7" t="str">
        <f t="shared" ca="1" si="67"/>
        <v/>
      </c>
      <c r="N724" s="6" t="str">
        <f t="shared" ca="1" si="68"/>
        <v/>
      </c>
      <c r="O724" s="6">
        <f t="shared" si="69"/>
        <v>-0.60000000000002274</v>
      </c>
      <c r="Q724" s="6">
        <v>-3.3499999999999943</v>
      </c>
      <c r="R724" s="9">
        <f t="shared" si="70"/>
        <v>-1256.249999999998</v>
      </c>
      <c r="S724" s="7">
        <f t="shared" si="71"/>
        <v>-2306.2500000000018</v>
      </c>
    </row>
    <row r="725" spans="1:19" x14ac:dyDescent="0.25">
      <c r="A725" s="4">
        <f>Sheet1!A725</f>
        <v>40135</v>
      </c>
      <c r="B725" s="5">
        <f>Sheet1!B725</f>
        <v>0.58333333333333337</v>
      </c>
      <c r="C725" s="6">
        <f>Sheet1!C725</f>
        <v>182.35</v>
      </c>
      <c r="D725" s="6">
        <f>Sheet1!D725</f>
        <v>185.6</v>
      </c>
      <c r="E725" s="6">
        <f>Sheet1!E725</f>
        <v>181.95</v>
      </c>
      <c r="F725" s="6">
        <f>Sheet1!F725</f>
        <v>183.4</v>
      </c>
      <c r="H725" s="6">
        <f ca="1">IF(ROW($H725)-1&lt;$I$1,$F725,AVERAGE($F725:OFFSET($F725,(($I$1-1)*-1),0)))</f>
        <v>179.93333333333337</v>
      </c>
      <c r="J725" s="6">
        <f ca="1">IF(ROW($J725)-1&lt;$K$1,$F725,AVERAGE($F725:OFFSET($F725,(($K$1-1)*-1),0)))</f>
        <v>184.17857142857142</v>
      </c>
      <c r="L725" s="7">
        <f t="shared" ca="1" si="66"/>
        <v>-1</v>
      </c>
      <c r="M725" s="7" t="str">
        <f t="shared" ca="1" si="67"/>
        <v/>
      </c>
      <c r="N725" s="6" t="str">
        <f t="shared" ca="1" si="68"/>
        <v/>
      </c>
      <c r="O725" s="6">
        <f t="shared" si="69"/>
        <v>1.7000000000000171</v>
      </c>
      <c r="Q725" s="6">
        <v>-5.0500000000000114</v>
      </c>
      <c r="R725" s="9">
        <f t="shared" si="70"/>
        <v>-1893.7500000000043</v>
      </c>
      <c r="S725" s="7">
        <f t="shared" si="71"/>
        <v>-2306.2500000000018</v>
      </c>
    </row>
    <row r="726" spans="1:19" x14ac:dyDescent="0.25">
      <c r="A726" s="4">
        <f>Sheet1!A726</f>
        <v>40136</v>
      </c>
      <c r="B726" s="5">
        <f>Sheet1!B726</f>
        <v>0.58333333333333337</v>
      </c>
      <c r="C726" s="6">
        <f>Sheet1!C726</f>
        <v>182.85</v>
      </c>
      <c r="D726" s="6">
        <f>Sheet1!D726</f>
        <v>182.9</v>
      </c>
      <c r="E726" s="6">
        <f>Sheet1!E726</f>
        <v>178.15</v>
      </c>
      <c r="F726" s="6">
        <f>Sheet1!F726</f>
        <v>179.9</v>
      </c>
      <c r="H726" s="6">
        <f ca="1">IF(ROW($H726)-1&lt;$I$1,$F726,AVERAGE($F726:OFFSET($F726,(($I$1-1)*-1),0)))</f>
        <v>180.14166666666665</v>
      </c>
      <c r="J726" s="6">
        <f ca="1">IF(ROW($J726)-1&lt;$K$1,$F726,AVERAGE($F726:OFFSET($F726,(($K$1-1)*-1),0)))</f>
        <v>184.03214285714282</v>
      </c>
      <c r="L726" s="7">
        <f t="shared" ca="1" si="66"/>
        <v>-1</v>
      </c>
      <c r="M726" s="7" t="str">
        <f t="shared" ca="1" si="67"/>
        <v/>
      </c>
      <c r="N726" s="6" t="str">
        <f t="shared" ca="1" si="68"/>
        <v/>
      </c>
      <c r="O726" s="6">
        <f t="shared" si="69"/>
        <v>-3.5</v>
      </c>
      <c r="Q726" s="6">
        <v>-1.5500000000000114</v>
      </c>
      <c r="R726" s="9">
        <f t="shared" si="70"/>
        <v>-581.25000000000432</v>
      </c>
      <c r="S726" s="7">
        <f t="shared" si="71"/>
        <v>-2306.2500000000018</v>
      </c>
    </row>
    <row r="727" spans="1:19" x14ac:dyDescent="0.25">
      <c r="A727" s="4">
        <f>Sheet1!A727</f>
        <v>40137</v>
      </c>
      <c r="B727" s="5">
        <f>Sheet1!B727</f>
        <v>0.58333333333333337</v>
      </c>
      <c r="C727" s="6">
        <f>Sheet1!C727</f>
        <v>180.6</v>
      </c>
      <c r="D727" s="6">
        <f>Sheet1!D727</f>
        <v>180.75</v>
      </c>
      <c r="E727" s="6">
        <f>Sheet1!E727</f>
        <v>177.7</v>
      </c>
      <c r="F727" s="6">
        <f>Sheet1!F727</f>
        <v>178.6</v>
      </c>
      <c r="H727" s="6">
        <f ca="1">IF(ROW($H727)-1&lt;$I$1,$F727,AVERAGE($F727:OFFSET($F727,(($I$1-1)*-1),0)))</f>
        <v>180.49166666666665</v>
      </c>
      <c r="J727" s="6">
        <f ca="1">IF(ROW($J727)-1&lt;$K$1,$F727,AVERAGE($F727:OFFSET($F727,(($K$1-1)*-1),0)))</f>
        <v>183.82499999999999</v>
      </c>
      <c r="L727" s="7">
        <f t="shared" ca="1" si="66"/>
        <v>-1</v>
      </c>
      <c r="M727" s="7" t="str">
        <f t="shared" ca="1" si="67"/>
        <v/>
      </c>
      <c r="N727" s="6" t="str">
        <f t="shared" ca="1" si="68"/>
        <v/>
      </c>
      <c r="O727" s="6">
        <f t="shared" si="69"/>
        <v>-1.3000000000000114</v>
      </c>
      <c r="Q727" s="6">
        <v>-0.25</v>
      </c>
      <c r="R727" s="9">
        <f t="shared" si="70"/>
        <v>-93.75</v>
      </c>
      <c r="S727" s="7">
        <f t="shared" si="71"/>
        <v>-2306.2500000000018</v>
      </c>
    </row>
    <row r="728" spans="1:19" x14ac:dyDescent="0.25">
      <c r="A728" s="4">
        <f>Sheet1!A728</f>
        <v>40140</v>
      </c>
      <c r="B728" s="5">
        <f>Sheet1!B728</f>
        <v>0.58333333333333337</v>
      </c>
      <c r="C728" s="6">
        <f>Sheet1!C728</f>
        <v>179.9</v>
      </c>
      <c r="D728" s="6">
        <f>Sheet1!D728</f>
        <v>182.25</v>
      </c>
      <c r="E728" s="6">
        <f>Sheet1!E728</f>
        <v>179.9</v>
      </c>
      <c r="F728" s="6">
        <f>Sheet1!F728</f>
        <v>180.25</v>
      </c>
      <c r="H728" s="6">
        <f ca="1">IF(ROW($H728)-1&lt;$I$1,$F728,AVERAGE($F728:OFFSET($F728,(($I$1-1)*-1),0)))</f>
        <v>181.02500000000001</v>
      </c>
      <c r="J728" s="6">
        <f ca="1">IF(ROW($J728)-1&lt;$K$1,$F728,AVERAGE($F728:OFFSET($F728,(($K$1-1)*-1),0)))</f>
        <v>183.64821428571426</v>
      </c>
      <c r="L728" s="7">
        <f t="shared" ca="1" si="66"/>
        <v>-1</v>
      </c>
      <c r="M728" s="7" t="str">
        <f t="shared" ca="1" si="67"/>
        <v/>
      </c>
      <c r="N728" s="6" t="str">
        <f t="shared" ca="1" si="68"/>
        <v/>
      </c>
      <c r="O728" s="6">
        <f t="shared" si="69"/>
        <v>1.6500000000000057</v>
      </c>
      <c r="Q728" s="6">
        <v>-1.9000000000000057</v>
      </c>
      <c r="R728" s="9">
        <f t="shared" si="70"/>
        <v>-712.50000000000216</v>
      </c>
      <c r="S728" s="7">
        <f t="shared" si="71"/>
        <v>-2306.2500000000018</v>
      </c>
    </row>
    <row r="729" spans="1:19" x14ac:dyDescent="0.25">
      <c r="A729" s="4">
        <f>Sheet1!A729</f>
        <v>40141</v>
      </c>
      <c r="B729" s="5">
        <f>Sheet1!B729</f>
        <v>0.58333333333333337</v>
      </c>
      <c r="C729" s="6">
        <f>Sheet1!C729</f>
        <v>180.05</v>
      </c>
      <c r="D729" s="6">
        <f>Sheet1!D729</f>
        <v>181.05</v>
      </c>
      <c r="E729" s="6">
        <f>Sheet1!E729</f>
        <v>178.65</v>
      </c>
      <c r="F729" s="6">
        <f>Sheet1!F729</f>
        <v>179</v>
      </c>
      <c r="H729" s="6">
        <f ca="1">IF(ROW($H729)-1&lt;$I$1,$F729,AVERAGE($F729:OFFSET($F729,(($I$1-1)*-1),0)))</f>
        <v>180.47499999999999</v>
      </c>
      <c r="J729" s="6">
        <f ca="1">IF(ROW($J729)-1&lt;$K$1,$F729,AVERAGE($F729:OFFSET($F729,(($K$1-1)*-1),0)))</f>
        <v>183.48035714285717</v>
      </c>
      <c r="L729" s="7">
        <f t="shared" ca="1" si="66"/>
        <v>-1</v>
      </c>
      <c r="M729" s="7" t="str">
        <f t="shared" ca="1" si="67"/>
        <v/>
      </c>
      <c r="N729" s="6" t="str">
        <f t="shared" ca="1" si="68"/>
        <v/>
      </c>
      <c r="O729" s="6">
        <f t="shared" si="69"/>
        <v>-1.25</v>
      </c>
      <c r="Q729" s="6">
        <v>-0.65000000000000568</v>
      </c>
      <c r="R729" s="9">
        <f t="shared" si="70"/>
        <v>-243.75000000000213</v>
      </c>
      <c r="S729" s="7">
        <f t="shared" si="71"/>
        <v>-2306.2500000000018</v>
      </c>
    </row>
    <row r="730" spans="1:19" x14ac:dyDescent="0.25">
      <c r="A730" s="4">
        <f>Sheet1!A730</f>
        <v>40142</v>
      </c>
      <c r="B730" s="5">
        <f>Sheet1!B730</f>
        <v>0.58333333333333337</v>
      </c>
      <c r="C730" s="6">
        <f>Sheet1!C730</f>
        <v>179.75</v>
      </c>
      <c r="D730" s="6">
        <f>Sheet1!D730</f>
        <v>182.55</v>
      </c>
      <c r="E730" s="6">
        <f>Sheet1!E730</f>
        <v>179.6</v>
      </c>
      <c r="F730" s="6">
        <f>Sheet1!F730</f>
        <v>181.75</v>
      </c>
      <c r="H730" s="6">
        <f ca="1">IF(ROW($H730)-1&lt;$I$1,$F730,AVERAGE($F730:OFFSET($F730,(($I$1-1)*-1),0)))</f>
        <v>180.48333333333335</v>
      </c>
      <c r="J730" s="6">
        <f ca="1">IF(ROW($J730)-1&lt;$K$1,$F730,AVERAGE($F730:OFFSET($F730,(($K$1-1)*-1),0)))</f>
        <v>183.22857142857146</v>
      </c>
      <c r="L730" s="7">
        <f t="shared" ca="1" si="66"/>
        <v>-1</v>
      </c>
      <c r="M730" s="7" t="str">
        <f t="shared" ca="1" si="67"/>
        <v/>
      </c>
      <c r="N730" s="6" t="str">
        <f t="shared" ca="1" si="68"/>
        <v/>
      </c>
      <c r="O730" s="6">
        <f t="shared" si="69"/>
        <v>2.75</v>
      </c>
      <c r="Q730" s="6">
        <v>-3.4000000000000057</v>
      </c>
      <c r="R730" s="9">
        <f t="shared" si="70"/>
        <v>-1275.000000000002</v>
      </c>
      <c r="S730" s="7">
        <f t="shared" si="71"/>
        <v>-2306.2500000000018</v>
      </c>
    </row>
    <row r="731" spans="1:19" x14ac:dyDescent="0.25">
      <c r="A731" s="4">
        <f>Sheet1!A731</f>
        <v>40144</v>
      </c>
      <c r="B731" s="5">
        <f>Sheet1!B731</f>
        <v>0.58333333333333337</v>
      </c>
      <c r="C731" s="6">
        <f>Sheet1!C731</f>
        <v>178.75</v>
      </c>
      <c r="D731" s="6">
        <f>Sheet1!D731</f>
        <v>181.35</v>
      </c>
      <c r="E731" s="6">
        <f>Sheet1!E731</f>
        <v>176.85</v>
      </c>
      <c r="F731" s="6">
        <f>Sheet1!F731</f>
        <v>180.9</v>
      </c>
      <c r="H731" s="6">
        <f ca="1">IF(ROW($H731)-1&lt;$I$1,$F731,AVERAGE($F731:OFFSET($F731,(($I$1-1)*-1),0)))</f>
        <v>180.06666666666669</v>
      </c>
      <c r="J731" s="6">
        <f ca="1">IF(ROW($J731)-1&lt;$K$1,$F731,AVERAGE($F731:OFFSET($F731,(($K$1-1)*-1),0)))</f>
        <v>182.89642857142857</v>
      </c>
      <c r="L731" s="7">
        <f t="shared" ca="1" si="66"/>
        <v>-1</v>
      </c>
      <c r="M731" s="7" t="str">
        <f t="shared" ca="1" si="67"/>
        <v/>
      </c>
      <c r="N731" s="6" t="str">
        <f t="shared" ca="1" si="68"/>
        <v/>
      </c>
      <c r="O731" s="6">
        <f t="shared" si="69"/>
        <v>-0.84999999999999432</v>
      </c>
      <c r="Q731" s="6">
        <v>-2.5500000000000114</v>
      </c>
      <c r="R731" s="9">
        <f t="shared" si="70"/>
        <v>-956.25000000000432</v>
      </c>
      <c r="S731" s="7">
        <f t="shared" si="71"/>
        <v>-2306.2500000000018</v>
      </c>
    </row>
    <row r="732" spans="1:19" x14ac:dyDescent="0.25">
      <c r="A732" s="4">
        <f>Sheet1!A732</f>
        <v>40147</v>
      </c>
      <c r="B732" s="5">
        <f>Sheet1!B732</f>
        <v>0.58333333333333337</v>
      </c>
      <c r="C732" s="6">
        <f>Sheet1!C732</f>
        <v>181.6</v>
      </c>
      <c r="D732" s="6">
        <f>Sheet1!D732</f>
        <v>186.35</v>
      </c>
      <c r="E732" s="6">
        <f>Sheet1!E732</f>
        <v>181.5</v>
      </c>
      <c r="F732" s="6">
        <f>Sheet1!F732</f>
        <v>184.85</v>
      </c>
      <c r="H732" s="6">
        <f ca="1">IF(ROW($H732)-1&lt;$I$1,$F732,AVERAGE($F732:OFFSET($F732,(($I$1-1)*-1),0)))</f>
        <v>180.89166666666665</v>
      </c>
      <c r="J732" s="6">
        <f ca="1">IF(ROW($J732)-1&lt;$K$1,$F732,AVERAGE($F732:OFFSET($F732,(($K$1-1)*-1),0)))</f>
        <v>182.79285714285717</v>
      </c>
      <c r="L732" s="7">
        <f t="shared" ca="1" si="66"/>
        <v>-1</v>
      </c>
      <c r="M732" s="7" t="str">
        <f t="shared" ca="1" si="67"/>
        <v/>
      </c>
      <c r="N732" s="6" t="str">
        <f t="shared" ca="1" si="68"/>
        <v/>
      </c>
      <c r="O732" s="6">
        <f t="shared" si="69"/>
        <v>3.9499999999999886</v>
      </c>
      <c r="Q732" s="6">
        <v>-6.5</v>
      </c>
      <c r="R732" s="9">
        <f t="shared" si="70"/>
        <v>-2437.5</v>
      </c>
      <c r="S732" s="7">
        <f t="shared" si="71"/>
        <v>-2306.2500000000018</v>
      </c>
    </row>
    <row r="733" spans="1:19" x14ac:dyDescent="0.25">
      <c r="A733" s="4">
        <f>Sheet1!A733</f>
        <v>40148</v>
      </c>
      <c r="B733" s="5">
        <f>Sheet1!B733</f>
        <v>0.58333333333333337</v>
      </c>
      <c r="C733" s="6">
        <f>Sheet1!C733</f>
        <v>184.85</v>
      </c>
      <c r="D733" s="6">
        <f>Sheet1!D733</f>
        <v>187.45</v>
      </c>
      <c r="E733" s="6">
        <f>Sheet1!E733</f>
        <v>184.05</v>
      </c>
      <c r="F733" s="6">
        <f>Sheet1!F733</f>
        <v>185.55</v>
      </c>
      <c r="H733" s="6">
        <f ca="1">IF(ROW($H733)-1&lt;$I$1,$F733,AVERAGE($F733:OFFSET($F733,(($I$1-1)*-1),0)))</f>
        <v>182.04999999999998</v>
      </c>
      <c r="J733" s="6">
        <f ca="1">IF(ROW($J733)-1&lt;$K$1,$F733,AVERAGE($F733:OFFSET($F733,(($K$1-1)*-1),0)))</f>
        <v>182.62500000000003</v>
      </c>
      <c r="L733" s="7">
        <f t="shared" ca="1" si="66"/>
        <v>-1</v>
      </c>
      <c r="M733" s="7" t="str">
        <f t="shared" ca="1" si="67"/>
        <v/>
      </c>
      <c r="N733" s="6" t="str">
        <f t="shared" ca="1" si="68"/>
        <v/>
      </c>
      <c r="O733" s="6">
        <f t="shared" si="69"/>
        <v>0.70000000000001705</v>
      </c>
      <c r="Q733" s="6">
        <v>-7.2000000000000171</v>
      </c>
      <c r="R733" s="9">
        <f t="shared" si="70"/>
        <v>-2700.0000000000064</v>
      </c>
      <c r="S733" s="7">
        <f t="shared" si="71"/>
        <v>-2306.2500000000018</v>
      </c>
    </row>
    <row r="734" spans="1:19" x14ac:dyDescent="0.25">
      <c r="A734" s="4">
        <f>Sheet1!A734</f>
        <v>40149</v>
      </c>
      <c r="B734" s="5">
        <f>Sheet1!B734</f>
        <v>0.58333333333333337</v>
      </c>
      <c r="C734" s="6">
        <f>Sheet1!C734</f>
        <v>185.85</v>
      </c>
      <c r="D734" s="6">
        <f>Sheet1!D734</f>
        <v>187.15</v>
      </c>
      <c r="E734" s="6">
        <f>Sheet1!E734</f>
        <v>185.15</v>
      </c>
      <c r="F734" s="6">
        <f>Sheet1!F734</f>
        <v>186.55</v>
      </c>
      <c r="H734" s="6">
        <f ca="1">IF(ROW($H734)-1&lt;$I$1,$F734,AVERAGE($F734:OFFSET($F734,(($I$1-1)*-1),0)))</f>
        <v>183.1</v>
      </c>
      <c r="J734" s="6">
        <f ca="1">IF(ROW($J734)-1&lt;$K$1,$F734,AVERAGE($F734:OFFSET($F734,(($K$1-1)*-1),0)))</f>
        <v>182.51607142857145</v>
      </c>
      <c r="L734" s="7">
        <f t="shared" ca="1" si="66"/>
        <v>1</v>
      </c>
      <c r="M734" s="7">
        <f t="shared" ca="1" si="67"/>
        <v>1</v>
      </c>
      <c r="N734" s="6" t="str">
        <f t="shared" ca="1" si="68"/>
        <v/>
      </c>
      <c r="O734" s="6">
        <f t="shared" si="69"/>
        <v>1</v>
      </c>
      <c r="Q734" s="6">
        <v>-8.2000000000000171</v>
      </c>
      <c r="R734" s="9">
        <f t="shared" si="70"/>
        <v>-3075.0000000000064</v>
      </c>
      <c r="S734" s="7">
        <f t="shared" si="71"/>
        <v>-2306.2500000000018</v>
      </c>
    </row>
    <row r="735" spans="1:19" x14ac:dyDescent="0.25">
      <c r="A735" s="4">
        <f>Sheet1!A735</f>
        <v>40150</v>
      </c>
      <c r="B735" s="5">
        <f>Sheet1!B735</f>
        <v>0.58333333333333337</v>
      </c>
      <c r="C735" s="6">
        <f>Sheet1!C735</f>
        <v>186.85</v>
      </c>
      <c r="D735" s="6">
        <f>Sheet1!D735</f>
        <v>188.2</v>
      </c>
      <c r="E735" s="6">
        <f>Sheet1!E735</f>
        <v>186.2</v>
      </c>
      <c r="F735" s="6">
        <f>Sheet1!F735</f>
        <v>187.5</v>
      </c>
      <c r="H735" s="6">
        <f ca="1">IF(ROW($H735)-1&lt;$I$1,$F735,AVERAGE($F735:OFFSET($F735,(($I$1-1)*-1),0)))</f>
        <v>184.51666666666665</v>
      </c>
      <c r="J735" s="6">
        <f ca="1">IF(ROW($J735)-1&lt;$K$1,$F735,AVERAGE($F735:OFFSET($F735,(($K$1-1)*-1),0)))</f>
        <v>182.67321428571429</v>
      </c>
      <c r="L735" s="7">
        <f t="shared" ca="1" si="66"/>
        <v>1</v>
      </c>
      <c r="M735" s="7" t="str">
        <f t="shared" ca="1" si="67"/>
        <v/>
      </c>
      <c r="N735" s="6">
        <f t="shared" ca="1" si="68"/>
        <v>186.85</v>
      </c>
      <c r="O735" s="6">
        <f t="shared" si="69"/>
        <v>0.94999999999998863</v>
      </c>
      <c r="P735" s="6">
        <v>-8.5</v>
      </c>
      <c r="Q735" s="6">
        <v>0.65000000000000568</v>
      </c>
      <c r="R735" s="9">
        <f t="shared" si="70"/>
        <v>243.75000000000213</v>
      </c>
      <c r="S735" s="7">
        <f t="shared" si="71"/>
        <v>-5493.7500000000018</v>
      </c>
    </row>
    <row r="736" spans="1:19" x14ac:dyDescent="0.25">
      <c r="A736" s="4">
        <f>Sheet1!A736</f>
        <v>40151</v>
      </c>
      <c r="B736" s="5">
        <f>Sheet1!B736</f>
        <v>0.58333333333333337</v>
      </c>
      <c r="C736" s="6">
        <f>Sheet1!C736</f>
        <v>186.85</v>
      </c>
      <c r="D736" s="6">
        <f>Sheet1!D736</f>
        <v>187.5</v>
      </c>
      <c r="E736" s="6">
        <f>Sheet1!E736</f>
        <v>182.35</v>
      </c>
      <c r="F736" s="6">
        <f>Sheet1!F736</f>
        <v>184.2</v>
      </c>
      <c r="H736" s="6">
        <f ca="1">IF(ROW($H736)-1&lt;$I$1,$F736,AVERAGE($F736:OFFSET($F736,(($I$1-1)*-1),0)))</f>
        <v>184.92499999999998</v>
      </c>
      <c r="J736" s="6">
        <f ca="1">IF(ROW($J736)-1&lt;$K$1,$F736,AVERAGE($F736:OFFSET($F736,(($K$1-1)*-1),0)))</f>
        <v>182.73571428571429</v>
      </c>
      <c r="L736" s="7">
        <f t="shared" ca="1" si="66"/>
        <v>1</v>
      </c>
      <c r="M736" s="7" t="str">
        <f t="shared" ca="1" si="67"/>
        <v/>
      </c>
      <c r="N736" s="6" t="str">
        <f t="shared" ca="1" si="68"/>
        <v/>
      </c>
      <c r="O736" s="6">
        <f t="shared" si="69"/>
        <v>-3.3000000000000114</v>
      </c>
      <c r="Q736" s="6">
        <v>-2.6500000000000057</v>
      </c>
      <c r="R736" s="9">
        <f t="shared" si="70"/>
        <v>-993.75000000000216</v>
      </c>
      <c r="S736" s="7">
        <f t="shared" si="71"/>
        <v>-5493.7500000000018</v>
      </c>
    </row>
    <row r="737" spans="1:19" x14ac:dyDescent="0.25">
      <c r="A737" s="4">
        <f>Sheet1!A737</f>
        <v>40154</v>
      </c>
      <c r="B737" s="5">
        <f>Sheet1!B737</f>
        <v>0.58333333333333337</v>
      </c>
      <c r="C737" s="6">
        <f>Sheet1!C737</f>
        <v>184.85</v>
      </c>
      <c r="D737" s="6">
        <f>Sheet1!D737</f>
        <v>190.75</v>
      </c>
      <c r="E737" s="6">
        <f>Sheet1!E737</f>
        <v>183.4</v>
      </c>
      <c r="F737" s="6">
        <f>Sheet1!F737</f>
        <v>189.45</v>
      </c>
      <c r="H737" s="6">
        <f ca="1">IF(ROW($H737)-1&lt;$I$1,$F737,AVERAGE($F737:OFFSET($F737,(($I$1-1)*-1),0)))</f>
        <v>186.35000000000002</v>
      </c>
      <c r="J737" s="6">
        <f ca="1">IF(ROW($J737)-1&lt;$K$1,$F737,AVERAGE($F737:OFFSET($F737,(($K$1-1)*-1),0)))</f>
        <v>182.99107142857147</v>
      </c>
      <c r="L737" s="7">
        <f t="shared" ca="1" si="66"/>
        <v>1</v>
      </c>
      <c r="M737" s="7" t="str">
        <f t="shared" ca="1" si="67"/>
        <v/>
      </c>
      <c r="N737" s="6" t="str">
        <f t="shared" ca="1" si="68"/>
        <v/>
      </c>
      <c r="O737" s="6">
        <f t="shared" si="69"/>
        <v>5.25</v>
      </c>
      <c r="Q737" s="6">
        <v>2.5999999999999943</v>
      </c>
      <c r="R737" s="9">
        <f t="shared" si="70"/>
        <v>974.99999999999784</v>
      </c>
      <c r="S737" s="7">
        <f t="shared" si="71"/>
        <v>-5493.7500000000018</v>
      </c>
    </row>
    <row r="738" spans="1:19" x14ac:dyDescent="0.25">
      <c r="A738" s="4">
        <f>Sheet1!A738</f>
        <v>40155</v>
      </c>
      <c r="B738" s="5">
        <f>Sheet1!B738</f>
        <v>0.58333333333333337</v>
      </c>
      <c r="C738" s="6">
        <f>Sheet1!C738</f>
        <v>188.85</v>
      </c>
      <c r="D738" s="6">
        <f>Sheet1!D738</f>
        <v>189.35</v>
      </c>
      <c r="E738" s="6">
        <f>Sheet1!E738</f>
        <v>186.45</v>
      </c>
      <c r="F738" s="6">
        <f>Sheet1!F738</f>
        <v>186.75</v>
      </c>
      <c r="H738" s="6">
        <f ca="1">IF(ROW($H738)-1&lt;$I$1,$F738,AVERAGE($F738:OFFSET($F738,(($I$1-1)*-1),0)))</f>
        <v>186.66666666666666</v>
      </c>
      <c r="J738" s="6">
        <f ca="1">IF(ROW($J738)-1&lt;$K$1,$F738,AVERAGE($F738:OFFSET($F738,(($K$1-1)*-1),0)))</f>
        <v>183.21250000000001</v>
      </c>
      <c r="L738" s="7">
        <f t="shared" ca="1" si="66"/>
        <v>1</v>
      </c>
      <c r="M738" s="7" t="str">
        <f t="shared" ca="1" si="67"/>
        <v/>
      </c>
      <c r="N738" s="6" t="str">
        <f t="shared" ca="1" si="68"/>
        <v/>
      </c>
      <c r="O738" s="6">
        <f t="shared" si="69"/>
        <v>-2.6999999999999886</v>
      </c>
      <c r="Q738" s="6">
        <v>-9.9999999999994316E-2</v>
      </c>
      <c r="R738" s="9">
        <f t="shared" si="70"/>
        <v>-37.499999999997868</v>
      </c>
      <c r="S738" s="7">
        <f t="shared" si="71"/>
        <v>-5493.7500000000018</v>
      </c>
    </row>
    <row r="739" spans="1:19" x14ac:dyDescent="0.25">
      <c r="A739" s="4">
        <f>Sheet1!A739</f>
        <v>40156</v>
      </c>
      <c r="B739" s="5">
        <f>Sheet1!B739</f>
        <v>0.58333333333333337</v>
      </c>
      <c r="C739" s="6">
        <f>Sheet1!C739</f>
        <v>186.95</v>
      </c>
      <c r="D739" s="6">
        <f>Sheet1!D739</f>
        <v>189.5</v>
      </c>
      <c r="E739" s="6">
        <f>Sheet1!E739</f>
        <v>184.1</v>
      </c>
      <c r="F739" s="6">
        <f>Sheet1!F739</f>
        <v>184.5</v>
      </c>
      <c r="H739" s="6">
        <f ca="1">IF(ROW($H739)-1&lt;$I$1,$F739,AVERAGE($F739:OFFSET($F739,(($I$1-1)*-1),0)))</f>
        <v>186.49166666666667</v>
      </c>
      <c r="J739" s="6">
        <f ca="1">IF(ROW($J739)-1&lt;$K$1,$F739,AVERAGE($F739:OFFSET($F739,(($K$1-1)*-1),0)))</f>
        <v>183.27678571428572</v>
      </c>
      <c r="L739" s="7">
        <f t="shared" ca="1" si="66"/>
        <v>1</v>
      </c>
      <c r="M739" s="7" t="str">
        <f t="shared" ca="1" si="67"/>
        <v/>
      </c>
      <c r="N739" s="6" t="str">
        <f t="shared" ca="1" si="68"/>
        <v/>
      </c>
      <c r="O739" s="6">
        <f t="shared" si="69"/>
        <v>-2.25</v>
      </c>
      <c r="Q739" s="6">
        <v>-2.3499999999999943</v>
      </c>
      <c r="R739" s="9">
        <f t="shared" si="70"/>
        <v>-881.24999999999784</v>
      </c>
      <c r="S739" s="7">
        <f t="shared" si="71"/>
        <v>-5493.7500000000018</v>
      </c>
    </row>
    <row r="740" spans="1:19" x14ac:dyDescent="0.25">
      <c r="A740" s="4">
        <f>Sheet1!A740</f>
        <v>40157</v>
      </c>
      <c r="B740" s="5">
        <f>Sheet1!B740</f>
        <v>0.58333333333333337</v>
      </c>
      <c r="C740" s="6">
        <f>Sheet1!C740</f>
        <v>184.55</v>
      </c>
      <c r="D740" s="6">
        <f>Sheet1!D740</f>
        <v>187.05</v>
      </c>
      <c r="E740" s="6">
        <f>Sheet1!E740</f>
        <v>184.55</v>
      </c>
      <c r="F740" s="6">
        <f>Sheet1!F740</f>
        <v>185.55</v>
      </c>
      <c r="H740" s="6">
        <f ca="1">IF(ROW($H740)-1&lt;$I$1,$F740,AVERAGE($F740:OFFSET($F740,(($I$1-1)*-1),0)))</f>
        <v>186.32500000000002</v>
      </c>
      <c r="J740" s="6">
        <f ca="1">IF(ROW($J740)-1&lt;$K$1,$F740,AVERAGE($F740:OFFSET($F740,(($K$1-1)*-1),0)))</f>
        <v>183.42321428571427</v>
      </c>
      <c r="L740" s="7">
        <f t="shared" ca="1" si="66"/>
        <v>1</v>
      </c>
      <c r="M740" s="7" t="str">
        <f t="shared" ca="1" si="67"/>
        <v/>
      </c>
      <c r="N740" s="6" t="str">
        <f t="shared" ca="1" si="68"/>
        <v/>
      </c>
      <c r="O740" s="6">
        <f t="shared" si="69"/>
        <v>1.0500000000000114</v>
      </c>
      <c r="Q740" s="6">
        <v>-1.2999999999999829</v>
      </c>
      <c r="R740" s="9">
        <f t="shared" si="70"/>
        <v>-487.49999999999363</v>
      </c>
      <c r="S740" s="7">
        <f t="shared" si="71"/>
        <v>-5493.7500000000018</v>
      </c>
    </row>
    <row r="741" spans="1:19" x14ac:dyDescent="0.25">
      <c r="A741" s="4">
        <f>Sheet1!A741</f>
        <v>40158</v>
      </c>
      <c r="B741" s="5">
        <f>Sheet1!B741</f>
        <v>0.58333333333333337</v>
      </c>
      <c r="C741" s="6">
        <f>Sheet1!C741</f>
        <v>185.6</v>
      </c>
      <c r="D741" s="6">
        <f>Sheet1!D741</f>
        <v>187.35</v>
      </c>
      <c r="E741" s="6">
        <f>Sheet1!E741</f>
        <v>183.15</v>
      </c>
      <c r="F741" s="6">
        <f>Sheet1!F741</f>
        <v>185.5</v>
      </c>
      <c r="H741" s="6">
        <f ca="1">IF(ROW($H741)-1&lt;$I$1,$F741,AVERAGE($F741:OFFSET($F741,(($I$1-1)*-1),0)))</f>
        <v>185.99166666666667</v>
      </c>
      <c r="J741" s="6">
        <f ca="1">IF(ROW($J741)-1&lt;$K$1,$F741,AVERAGE($F741:OFFSET($F741,(($K$1-1)*-1),0)))</f>
        <v>183.3232142857143</v>
      </c>
      <c r="L741" s="7">
        <f t="shared" ca="1" si="66"/>
        <v>1</v>
      </c>
      <c r="M741" s="7" t="str">
        <f t="shared" ca="1" si="67"/>
        <v/>
      </c>
      <c r="N741" s="6" t="str">
        <f t="shared" ca="1" si="68"/>
        <v/>
      </c>
      <c r="O741" s="6">
        <f t="shared" si="69"/>
        <v>-5.0000000000011369E-2</v>
      </c>
      <c r="Q741" s="6">
        <v>-1.3499999999999943</v>
      </c>
      <c r="R741" s="9">
        <f t="shared" si="70"/>
        <v>-506.24999999999784</v>
      </c>
      <c r="S741" s="7">
        <f t="shared" si="71"/>
        <v>-5493.7500000000018</v>
      </c>
    </row>
    <row r="742" spans="1:19" x14ac:dyDescent="0.25">
      <c r="A742" s="4">
        <f>Sheet1!A742</f>
        <v>40161</v>
      </c>
      <c r="B742" s="5">
        <f>Sheet1!B742</f>
        <v>0.58333333333333337</v>
      </c>
      <c r="C742" s="6">
        <f>Sheet1!C742</f>
        <v>186.05</v>
      </c>
      <c r="D742" s="6">
        <f>Sheet1!D742</f>
        <v>189.45</v>
      </c>
      <c r="E742" s="6">
        <f>Sheet1!E742</f>
        <v>185.7</v>
      </c>
      <c r="F742" s="6">
        <f>Sheet1!F742</f>
        <v>188.75</v>
      </c>
      <c r="H742" s="6">
        <f ca="1">IF(ROW($H742)-1&lt;$I$1,$F742,AVERAGE($F742:OFFSET($F742,(($I$1-1)*-1),0)))</f>
        <v>186.75</v>
      </c>
      <c r="J742" s="6">
        <f ca="1">IF(ROW($J742)-1&lt;$K$1,$F742,AVERAGE($F742:OFFSET($F742,(($K$1-1)*-1),0)))</f>
        <v>183.38392857142858</v>
      </c>
      <c r="L742" s="7">
        <f t="shared" ca="1" si="66"/>
        <v>1</v>
      </c>
      <c r="M742" s="7" t="str">
        <f t="shared" ca="1" si="67"/>
        <v/>
      </c>
      <c r="N742" s="6" t="str">
        <f t="shared" ca="1" si="68"/>
        <v/>
      </c>
      <c r="O742" s="6">
        <f t="shared" si="69"/>
        <v>3.25</v>
      </c>
      <c r="Q742" s="6">
        <v>1.9000000000000057</v>
      </c>
      <c r="R742" s="9">
        <f t="shared" si="70"/>
        <v>712.50000000000216</v>
      </c>
      <c r="S742" s="7">
        <f t="shared" si="71"/>
        <v>-5493.7500000000018</v>
      </c>
    </row>
    <row r="743" spans="1:19" x14ac:dyDescent="0.25">
      <c r="A743" s="4">
        <f>Sheet1!A743</f>
        <v>40162</v>
      </c>
      <c r="B743" s="5">
        <f>Sheet1!B743</f>
        <v>0.58333333333333337</v>
      </c>
      <c r="C743" s="6">
        <f>Sheet1!C743</f>
        <v>188.75</v>
      </c>
      <c r="D743" s="6">
        <f>Sheet1!D743</f>
        <v>192.25</v>
      </c>
      <c r="E743" s="6">
        <f>Sheet1!E743</f>
        <v>187.55</v>
      </c>
      <c r="F743" s="6">
        <f>Sheet1!F743</f>
        <v>190.1</v>
      </c>
      <c r="H743" s="6">
        <f ca="1">IF(ROW($H743)-1&lt;$I$1,$F743,AVERAGE($F743:OFFSET($F743,(($I$1-1)*-1),0)))</f>
        <v>186.85833333333332</v>
      </c>
      <c r="J743" s="6">
        <f ca="1">IF(ROW($J743)-1&lt;$K$1,$F743,AVERAGE($F743:OFFSET($F743,(($K$1-1)*-1),0)))</f>
        <v>183.50535714285715</v>
      </c>
      <c r="L743" s="7">
        <f t="shared" ca="1" si="66"/>
        <v>1</v>
      </c>
      <c r="M743" s="7" t="str">
        <f t="shared" ca="1" si="67"/>
        <v/>
      </c>
      <c r="N743" s="6" t="str">
        <f t="shared" ca="1" si="68"/>
        <v/>
      </c>
      <c r="O743" s="6">
        <f t="shared" si="69"/>
        <v>1.3499999999999943</v>
      </c>
      <c r="Q743" s="6">
        <v>3.25</v>
      </c>
      <c r="R743" s="9">
        <f t="shared" si="70"/>
        <v>1218.75</v>
      </c>
      <c r="S743" s="7">
        <f t="shared" si="71"/>
        <v>-5493.7500000000018</v>
      </c>
    </row>
    <row r="744" spans="1:19" x14ac:dyDescent="0.25">
      <c r="A744" s="4">
        <f>Sheet1!A744</f>
        <v>40163</v>
      </c>
      <c r="B744" s="5">
        <f>Sheet1!B744</f>
        <v>0.58333333333333337</v>
      </c>
      <c r="C744" s="6">
        <f>Sheet1!C744</f>
        <v>190.45</v>
      </c>
      <c r="D744" s="6">
        <f>Sheet1!D744</f>
        <v>192.35</v>
      </c>
      <c r="E744" s="6">
        <f>Sheet1!E744</f>
        <v>190.45</v>
      </c>
      <c r="F744" s="6">
        <f>Sheet1!F744</f>
        <v>191.15</v>
      </c>
      <c r="H744" s="6">
        <f ca="1">IF(ROW($H744)-1&lt;$I$1,$F744,AVERAGE($F744:OFFSET($F744,(($I$1-1)*-1),0)))</f>
        <v>187.59166666666667</v>
      </c>
      <c r="J744" s="6">
        <f ca="1">IF(ROW($J744)-1&lt;$K$1,$F744,AVERAGE($F744:OFFSET($F744,(($K$1-1)*-1),0)))</f>
        <v>183.61607142857142</v>
      </c>
      <c r="L744" s="7">
        <f t="shared" ca="1" si="66"/>
        <v>1</v>
      </c>
      <c r="M744" s="7" t="str">
        <f t="shared" ca="1" si="67"/>
        <v/>
      </c>
      <c r="N744" s="6" t="str">
        <f t="shared" ca="1" si="68"/>
        <v/>
      </c>
      <c r="O744" s="6">
        <f t="shared" si="69"/>
        <v>1.0500000000000114</v>
      </c>
      <c r="Q744" s="6">
        <v>4.3000000000000114</v>
      </c>
      <c r="R744" s="9">
        <f t="shared" si="70"/>
        <v>1612.5000000000043</v>
      </c>
      <c r="S744" s="7">
        <f t="shared" si="71"/>
        <v>-5493.7500000000018</v>
      </c>
    </row>
    <row r="745" spans="1:19" x14ac:dyDescent="0.25">
      <c r="A745" s="4">
        <f>Sheet1!A745</f>
        <v>40164</v>
      </c>
      <c r="B745" s="5">
        <f>Sheet1!B745</f>
        <v>0.58333333333333337</v>
      </c>
      <c r="C745" s="6">
        <f>Sheet1!C745</f>
        <v>190.55</v>
      </c>
      <c r="D745" s="6">
        <f>Sheet1!D745</f>
        <v>191.05</v>
      </c>
      <c r="E745" s="6">
        <f>Sheet1!E745</f>
        <v>187.75</v>
      </c>
      <c r="F745" s="6">
        <f>Sheet1!F745</f>
        <v>189.05</v>
      </c>
      <c r="H745" s="6">
        <f ca="1">IF(ROW($H745)-1&lt;$I$1,$F745,AVERAGE($F745:OFFSET($F745,(($I$1-1)*-1),0)))</f>
        <v>188.35</v>
      </c>
      <c r="J745" s="6">
        <f ca="1">IF(ROW($J745)-1&lt;$K$1,$F745,AVERAGE($F745:OFFSET($F745,(($K$1-1)*-1),0)))</f>
        <v>183.76607142857145</v>
      </c>
      <c r="L745" s="7">
        <f t="shared" ca="1" si="66"/>
        <v>1</v>
      </c>
      <c r="M745" s="7" t="str">
        <f t="shared" ca="1" si="67"/>
        <v/>
      </c>
      <c r="N745" s="6" t="str">
        <f t="shared" ca="1" si="68"/>
        <v/>
      </c>
      <c r="O745" s="6">
        <f t="shared" si="69"/>
        <v>-2.0999999999999943</v>
      </c>
      <c r="Q745" s="6">
        <v>2.2000000000000171</v>
      </c>
      <c r="R745" s="9">
        <f t="shared" si="70"/>
        <v>825.00000000000637</v>
      </c>
      <c r="S745" s="7">
        <f t="shared" si="71"/>
        <v>-5493.7500000000018</v>
      </c>
    </row>
    <row r="746" spans="1:19" x14ac:dyDescent="0.25">
      <c r="A746" s="4">
        <f>Sheet1!A746</f>
        <v>40165</v>
      </c>
      <c r="B746" s="5">
        <f>Sheet1!B746</f>
        <v>0.58333333333333337</v>
      </c>
      <c r="C746" s="6">
        <f>Sheet1!C746</f>
        <v>189.4</v>
      </c>
      <c r="D746" s="6">
        <f>Sheet1!D746</f>
        <v>190.4</v>
      </c>
      <c r="E746" s="6">
        <f>Sheet1!E746</f>
        <v>186.15</v>
      </c>
      <c r="F746" s="6">
        <f>Sheet1!F746</f>
        <v>188.1</v>
      </c>
      <c r="H746" s="6">
        <f ca="1">IF(ROW($H746)-1&lt;$I$1,$F746,AVERAGE($F746:OFFSET($F746,(($I$1-1)*-1),0)))</f>
        <v>188.77499999999998</v>
      </c>
      <c r="J746" s="6">
        <f ca="1">IF(ROW($J746)-1&lt;$K$1,$F746,AVERAGE($F746:OFFSET($F746,(($K$1-1)*-1),0)))</f>
        <v>183.84107142857147</v>
      </c>
      <c r="L746" s="7">
        <f t="shared" ca="1" si="66"/>
        <v>1</v>
      </c>
      <c r="M746" s="7" t="str">
        <f t="shared" ca="1" si="67"/>
        <v/>
      </c>
      <c r="N746" s="6" t="str">
        <f t="shared" ca="1" si="68"/>
        <v/>
      </c>
      <c r="O746" s="6">
        <f t="shared" si="69"/>
        <v>-0.95000000000001705</v>
      </c>
      <c r="Q746" s="6">
        <v>1.25</v>
      </c>
      <c r="R746" s="9">
        <f t="shared" si="70"/>
        <v>468.75</v>
      </c>
      <c r="S746" s="7">
        <f t="shared" si="71"/>
        <v>-5493.7500000000018</v>
      </c>
    </row>
    <row r="747" spans="1:19" x14ac:dyDescent="0.25">
      <c r="A747" s="4">
        <f>Sheet1!A747</f>
        <v>40168</v>
      </c>
      <c r="B747" s="5">
        <f>Sheet1!B747</f>
        <v>0.58333333333333337</v>
      </c>
      <c r="C747" s="6">
        <f>Sheet1!C747</f>
        <v>189.25</v>
      </c>
      <c r="D747" s="6">
        <f>Sheet1!D747</f>
        <v>190.1</v>
      </c>
      <c r="E747" s="6">
        <f>Sheet1!E747</f>
        <v>188</v>
      </c>
      <c r="F747" s="6">
        <f>Sheet1!F747</f>
        <v>188.45</v>
      </c>
      <c r="H747" s="6">
        <f ca="1">IF(ROW($H747)-1&lt;$I$1,$F747,AVERAGE($F747:OFFSET($F747,(($I$1-1)*-1),0)))</f>
        <v>189.26666666666665</v>
      </c>
      <c r="J747" s="6">
        <f ca="1">IF(ROW($J747)-1&lt;$K$1,$F747,AVERAGE($F747:OFFSET($F747,(($K$1-1)*-1),0)))</f>
        <v>184.14285714285714</v>
      </c>
      <c r="L747" s="7">
        <f t="shared" ca="1" si="66"/>
        <v>1</v>
      </c>
      <c r="M747" s="7" t="str">
        <f t="shared" ca="1" si="67"/>
        <v/>
      </c>
      <c r="N747" s="6" t="str">
        <f t="shared" ca="1" si="68"/>
        <v/>
      </c>
      <c r="O747" s="6">
        <f t="shared" si="69"/>
        <v>0.34999999999999432</v>
      </c>
      <c r="Q747" s="6">
        <v>1.5999999999999943</v>
      </c>
      <c r="R747" s="9">
        <f t="shared" si="70"/>
        <v>599.99999999999784</v>
      </c>
      <c r="S747" s="7">
        <f t="shared" si="71"/>
        <v>-5493.7500000000018</v>
      </c>
    </row>
    <row r="748" spans="1:19" x14ac:dyDescent="0.25">
      <c r="A748" s="4">
        <f>Sheet1!A748</f>
        <v>40169</v>
      </c>
      <c r="B748" s="5">
        <f>Sheet1!B748</f>
        <v>0.58333333333333337</v>
      </c>
      <c r="C748" s="6">
        <f>Sheet1!C748</f>
        <v>188.35</v>
      </c>
      <c r="D748" s="6">
        <f>Sheet1!D748</f>
        <v>188.6</v>
      </c>
      <c r="E748" s="6">
        <f>Sheet1!E748</f>
        <v>183.55</v>
      </c>
      <c r="F748" s="6">
        <f>Sheet1!F748</f>
        <v>185.3</v>
      </c>
      <c r="H748" s="6">
        <f ca="1">IF(ROW($H748)-1&lt;$I$1,$F748,AVERAGE($F748:OFFSET($F748,(($I$1-1)*-1),0)))</f>
        <v>188.69166666666663</v>
      </c>
      <c r="J748" s="6">
        <f ca="1">IF(ROW($J748)-1&lt;$K$1,$F748,AVERAGE($F748:OFFSET($F748,(($K$1-1)*-1),0)))</f>
        <v>184.38035714285715</v>
      </c>
      <c r="L748" s="7">
        <f t="shared" ca="1" si="66"/>
        <v>1</v>
      </c>
      <c r="M748" s="7" t="str">
        <f t="shared" ca="1" si="67"/>
        <v/>
      </c>
      <c r="N748" s="6" t="str">
        <f t="shared" ca="1" si="68"/>
        <v/>
      </c>
      <c r="O748" s="6">
        <f t="shared" si="69"/>
        <v>-3.1499999999999773</v>
      </c>
      <c r="Q748" s="6">
        <v>-1.5499999999999829</v>
      </c>
      <c r="R748" s="9">
        <f t="shared" si="70"/>
        <v>-581.24999999999363</v>
      </c>
      <c r="S748" s="7">
        <f t="shared" si="71"/>
        <v>-5493.7500000000018</v>
      </c>
    </row>
    <row r="749" spans="1:19" x14ac:dyDescent="0.25">
      <c r="A749" s="4">
        <f>Sheet1!A749</f>
        <v>40170</v>
      </c>
      <c r="B749" s="5">
        <f>Sheet1!B749</f>
        <v>0.58333333333333337</v>
      </c>
      <c r="C749" s="6">
        <f>Sheet1!C749</f>
        <v>185.15</v>
      </c>
      <c r="D749" s="6">
        <f>Sheet1!D749</f>
        <v>186.25</v>
      </c>
      <c r="E749" s="6">
        <f>Sheet1!E749</f>
        <v>183.9</v>
      </c>
      <c r="F749" s="6">
        <f>Sheet1!F749</f>
        <v>185.5</v>
      </c>
      <c r="H749" s="6">
        <f ca="1">IF(ROW($H749)-1&lt;$I$1,$F749,AVERAGE($F749:OFFSET($F749,(($I$1-1)*-1),0)))</f>
        <v>187.92499999999998</v>
      </c>
      <c r="J749" s="6">
        <f ca="1">IF(ROW($J749)-1&lt;$K$1,$F749,AVERAGE($F749:OFFSET($F749,(($K$1-1)*-1),0)))</f>
        <v>184.70178571428573</v>
      </c>
      <c r="L749" s="7">
        <f t="shared" ca="1" si="66"/>
        <v>1</v>
      </c>
      <c r="M749" s="7" t="str">
        <f t="shared" ca="1" si="67"/>
        <v/>
      </c>
      <c r="N749" s="6" t="str">
        <f t="shared" ca="1" si="68"/>
        <v/>
      </c>
      <c r="O749" s="6">
        <f t="shared" si="69"/>
        <v>0.19999999999998863</v>
      </c>
      <c r="Q749" s="6">
        <v>-1.3499999999999943</v>
      </c>
      <c r="R749" s="9">
        <f t="shared" si="70"/>
        <v>-506.24999999999784</v>
      </c>
      <c r="S749" s="7">
        <f t="shared" si="71"/>
        <v>-5493.7500000000018</v>
      </c>
    </row>
    <row r="750" spans="1:19" x14ac:dyDescent="0.25">
      <c r="A750" s="4">
        <f>Sheet1!A750</f>
        <v>40171</v>
      </c>
      <c r="B750" s="5">
        <f>Sheet1!B750</f>
        <v>0.58333333333333337</v>
      </c>
      <c r="C750" s="6">
        <f>Sheet1!C750</f>
        <v>186.1</v>
      </c>
      <c r="D750" s="6">
        <f>Sheet1!D750</f>
        <v>186.4</v>
      </c>
      <c r="E750" s="6">
        <f>Sheet1!E750</f>
        <v>181.95</v>
      </c>
      <c r="F750" s="6">
        <f>Sheet1!F750</f>
        <v>182.15</v>
      </c>
      <c r="H750" s="6">
        <f ca="1">IF(ROW($H750)-1&lt;$I$1,$F750,AVERAGE($F750:OFFSET($F750,(($I$1-1)*-1),0)))</f>
        <v>186.42499999999998</v>
      </c>
      <c r="J750" s="6">
        <f ca="1">IF(ROW($J750)-1&lt;$K$1,$F750,AVERAGE($F750:OFFSET($F750,(($K$1-1)*-1),0)))</f>
        <v>184.88392857142858</v>
      </c>
      <c r="L750" s="7">
        <f t="shared" ca="1" si="66"/>
        <v>1</v>
      </c>
      <c r="M750" s="7" t="str">
        <f t="shared" ca="1" si="67"/>
        <v/>
      </c>
      <c r="N750" s="6" t="str">
        <f t="shared" ca="1" si="68"/>
        <v/>
      </c>
      <c r="O750" s="6">
        <f t="shared" si="69"/>
        <v>-3.3499999999999943</v>
      </c>
      <c r="Q750" s="6">
        <v>-4.6999999999999886</v>
      </c>
      <c r="R750" s="9">
        <f t="shared" si="70"/>
        <v>-1762.4999999999957</v>
      </c>
      <c r="S750" s="7">
        <f t="shared" si="71"/>
        <v>-5493.7500000000018</v>
      </c>
    </row>
    <row r="751" spans="1:19" x14ac:dyDescent="0.25">
      <c r="A751" s="4">
        <f>Sheet1!A751</f>
        <v>40175</v>
      </c>
      <c r="B751" s="5">
        <f>Sheet1!B751</f>
        <v>0.58333333333333337</v>
      </c>
      <c r="C751" s="6">
        <f>Sheet1!C751</f>
        <v>182.7</v>
      </c>
      <c r="D751" s="6">
        <f>Sheet1!D751</f>
        <v>183.45</v>
      </c>
      <c r="E751" s="6">
        <f>Sheet1!E751</f>
        <v>179.7</v>
      </c>
      <c r="F751" s="6">
        <f>Sheet1!F751</f>
        <v>179.8</v>
      </c>
      <c r="H751" s="6">
        <f ca="1">IF(ROW($H751)-1&lt;$I$1,$F751,AVERAGE($F751:OFFSET($F751,(($I$1-1)*-1),0)))</f>
        <v>184.88333333333333</v>
      </c>
      <c r="J751" s="6">
        <f ca="1">IF(ROW($J751)-1&lt;$K$1,$F751,AVERAGE($F751:OFFSET($F751,(($K$1-1)*-1),0)))</f>
        <v>184.79464285714286</v>
      </c>
      <c r="L751" s="7">
        <f t="shared" ca="1" si="66"/>
        <v>1</v>
      </c>
      <c r="M751" s="7" t="str">
        <f t="shared" ca="1" si="67"/>
        <v/>
      </c>
      <c r="N751" s="6" t="str">
        <f t="shared" ca="1" si="68"/>
        <v/>
      </c>
      <c r="O751" s="6">
        <f t="shared" si="69"/>
        <v>-2.3499999999999943</v>
      </c>
      <c r="Q751" s="6">
        <v>-7.0499999999999829</v>
      </c>
      <c r="R751" s="9">
        <f t="shared" si="70"/>
        <v>-2643.7499999999936</v>
      </c>
      <c r="S751" s="7">
        <f t="shared" si="71"/>
        <v>-5493.7500000000018</v>
      </c>
    </row>
    <row r="752" spans="1:19" x14ac:dyDescent="0.25">
      <c r="A752" s="4">
        <f>Sheet1!A752</f>
        <v>40176</v>
      </c>
      <c r="B752" s="5">
        <f>Sheet1!B752</f>
        <v>0.58333333333333337</v>
      </c>
      <c r="C752" s="6">
        <f>Sheet1!C752</f>
        <v>180.1</v>
      </c>
      <c r="D752" s="6">
        <f>Sheet1!D752</f>
        <v>181.85</v>
      </c>
      <c r="E752" s="6">
        <f>Sheet1!E752</f>
        <v>179.15</v>
      </c>
      <c r="F752" s="6">
        <f>Sheet1!F752</f>
        <v>179.2</v>
      </c>
      <c r="H752" s="6">
        <f ca="1">IF(ROW($H752)-1&lt;$I$1,$F752,AVERAGE($F752:OFFSET($F752,(($I$1-1)*-1),0)))</f>
        <v>183.4</v>
      </c>
      <c r="J752" s="6">
        <f ca="1">IF(ROW($J752)-1&lt;$K$1,$F752,AVERAGE($F752:OFFSET($F752,(($K$1-1)*-1),0)))</f>
        <v>184.70535714285714</v>
      </c>
      <c r="L752" s="7">
        <f t="shared" ca="1" si="66"/>
        <v>-1</v>
      </c>
      <c r="M752" s="7">
        <f t="shared" ca="1" si="67"/>
        <v>-1</v>
      </c>
      <c r="N752" s="6" t="str">
        <f t="shared" ca="1" si="68"/>
        <v/>
      </c>
      <c r="O752" s="6">
        <f t="shared" si="69"/>
        <v>-0.60000000000002274</v>
      </c>
      <c r="Q752" s="6">
        <v>-7.6500000000000057</v>
      </c>
      <c r="R752" s="9">
        <f t="shared" si="70"/>
        <v>-2868.7500000000023</v>
      </c>
      <c r="S752" s="7">
        <f t="shared" si="71"/>
        <v>-5493.7500000000018</v>
      </c>
    </row>
    <row r="753" spans="1:19" x14ac:dyDescent="0.25">
      <c r="A753" s="4">
        <f>Sheet1!A753</f>
        <v>40177</v>
      </c>
      <c r="B753" s="5">
        <f>Sheet1!B753</f>
        <v>0.58333333333333337</v>
      </c>
      <c r="C753" s="6">
        <f>Sheet1!C753</f>
        <v>179.35</v>
      </c>
      <c r="D753" s="6">
        <f>Sheet1!D753</f>
        <v>181</v>
      </c>
      <c r="E753" s="6">
        <f>Sheet1!E753</f>
        <v>178.85</v>
      </c>
      <c r="F753" s="6">
        <f>Sheet1!F753</f>
        <v>179.5</v>
      </c>
      <c r="H753" s="6">
        <f ca="1">IF(ROW($H753)-1&lt;$I$1,$F753,AVERAGE($F753:OFFSET($F753,(($I$1-1)*-1),0)))</f>
        <v>181.90833333333333</v>
      </c>
      <c r="J753" s="6">
        <f ca="1">IF(ROW($J753)-1&lt;$K$1,$F753,AVERAGE($F753:OFFSET($F753,(($K$1-1)*-1),0)))</f>
        <v>184.56607142857141</v>
      </c>
      <c r="L753" s="7">
        <f t="shared" ca="1" si="66"/>
        <v>-1</v>
      </c>
      <c r="M753" s="7" t="str">
        <f t="shared" ca="1" si="67"/>
        <v/>
      </c>
      <c r="N753" s="6">
        <f t="shared" ca="1" si="68"/>
        <v>179.35</v>
      </c>
      <c r="O753" s="6">
        <f t="shared" si="69"/>
        <v>0.30000000000001137</v>
      </c>
      <c r="P753" s="6">
        <v>-7.5</v>
      </c>
      <c r="Q753" s="6">
        <v>-0.15000000000000568</v>
      </c>
      <c r="R753" s="9">
        <f t="shared" si="70"/>
        <v>-56.250000000002132</v>
      </c>
      <c r="S753" s="7">
        <f t="shared" si="71"/>
        <v>-8306.2500000000018</v>
      </c>
    </row>
    <row r="754" spans="1:19" x14ac:dyDescent="0.25">
      <c r="A754" s="4">
        <f>Sheet1!A754</f>
        <v>40178</v>
      </c>
      <c r="B754" s="5">
        <f>Sheet1!B754</f>
        <v>0.58333333333333337</v>
      </c>
      <c r="C754" s="6">
        <f>Sheet1!C754</f>
        <v>180.8</v>
      </c>
      <c r="D754" s="6">
        <f>Sheet1!D754</f>
        <v>181.05</v>
      </c>
      <c r="E754" s="6">
        <f>Sheet1!E754</f>
        <v>178.65</v>
      </c>
      <c r="F754" s="6">
        <f>Sheet1!F754</f>
        <v>178.8</v>
      </c>
      <c r="H754" s="6">
        <f ca="1">IF(ROW($H754)-1&lt;$I$1,$F754,AVERAGE($F754:OFFSET($F754,(($I$1-1)*-1),0)))</f>
        <v>180.82500000000002</v>
      </c>
      <c r="J754" s="6">
        <f ca="1">IF(ROW($J754)-1&lt;$K$1,$F754,AVERAGE($F754:OFFSET($F754,(($K$1-1)*-1),0)))</f>
        <v>184.52678571428572</v>
      </c>
      <c r="L754" s="7">
        <f t="shared" ca="1" si="66"/>
        <v>-1</v>
      </c>
      <c r="M754" s="7" t="str">
        <f t="shared" ca="1" si="67"/>
        <v/>
      </c>
      <c r="N754" s="6" t="str">
        <f t="shared" ca="1" si="68"/>
        <v/>
      </c>
      <c r="O754" s="6">
        <f t="shared" si="69"/>
        <v>-0.69999999999998863</v>
      </c>
      <c r="Q754" s="6">
        <v>0.54999999999998295</v>
      </c>
      <c r="R754" s="9">
        <f t="shared" si="70"/>
        <v>206.24999999999361</v>
      </c>
      <c r="S754" s="7">
        <f t="shared" si="71"/>
        <v>-8306.2500000000018</v>
      </c>
    </row>
    <row r="755" spans="1:19" x14ac:dyDescent="0.25">
      <c r="A755" s="4">
        <f>Sheet1!A755</f>
        <v>40182</v>
      </c>
      <c r="B755" s="5">
        <f>Sheet1!B755</f>
        <v>0.58333333333333337</v>
      </c>
      <c r="C755" s="6">
        <f>Sheet1!C755</f>
        <v>178.85</v>
      </c>
      <c r="D755" s="6">
        <f>Sheet1!D755</f>
        <v>185.3</v>
      </c>
      <c r="E755" s="6">
        <f>Sheet1!E755</f>
        <v>178.85</v>
      </c>
      <c r="F755" s="6">
        <f>Sheet1!F755</f>
        <v>184.7</v>
      </c>
      <c r="H755" s="6">
        <f ca="1">IF(ROW($H755)-1&lt;$I$1,$F755,AVERAGE($F755:OFFSET($F755,(($I$1-1)*-1),0)))</f>
        <v>180.69166666666669</v>
      </c>
      <c r="J755" s="6">
        <f ca="1">IF(ROW($J755)-1&lt;$K$1,$F755,AVERAGE($F755:OFFSET($F755,(($K$1-1)*-1),0)))</f>
        <v>184.74464285714288</v>
      </c>
      <c r="L755" s="7">
        <f t="shared" ca="1" si="66"/>
        <v>-1</v>
      </c>
      <c r="M755" s="7" t="str">
        <f t="shared" ca="1" si="67"/>
        <v/>
      </c>
      <c r="N755" s="6" t="str">
        <f t="shared" ca="1" si="68"/>
        <v/>
      </c>
      <c r="O755" s="6">
        <f t="shared" si="69"/>
        <v>5.8999999999999773</v>
      </c>
      <c r="Q755" s="6">
        <v>-5.3499999999999943</v>
      </c>
      <c r="R755" s="9">
        <f t="shared" si="70"/>
        <v>-2006.249999999998</v>
      </c>
      <c r="S755" s="7">
        <f t="shared" si="71"/>
        <v>-8306.2500000000018</v>
      </c>
    </row>
    <row r="756" spans="1:19" x14ac:dyDescent="0.25">
      <c r="A756" s="4">
        <f>Sheet1!A756</f>
        <v>40183</v>
      </c>
      <c r="B756" s="5">
        <f>Sheet1!B756</f>
        <v>0.58333333333333337</v>
      </c>
      <c r="C756" s="6">
        <f>Sheet1!C756</f>
        <v>184.7</v>
      </c>
      <c r="D756" s="6">
        <f>Sheet1!D756</f>
        <v>185.55</v>
      </c>
      <c r="E756" s="6">
        <f>Sheet1!E756</f>
        <v>183.25</v>
      </c>
      <c r="F756" s="6">
        <f>Sheet1!F756</f>
        <v>183.85</v>
      </c>
      <c r="H756" s="6">
        <f ca="1">IF(ROW($H756)-1&lt;$I$1,$F756,AVERAGE($F756:OFFSET($F756,(($I$1-1)*-1),0)))</f>
        <v>180.97499999999999</v>
      </c>
      <c r="J756" s="6">
        <f ca="1">IF(ROW($J756)-1&lt;$K$1,$F756,AVERAGE($F756:OFFSET($F756,(($K$1-1)*-1),0)))</f>
        <v>184.87321428571431</v>
      </c>
      <c r="L756" s="7">
        <f t="shared" ca="1" si="66"/>
        <v>-1</v>
      </c>
      <c r="M756" s="7" t="str">
        <f t="shared" ca="1" si="67"/>
        <v/>
      </c>
      <c r="N756" s="6" t="str">
        <f t="shared" ca="1" si="68"/>
        <v/>
      </c>
      <c r="O756" s="6">
        <f t="shared" si="69"/>
        <v>-0.84999999999999432</v>
      </c>
      <c r="Q756" s="6">
        <v>-4.5</v>
      </c>
      <c r="R756" s="9">
        <f t="shared" si="70"/>
        <v>-1687.5</v>
      </c>
      <c r="S756" s="7">
        <f t="shared" si="71"/>
        <v>-8306.2500000000018</v>
      </c>
    </row>
    <row r="757" spans="1:19" x14ac:dyDescent="0.25">
      <c r="A757" s="4">
        <f>Sheet1!A757</f>
        <v>40184</v>
      </c>
      <c r="B757" s="5">
        <f>Sheet1!B757</f>
        <v>0.58333333333333337</v>
      </c>
      <c r="C757" s="6">
        <f>Sheet1!C757</f>
        <v>184.45</v>
      </c>
      <c r="D757" s="6">
        <f>Sheet1!D757</f>
        <v>185.5</v>
      </c>
      <c r="E757" s="6">
        <f>Sheet1!E757</f>
        <v>182.9</v>
      </c>
      <c r="F757" s="6">
        <f>Sheet1!F757</f>
        <v>184.45</v>
      </c>
      <c r="H757" s="6">
        <f ca="1">IF(ROW($H757)-1&lt;$I$1,$F757,AVERAGE($F757:OFFSET($F757,(($I$1-1)*-1),0)))</f>
        <v>181.75</v>
      </c>
      <c r="J757" s="6">
        <f ca="1">IF(ROW($J757)-1&lt;$K$1,$F757,AVERAGE($F757:OFFSET($F757,(($K$1-1)*-1),0)))</f>
        <v>185.06785714285715</v>
      </c>
      <c r="L757" s="7">
        <f t="shared" ca="1" si="66"/>
        <v>-1</v>
      </c>
      <c r="M757" s="7" t="str">
        <f t="shared" ca="1" si="67"/>
        <v/>
      </c>
      <c r="N757" s="6" t="str">
        <f t="shared" ca="1" si="68"/>
        <v/>
      </c>
      <c r="O757" s="6">
        <f t="shared" si="69"/>
        <v>0.59999999999999432</v>
      </c>
      <c r="Q757" s="6">
        <v>-5.0999999999999943</v>
      </c>
      <c r="R757" s="9">
        <f t="shared" si="70"/>
        <v>-1912.499999999998</v>
      </c>
      <c r="S757" s="7">
        <f t="shared" si="71"/>
        <v>-8306.2500000000018</v>
      </c>
    </row>
    <row r="758" spans="1:19" x14ac:dyDescent="0.25">
      <c r="A758" s="4">
        <f>Sheet1!A758</f>
        <v>40185</v>
      </c>
      <c r="B758" s="5">
        <f>Sheet1!B758</f>
        <v>0.58333333333333337</v>
      </c>
      <c r="C758" s="6">
        <f>Sheet1!C758</f>
        <v>184.4</v>
      </c>
      <c r="D758" s="6">
        <f>Sheet1!D758</f>
        <v>185.25</v>
      </c>
      <c r="E758" s="6">
        <f>Sheet1!E758</f>
        <v>182.7</v>
      </c>
      <c r="F758" s="6">
        <f>Sheet1!F758</f>
        <v>184.75</v>
      </c>
      <c r="H758" s="6">
        <f ca="1">IF(ROW($H758)-1&lt;$I$1,$F758,AVERAGE($F758:OFFSET($F758,(($I$1-1)*-1),0)))</f>
        <v>182.67499999999998</v>
      </c>
      <c r="J758" s="6">
        <f ca="1">IF(ROW($J758)-1&lt;$K$1,$F758,AVERAGE($F758:OFFSET($F758,(($K$1-1)*-1),0)))</f>
        <v>185.17500000000001</v>
      </c>
      <c r="L758" s="7">
        <f t="shared" ca="1" si="66"/>
        <v>-1</v>
      </c>
      <c r="M758" s="7" t="str">
        <f t="shared" ca="1" si="67"/>
        <v/>
      </c>
      <c r="N758" s="6" t="str">
        <f t="shared" ca="1" si="68"/>
        <v/>
      </c>
      <c r="O758" s="6">
        <f t="shared" si="69"/>
        <v>0.30000000000001137</v>
      </c>
      <c r="Q758" s="6">
        <v>-5.4000000000000057</v>
      </c>
      <c r="R758" s="9">
        <f t="shared" si="70"/>
        <v>-2025.000000000002</v>
      </c>
      <c r="S758" s="7">
        <f t="shared" si="71"/>
        <v>-8306.2500000000018</v>
      </c>
    </row>
    <row r="759" spans="1:19" x14ac:dyDescent="0.25">
      <c r="A759" s="4">
        <f>Sheet1!A759</f>
        <v>40186</v>
      </c>
      <c r="B759" s="5">
        <f>Sheet1!B759</f>
        <v>0.58333333333333337</v>
      </c>
      <c r="C759" s="6">
        <f>Sheet1!C759</f>
        <v>185.3</v>
      </c>
      <c r="D759" s="6">
        <f>Sheet1!D759</f>
        <v>188.85</v>
      </c>
      <c r="E759" s="6">
        <f>Sheet1!E759</f>
        <v>184.8</v>
      </c>
      <c r="F759" s="6">
        <f>Sheet1!F759</f>
        <v>188.2</v>
      </c>
      <c r="H759" s="6">
        <f ca="1">IF(ROW($H759)-1&lt;$I$1,$F759,AVERAGE($F759:OFFSET($F759,(($I$1-1)*-1),0)))</f>
        <v>184.125</v>
      </c>
      <c r="J759" s="6">
        <f ca="1">IF(ROW($J759)-1&lt;$K$1,$F759,AVERAGE($F759:OFFSET($F759,(($K$1-1)*-1),0)))</f>
        <v>185.43571428571428</v>
      </c>
      <c r="L759" s="7">
        <f t="shared" ca="1" si="66"/>
        <v>-1</v>
      </c>
      <c r="M759" s="7" t="str">
        <f t="shared" ca="1" si="67"/>
        <v/>
      </c>
      <c r="N759" s="6" t="str">
        <f t="shared" ca="1" si="68"/>
        <v/>
      </c>
      <c r="O759" s="6">
        <f t="shared" si="69"/>
        <v>3.4499999999999886</v>
      </c>
      <c r="Q759" s="6">
        <v>-8.8499999999999943</v>
      </c>
      <c r="R759" s="9">
        <f t="shared" si="70"/>
        <v>-3318.7499999999977</v>
      </c>
      <c r="S759" s="7">
        <f t="shared" si="71"/>
        <v>-8306.2500000000018</v>
      </c>
    </row>
    <row r="760" spans="1:19" x14ac:dyDescent="0.25">
      <c r="A760" s="4">
        <f>Sheet1!A760</f>
        <v>40189</v>
      </c>
      <c r="B760" s="5">
        <f>Sheet1!B760</f>
        <v>0.58333333333333337</v>
      </c>
      <c r="C760" s="6">
        <f>Sheet1!C760</f>
        <v>188.7</v>
      </c>
      <c r="D760" s="6">
        <f>Sheet1!D760</f>
        <v>189.8</v>
      </c>
      <c r="E760" s="6">
        <f>Sheet1!E760</f>
        <v>185.4</v>
      </c>
      <c r="F760" s="6">
        <f>Sheet1!F760</f>
        <v>186.55</v>
      </c>
      <c r="H760" s="6">
        <f ca="1">IF(ROW($H760)-1&lt;$I$1,$F760,AVERAGE($F760:OFFSET($F760,(($I$1-1)*-1),0)))</f>
        <v>185.41666666666666</v>
      </c>
      <c r="J760" s="6">
        <f ca="1">IF(ROW($J760)-1&lt;$K$1,$F760,AVERAGE($F760:OFFSET($F760,(($K$1-1)*-1),0)))</f>
        <v>185.49642857142859</v>
      </c>
      <c r="L760" s="7">
        <f t="shared" ca="1" si="66"/>
        <v>-1</v>
      </c>
      <c r="M760" s="7" t="str">
        <f t="shared" ca="1" si="67"/>
        <v/>
      </c>
      <c r="N760" s="6" t="str">
        <f t="shared" ca="1" si="68"/>
        <v/>
      </c>
      <c r="O760" s="6">
        <f t="shared" si="69"/>
        <v>-1.6499999999999773</v>
      </c>
      <c r="Q760" s="6">
        <v>-7.2000000000000171</v>
      </c>
      <c r="R760" s="9">
        <f t="shared" si="70"/>
        <v>-2700.0000000000064</v>
      </c>
      <c r="S760" s="7">
        <f t="shared" si="71"/>
        <v>-8306.2500000000018</v>
      </c>
    </row>
    <row r="761" spans="1:19" x14ac:dyDescent="0.25">
      <c r="A761" s="4">
        <f>Sheet1!A761</f>
        <v>40190</v>
      </c>
      <c r="B761" s="5">
        <f>Sheet1!B761</f>
        <v>0.58333333333333337</v>
      </c>
      <c r="C761" s="6">
        <f>Sheet1!C761</f>
        <v>186.85</v>
      </c>
      <c r="D761" s="6">
        <f>Sheet1!D761</f>
        <v>187.7</v>
      </c>
      <c r="E761" s="6">
        <f>Sheet1!E761</f>
        <v>185.35</v>
      </c>
      <c r="F761" s="6">
        <f>Sheet1!F761</f>
        <v>185.95</v>
      </c>
      <c r="H761" s="6">
        <f ca="1">IF(ROW($H761)-1&lt;$I$1,$F761,AVERAGE($F761:OFFSET($F761,(($I$1-1)*-1),0)))</f>
        <v>185.625</v>
      </c>
      <c r="J761" s="6">
        <f ca="1">IF(ROW($J761)-1&lt;$K$1,$F761,AVERAGE($F761:OFFSET($F761,(($K$1-1)*-1),0)))</f>
        <v>185.5107142857143</v>
      </c>
      <c r="L761" s="7">
        <f t="shared" ca="1" si="66"/>
        <v>1</v>
      </c>
      <c r="M761" s="7">
        <f t="shared" ca="1" si="67"/>
        <v>1</v>
      </c>
      <c r="N761" s="6" t="str">
        <f t="shared" ca="1" si="68"/>
        <v/>
      </c>
      <c r="O761" s="6">
        <f t="shared" si="69"/>
        <v>-0.60000000000002274</v>
      </c>
      <c r="Q761" s="6">
        <v>-6.5999999999999943</v>
      </c>
      <c r="R761" s="9">
        <f t="shared" si="70"/>
        <v>-2474.9999999999977</v>
      </c>
      <c r="S761" s="7">
        <f t="shared" si="71"/>
        <v>-8306.2500000000018</v>
      </c>
    </row>
    <row r="762" spans="1:19" x14ac:dyDescent="0.25">
      <c r="A762" s="4">
        <f>Sheet1!A762</f>
        <v>40191</v>
      </c>
      <c r="B762" s="5">
        <f>Sheet1!B762</f>
        <v>0.58333333333333337</v>
      </c>
      <c r="C762" s="6">
        <f>Sheet1!C762</f>
        <v>185.8</v>
      </c>
      <c r="D762" s="6">
        <f>Sheet1!D762</f>
        <v>188.9</v>
      </c>
      <c r="E762" s="6">
        <f>Sheet1!E762</f>
        <v>185.6</v>
      </c>
      <c r="F762" s="6">
        <f>Sheet1!F762</f>
        <v>188</v>
      </c>
      <c r="H762" s="6">
        <f ca="1">IF(ROW($H762)-1&lt;$I$1,$F762,AVERAGE($F762:OFFSET($F762,(($I$1-1)*-1),0)))</f>
        <v>186.31666666666669</v>
      </c>
      <c r="J762" s="6">
        <f ca="1">IF(ROW($J762)-1&lt;$K$1,$F762,AVERAGE($F762:OFFSET($F762,(($K$1-1)*-1),0)))</f>
        <v>185.5625</v>
      </c>
      <c r="L762" s="7">
        <f t="shared" ca="1" si="66"/>
        <v>1</v>
      </c>
      <c r="M762" s="7" t="str">
        <f t="shared" ca="1" si="67"/>
        <v/>
      </c>
      <c r="N762" s="6">
        <f t="shared" ca="1" si="68"/>
        <v>185.8</v>
      </c>
      <c r="O762" s="6">
        <f t="shared" si="69"/>
        <v>2.0500000000000114</v>
      </c>
      <c r="P762" s="6">
        <v>-6.4500000000000171</v>
      </c>
      <c r="Q762" s="6">
        <v>2.1999999999999886</v>
      </c>
      <c r="R762" s="9">
        <f t="shared" si="70"/>
        <v>824.99999999999568</v>
      </c>
      <c r="S762" s="7">
        <f t="shared" si="71"/>
        <v>-10725.000000000007</v>
      </c>
    </row>
    <row r="763" spans="1:19" x14ac:dyDescent="0.25">
      <c r="A763" s="4">
        <f>Sheet1!A763</f>
        <v>40192</v>
      </c>
      <c r="B763" s="5">
        <f>Sheet1!B763</f>
        <v>0.58333333333333337</v>
      </c>
      <c r="C763" s="6">
        <f>Sheet1!C763</f>
        <v>188</v>
      </c>
      <c r="D763" s="6">
        <f>Sheet1!D763</f>
        <v>188.55</v>
      </c>
      <c r="E763" s="6">
        <f>Sheet1!E763</f>
        <v>186.4</v>
      </c>
      <c r="F763" s="6">
        <f>Sheet1!F763</f>
        <v>187.2</v>
      </c>
      <c r="H763" s="6">
        <f ca="1">IF(ROW($H763)-1&lt;$I$1,$F763,AVERAGE($F763:OFFSET($F763,(($I$1-1)*-1),0)))</f>
        <v>186.77500000000001</v>
      </c>
      <c r="J763" s="6">
        <f ca="1">IF(ROW($J763)-1&lt;$K$1,$F763,AVERAGE($F763:OFFSET($F763,(($K$1-1)*-1),0)))</f>
        <v>185.55178571428567</v>
      </c>
      <c r="L763" s="7">
        <f t="shared" ca="1" si="66"/>
        <v>1</v>
      </c>
      <c r="M763" s="7" t="str">
        <f t="shared" ca="1" si="67"/>
        <v/>
      </c>
      <c r="N763" s="6" t="str">
        <f t="shared" ca="1" si="68"/>
        <v/>
      </c>
      <c r="O763" s="6">
        <f t="shared" si="69"/>
        <v>-0.80000000000001137</v>
      </c>
      <c r="Q763" s="6">
        <v>1.3999999999999773</v>
      </c>
      <c r="R763" s="9">
        <f t="shared" si="70"/>
        <v>524.99999999999147</v>
      </c>
      <c r="S763" s="7">
        <f t="shared" si="71"/>
        <v>-10725.000000000007</v>
      </c>
    </row>
    <row r="764" spans="1:19" x14ac:dyDescent="0.25">
      <c r="A764" s="4">
        <f>Sheet1!A764</f>
        <v>40193</v>
      </c>
      <c r="B764" s="5">
        <f>Sheet1!B764</f>
        <v>0.58333333333333337</v>
      </c>
      <c r="C764" s="6">
        <f>Sheet1!C764</f>
        <v>186.7</v>
      </c>
      <c r="D764" s="6">
        <f>Sheet1!D764</f>
        <v>187.4</v>
      </c>
      <c r="E764" s="6">
        <f>Sheet1!E764</f>
        <v>183.25</v>
      </c>
      <c r="F764" s="6">
        <f>Sheet1!F764</f>
        <v>183.6</v>
      </c>
      <c r="H764" s="6">
        <f ca="1">IF(ROW($H764)-1&lt;$I$1,$F764,AVERAGE($F764:OFFSET($F764,(($I$1-1)*-1),0)))</f>
        <v>186.58333333333334</v>
      </c>
      <c r="J764" s="6">
        <f ca="1">IF(ROW($J764)-1&lt;$K$1,$F764,AVERAGE($F764:OFFSET($F764,(($K$1-1)*-1),0)))</f>
        <v>185.53035714285716</v>
      </c>
      <c r="L764" s="7">
        <f t="shared" ca="1" si="66"/>
        <v>1</v>
      </c>
      <c r="M764" s="7" t="str">
        <f t="shared" ca="1" si="67"/>
        <v/>
      </c>
      <c r="N764" s="6" t="str">
        <f t="shared" ca="1" si="68"/>
        <v/>
      </c>
      <c r="O764" s="6">
        <f t="shared" si="69"/>
        <v>-3.5999999999999943</v>
      </c>
      <c r="Q764" s="6">
        <v>-2.2000000000000171</v>
      </c>
      <c r="R764" s="9">
        <f t="shared" si="70"/>
        <v>-825.00000000000637</v>
      </c>
      <c r="S764" s="7">
        <f t="shared" si="71"/>
        <v>-10725.000000000007</v>
      </c>
    </row>
    <row r="765" spans="1:19" x14ac:dyDescent="0.25">
      <c r="A765" s="4">
        <f>Sheet1!A765</f>
        <v>40197</v>
      </c>
      <c r="B765" s="5">
        <f>Sheet1!B765</f>
        <v>0.58333333333333337</v>
      </c>
      <c r="C765" s="6">
        <f>Sheet1!C765</f>
        <v>183.85</v>
      </c>
      <c r="D765" s="6">
        <f>Sheet1!D765</f>
        <v>185.1</v>
      </c>
      <c r="E765" s="6">
        <f>Sheet1!E765</f>
        <v>183</v>
      </c>
      <c r="F765" s="6">
        <f>Sheet1!F765</f>
        <v>183.75</v>
      </c>
      <c r="H765" s="6">
        <f ca="1">IF(ROW($H765)-1&lt;$I$1,$F765,AVERAGE($F765:OFFSET($F765,(($I$1-1)*-1),0)))</f>
        <v>185.8416666666667</v>
      </c>
      <c r="J765" s="6">
        <f ca="1">IF(ROW($J765)-1&lt;$K$1,$F765,AVERAGE($F765:OFFSET($F765,(($K$1-1)*-1),0)))</f>
        <v>185.32678571428571</v>
      </c>
      <c r="L765" s="7">
        <f t="shared" ca="1" si="66"/>
        <v>1</v>
      </c>
      <c r="M765" s="7" t="str">
        <f t="shared" ca="1" si="67"/>
        <v/>
      </c>
      <c r="N765" s="6" t="str">
        <f t="shared" ca="1" si="68"/>
        <v/>
      </c>
      <c r="O765" s="6">
        <f t="shared" si="69"/>
        <v>0.15000000000000568</v>
      </c>
      <c r="Q765" s="6">
        <v>-2.0500000000000114</v>
      </c>
      <c r="R765" s="9">
        <f t="shared" si="70"/>
        <v>-768.75000000000432</v>
      </c>
      <c r="S765" s="7">
        <f t="shared" si="71"/>
        <v>-10725.000000000007</v>
      </c>
    </row>
    <row r="766" spans="1:19" x14ac:dyDescent="0.25">
      <c r="A766" s="4">
        <f>Sheet1!A766</f>
        <v>40198</v>
      </c>
      <c r="B766" s="5">
        <f>Sheet1!B766</f>
        <v>0.58333333333333337</v>
      </c>
      <c r="C766" s="6">
        <f>Sheet1!C766</f>
        <v>183.35</v>
      </c>
      <c r="D766" s="6">
        <f>Sheet1!D766</f>
        <v>183.35</v>
      </c>
      <c r="E766" s="6">
        <f>Sheet1!E766</f>
        <v>181.3</v>
      </c>
      <c r="F766" s="6">
        <f>Sheet1!F766</f>
        <v>182.05</v>
      </c>
      <c r="H766" s="6">
        <f ca="1">IF(ROW($H766)-1&lt;$I$1,$F766,AVERAGE($F766:OFFSET($F766,(($I$1-1)*-1),0)))</f>
        <v>185.09166666666667</v>
      </c>
      <c r="J766" s="6">
        <f ca="1">IF(ROW($J766)-1&lt;$K$1,$F766,AVERAGE($F766:OFFSET($F766,(($K$1-1)*-1),0)))</f>
        <v>185.15892857142856</v>
      </c>
      <c r="L766" s="7">
        <f t="shared" ca="1" si="66"/>
        <v>-1</v>
      </c>
      <c r="M766" s="7">
        <f t="shared" ca="1" si="67"/>
        <v>-1</v>
      </c>
      <c r="N766" s="6" t="str">
        <f t="shared" ca="1" si="68"/>
        <v/>
      </c>
      <c r="O766" s="6">
        <f t="shared" si="69"/>
        <v>-1.6999999999999886</v>
      </c>
      <c r="Q766" s="6">
        <v>-3.75</v>
      </c>
      <c r="R766" s="9">
        <f t="shared" si="70"/>
        <v>-1406.25</v>
      </c>
      <c r="S766" s="7">
        <f t="shared" si="71"/>
        <v>-10725.000000000007</v>
      </c>
    </row>
    <row r="767" spans="1:19" x14ac:dyDescent="0.25">
      <c r="A767" s="4">
        <f>Sheet1!A767</f>
        <v>40199</v>
      </c>
      <c r="B767" s="5">
        <f>Sheet1!B767</f>
        <v>0.58333333333333337</v>
      </c>
      <c r="C767" s="6">
        <f>Sheet1!C767</f>
        <v>182.3</v>
      </c>
      <c r="D767" s="6">
        <f>Sheet1!D767</f>
        <v>183</v>
      </c>
      <c r="E767" s="6">
        <f>Sheet1!E767</f>
        <v>180.4</v>
      </c>
      <c r="F767" s="6">
        <f>Sheet1!F767</f>
        <v>181.55</v>
      </c>
      <c r="H767" s="6">
        <f ca="1">IF(ROW($H767)-1&lt;$I$1,$F767,AVERAGE($F767:OFFSET($F767,(($I$1-1)*-1),0)))</f>
        <v>184.35833333333332</v>
      </c>
      <c r="J767" s="6">
        <f ca="1">IF(ROW($J767)-1&lt;$K$1,$F767,AVERAGE($F767:OFFSET($F767,(($K$1-1)*-1),0)))</f>
        <v>185.05357142857142</v>
      </c>
      <c r="L767" s="7">
        <f t="shared" ca="1" si="66"/>
        <v>-1</v>
      </c>
      <c r="M767" s="7" t="str">
        <f t="shared" ca="1" si="67"/>
        <v/>
      </c>
      <c r="N767" s="6">
        <f t="shared" ca="1" si="68"/>
        <v>182.3</v>
      </c>
      <c r="O767" s="6">
        <f t="shared" si="69"/>
        <v>-0.5</v>
      </c>
      <c r="P767" s="6">
        <v>-3.5</v>
      </c>
      <c r="Q767" s="6">
        <v>0.75</v>
      </c>
      <c r="R767" s="9">
        <f t="shared" si="70"/>
        <v>281.25</v>
      </c>
      <c r="S767" s="7">
        <f t="shared" si="71"/>
        <v>-12037.500000000007</v>
      </c>
    </row>
    <row r="768" spans="1:19" x14ac:dyDescent="0.25">
      <c r="A768" s="4">
        <f>Sheet1!A768</f>
        <v>40200</v>
      </c>
      <c r="B768" s="5">
        <f>Sheet1!B768</f>
        <v>0.58333333333333337</v>
      </c>
      <c r="C768" s="6">
        <f>Sheet1!C768</f>
        <v>181.6</v>
      </c>
      <c r="D768" s="6">
        <f>Sheet1!D768</f>
        <v>184.1</v>
      </c>
      <c r="E768" s="6">
        <f>Sheet1!E768</f>
        <v>180.15</v>
      </c>
      <c r="F768" s="6">
        <f>Sheet1!F768</f>
        <v>182.45</v>
      </c>
      <c r="H768" s="6">
        <f ca="1">IF(ROW($H768)-1&lt;$I$1,$F768,AVERAGE($F768:OFFSET($F768,(($I$1-1)*-1),0)))</f>
        <v>183.43333333333331</v>
      </c>
      <c r="J768" s="6">
        <f ca="1">IF(ROW($J768)-1&lt;$K$1,$F768,AVERAGE($F768:OFFSET($F768,(($K$1-1)*-1),0)))</f>
        <v>184.94285714285712</v>
      </c>
      <c r="L768" s="7">
        <f t="shared" ca="1" si="66"/>
        <v>-1</v>
      </c>
      <c r="M768" s="7" t="str">
        <f t="shared" ca="1" si="67"/>
        <v/>
      </c>
      <c r="N768" s="6" t="str">
        <f t="shared" ca="1" si="68"/>
        <v/>
      </c>
      <c r="O768" s="6">
        <f t="shared" si="69"/>
        <v>0.89999999999997726</v>
      </c>
      <c r="Q768" s="6">
        <v>-0.14999999999997726</v>
      </c>
      <c r="R768" s="9">
        <f t="shared" si="70"/>
        <v>-56.249999999991473</v>
      </c>
      <c r="S768" s="7">
        <f t="shared" si="71"/>
        <v>-12037.500000000007</v>
      </c>
    </row>
    <row r="769" spans="1:19" x14ac:dyDescent="0.25">
      <c r="A769" s="4">
        <f>Sheet1!A769</f>
        <v>40203</v>
      </c>
      <c r="B769" s="5">
        <f>Sheet1!B769</f>
        <v>0.58333333333333337</v>
      </c>
      <c r="C769" s="6">
        <f>Sheet1!C769</f>
        <v>182.65</v>
      </c>
      <c r="D769" s="6">
        <f>Sheet1!D769</f>
        <v>183.25</v>
      </c>
      <c r="E769" s="6">
        <f>Sheet1!E769</f>
        <v>181.4</v>
      </c>
      <c r="F769" s="6">
        <f>Sheet1!F769</f>
        <v>182.25</v>
      </c>
      <c r="H769" s="6">
        <f ca="1">IF(ROW($H769)-1&lt;$I$1,$F769,AVERAGE($F769:OFFSET($F769,(($I$1-1)*-1),0)))</f>
        <v>182.60833333333335</v>
      </c>
      <c r="J769" s="6">
        <f ca="1">IF(ROW($J769)-1&lt;$K$1,$F769,AVERAGE($F769:OFFSET($F769,(($K$1-1)*-1),0)))</f>
        <v>184.82678571428571</v>
      </c>
      <c r="L769" s="7">
        <f t="shared" ca="1" si="66"/>
        <v>-1</v>
      </c>
      <c r="M769" s="7" t="str">
        <f t="shared" ca="1" si="67"/>
        <v/>
      </c>
      <c r="N769" s="6" t="str">
        <f t="shared" ca="1" si="68"/>
        <v/>
      </c>
      <c r="O769" s="6">
        <f t="shared" si="69"/>
        <v>-0.19999999999998863</v>
      </c>
      <c r="Q769" s="6">
        <v>5.0000000000011369E-2</v>
      </c>
      <c r="R769" s="9">
        <f t="shared" si="70"/>
        <v>18.750000000004263</v>
      </c>
      <c r="S769" s="7">
        <f t="shared" si="71"/>
        <v>-12037.500000000007</v>
      </c>
    </row>
    <row r="770" spans="1:19" x14ac:dyDescent="0.25">
      <c r="A770" s="4">
        <f>Sheet1!A770</f>
        <v>40204</v>
      </c>
      <c r="B770" s="5">
        <f>Sheet1!B770</f>
        <v>0.58333333333333337</v>
      </c>
      <c r="C770" s="6">
        <f>Sheet1!C770</f>
        <v>181.9</v>
      </c>
      <c r="D770" s="6">
        <f>Sheet1!D770</f>
        <v>182.05</v>
      </c>
      <c r="E770" s="6">
        <f>Sheet1!E770</f>
        <v>179.85</v>
      </c>
      <c r="F770" s="6">
        <f>Sheet1!F770</f>
        <v>181.1</v>
      </c>
      <c r="H770" s="6">
        <f ca="1">IF(ROW($H770)-1&lt;$I$1,$F770,AVERAGE($F770:OFFSET($F770,(($I$1-1)*-1),0)))</f>
        <v>182.19166666666663</v>
      </c>
      <c r="J770" s="6">
        <f ca="1">IF(ROW($J770)-1&lt;$K$1,$F770,AVERAGE($F770:OFFSET($F770,(($K$1-1)*-1),0)))</f>
        <v>184.55357142857139</v>
      </c>
      <c r="L770" s="7">
        <f t="shared" ca="1" si="66"/>
        <v>-1</v>
      </c>
      <c r="M770" s="7" t="str">
        <f t="shared" ca="1" si="67"/>
        <v/>
      </c>
      <c r="N770" s="6" t="str">
        <f t="shared" ca="1" si="68"/>
        <v/>
      </c>
      <c r="O770" s="6">
        <f t="shared" si="69"/>
        <v>-1.1500000000000057</v>
      </c>
      <c r="Q770" s="6">
        <v>1.2000000000000171</v>
      </c>
      <c r="R770" s="9">
        <f t="shared" si="70"/>
        <v>450.00000000000637</v>
      </c>
      <c r="S770" s="7">
        <f t="shared" si="71"/>
        <v>-12037.500000000007</v>
      </c>
    </row>
    <row r="771" spans="1:19" x14ac:dyDescent="0.25">
      <c r="A771" s="4">
        <f>Sheet1!A771</f>
        <v>40205</v>
      </c>
      <c r="B771" s="5">
        <f>Sheet1!B771</f>
        <v>0.58333333333333337</v>
      </c>
      <c r="C771" s="6">
        <f>Sheet1!C771</f>
        <v>180.85</v>
      </c>
      <c r="D771" s="6">
        <f>Sheet1!D771</f>
        <v>181.85</v>
      </c>
      <c r="E771" s="6">
        <f>Sheet1!E771</f>
        <v>176.2</v>
      </c>
      <c r="F771" s="6">
        <f>Sheet1!F771</f>
        <v>176.4</v>
      </c>
      <c r="H771" s="6">
        <f ca="1">IF(ROW($H771)-1&lt;$I$1,$F771,AVERAGE($F771:OFFSET($F771,(($I$1-1)*-1),0)))</f>
        <v>180.96666666666667</v>
      </c>
      <c r="J771" s="6">
        <f ca="1">IF(ROW($J771)-1&lt;$K$1,$F771,AVERAGE($F771:OFFSET($F771,(($K$1-1)*-1),0)))</f>
        <v>184.06428571428569</v>
      </c>
      <c r="L771" s="7">
        <f t="shared" ref="L771:L834" ca="1" si="72">IF(ROW($L771)&gt;($K$1),IF($H771&gt;$J771,1,IF($H771&lt;$J771,-1,$L770*-1)),0)</f>
        <v>-1</v>
      </c>
      <c r="M771" s="7" t="str">
        <f t="shared" ca="1" si="67"/>
        <v/>
      </c>
      <c r="N771" s="6" t="str">
        <f t="shared" ca="1" si="68"/>
        <v/>
      </c>
      <c r="O771" s="6">
        <f t="shared" si="69"/>
        <v>-4.6999999999999886</v>
      </c>
      <c r="Q771" s="6">
        <v>5.9000000000000057</v>
      </c>
      <c r="R771" s="9">
        <f t="shared" si="70"/>
        <v>2212.5000000000023</v>
      </c>
      <c r="S771" s="7">
        <f t="shared" si="71"/>
        <v>-12037.500000000007</v>
      </c>
    </row>
    <row r="772" spans="1:19" x14ac:dyDescent="0.25">
      <c r="A772" s="4">
        <f>Sheet1!A772</f>
        <v>40206</v>
      </c>
      <c r="B772" s="5">
        <f>Sheet1!B772</f>
        <v>0.58333333333333337</v>
      </c>
      <c r="C772" s="6">
        <f>Sheet1!C772</f>
        <v>176.8</v>
      </c>
      <c r="D772" s="6">
        <f>Sheet1!D772</f>
        <v>177.75</v>
      </c>
      <c r="E772" s="6">
        <f>Sheet1!E772</f>
        <v>174.9</v>
      </c>
      <c r="F772" s="6">
        <f>Sheet1!F772</f>
        <v>175.8</v>
      </c>
      <c r="H772" s="6">
        <f ca="1">IF(ROW($H772)-1&lt;$I$1,$F772,AVERAGE($F772:OFFSET($F772,(($I$1-1)*-1),0)))</f>
        <v>179.92499999999998</v>
      </c>
      <c r="J772" s="6">
        <f ca="1">IF(ROW($J772)-1&lt;$K$1,$F772,AVERAGE($F772:OFFSET($F772,(($K$1-1)*-1),0)))</f>
        <v>183.51607142857142</v>
      </c>
      <c r="L772" s="7">
        <f t="shared" ca="1" si="72"/>
        <v>-1</v>
      </c>
      <c r="M772" s="7" t="str">
        <f t="shared" ref="M772:M835" ca="1" si="73">IF(L772&lt;&gt;L771,L772,"")</f>
        <v/>
      </c>
      <c r="N772" s="6" t="str">
        <f t="shared" ref="N772:N835" ca="1" si="74">IF(M771&lt;&gt;"",C772,"")</f>
        <v/>
      </c>
      <c r="O772" s="6">
        <f t="shared" ref="O772:O835" si="75">F772-F771</f>
        <v>-0.59999999999999432</v>
      </c>
      <c r="Q772" s="6">
        <v>6.5</v>
      </c>
      <c r="R772" s="9">
        <f t="shared" ref="R772:R835" si="76">IF(Q772="","",Q772*375)</f>
        <v>2437.5</v>
      </c>
      <c r="S772" s="7">
        <f t="shared" si="71"/>
        <v>-12037.500000000007</v>
      </c>
    </row>
    <row r="773" spans="1:19" x14ac:dyDescent="0.25">
      <c r="A773" s="4">
        <f>Sheet1!A773</f>
        <v>40207</v>
      </c>
      <c r="B773" s="5">
        <f>Sheet1!B773</f>
        <v>0.58333333333333337</v>
      </c>
      <c r="C773" s="6">
        <f>Sheet1!C773</f>
        <v>175.45</v>
      </c>
      <c r="D773" s="6">
        <f>Sheet1!D773</f>
        <v>176.75</v>
      </c>
      <c r="E773" s="6">
        <f>Sheet1!E773</f>
        <v>174.45</v>
      </c>
      <c r="F773" s="6">
        <f>Sheet1!F773</f>
        <v>174.55</v>
      </c>
      <c r="H773" s="6">
        <f ca="1">IF(ROW($H773)-1&lt;$I$1,$F773,AVERAGE($F773:OFFSET($F773,(($I$1-1)*-1),0)))</f>
        <v>178.75833333333333</v>
      </c>
      <c r="J773" s="6">
        <f ca="1">IF(ROW($J773)-1&lt;$K$1,$F773,AVERAGE($F773:OFFSET($F773,(($K$1-1)*-1),0)))</f>
        <v>182.99821428571428</v>
      </c>
      <c r="L773" s="7">
        <f t="shared" ca="1" si="72"/>
        <v>-1</v>
      </c>
      <c r="M773" s="7" t="str">
        <f t="shared" ca="1" si="73"/>
        <v/>
      </c>
      <c r="N773" s="6" t="str">
        <f t="shared" ca="1" si="74"/>
        <v/>
      </c>
      <c r="O773" s="6">
        <f t="shared" si="75"/>
        <v>-1.25</v>
      </c>
      <c r="Q773" s="6">
        <v>7.75</v>
      </c>
      <c r="R773" s="9">
        <f t="shared" si="76"/>
        <v>2906.25</v>
      </c>
      <c r="S773" s="7">
        <f t="shared" si="71"/>
        <v>-12037.500000000007</v>
      </c>
    </row>
    <row r="774" spans="1:19" x14ac:dyDescent="0.25">
      <c r="A774" s="4">
        <f>Sheet1!A774</f>
        <v>40210</v>
      </c>
      <c r="B774" s="5">
        <f>Sheet1!B774</f>
        <v>0.58333333333333337</v>
      </c>
      <c r="C774" s="6">
        <f>Sheet1!C774</f>
        <v>174.85</v>
      </c>
      <c r="D774" s="6">
        <f>Sheet1!D774</f>
        <v>176.05</v>
      </c>
      <c r="E774" s="6">
        <f>Sheet1!E774</f>
        <v>174.05</v>
      </c>
      <c r="F774" s="6">
        <f>Sheet1!F774</f>
        <v>175.4</v>
      </c>
      <c r="H774" s="6">
        <f ca="1">IF(ROW($H774)-1&lt;$I$1,$F774,AVERAGE($F774:OFFSET($F774,(($I$1-1)*-1),0)))</f>
        <v>177.58333333333334</v>
      </c>
      <c r="J774" s="6">
        <f ca="1">IF(ROW($J774)-1&lt;$K$1,$F774,AVERAGE($F774:OFFSET($F774,(($K$1-1)*-1),0)))</f>
        <v>182.54464285714286</v>
      </c>
      <c r="L774" s="7">
        <f t="shared" ca="1" si="72"/>
        <v>-1</v>
      </c>
      <c r="M774" s="7" t="str">
        <f t="shared" ca="1" si="73"/>
        <v/>
      </c>
      <c r="N774" s="6" t="str">
        <f t="shared" ca="1" si="74"/>
        <v/>
      </c>
      <c r="O774" s="6">
        <f t="shared" si="75"/>
        <v>0.84999999999999432</v>
      </c>
      <c r="Q774" s="6">
        <v>6.9000000000000057</v>
      </c>
      <c r="R774" s="9">
        <f t="shared" si="76"/>
        <v>2587.5000000000023</v>
      </c>
      <c r="S774" s="7">
        <f t="shared" si="71"/>
        <v>-12037.500000000007</v>
      </c>
    </row>
    <row r="775" spans="1:19" x14ac:dyDescent="0.25">
      <c r="A775" s="4">
        <f>Sheet1!A775</f>
        <v>40211</v>
      </c>
      <c r="B775" s="5">
        <f>Sheet1!B775</f>
        <v>0.58333333333333337</v>
      </c>
      <c r="C775" s="6">
        <f>Sheet1!C775</f>
        <v>175.7</v>
      </c>
      <c r="D775" s="6">
        <f>Sheet1!D775</f>
        <v>178.5</v>
      </c>
      <c r="E775" s="6">
        <f>Sheet1!E775</f>
        <v>175.05</v>
      </c>
      <c r="F775" s="6">
        <f>Sheet1!F775</f>
        <v>177.9</v>
      </c>
      <c r="H775" s="6">
        <f ca="1">IF(ROW($H775)-1&lt;$I$1,$F775,AVERAGE($F775:OFFSET($F775,(($I$1-1)*-1),0)))</f>
        <v>176.85833333333332</v>
      </c>
      <c r="J775" s="6">
        <f ca="1">IF(ROW($J775)-1&lt;$K$1,$F775,AVERAGE($F775:OFFSET($F775,(($K$1-1)*-1),0)))</f>
        <v>182.16785714285712</v>
      </c>
      <c r="L775" s="7">
        <f t="shared" ca="1" si="72"/>
        <v>-1</v>
      </c>
      <c r="M775" s="7" t="str">
        <f t="shared" ca="1" si="73"/>
        <v/>
      </c>
      <c r="N775" s="6" t="str">
        <f t="shared" ca="1" si="74"/>
        <v/>
      </c>
      <c r="O775" s="6">
        <f t="shared" si="75"/>
        <v>2.5</v>
      </c>
      <c r="Q775" s="6">
        <v>4.4000000000000057</v>
      </c>
      <c r="R775" s="9">
        <f t="shared" si="76"/>
        <v>1650.000000000002</v>
      </c>
      <c r="S775" s="7">
        <f t="shared" si="71"/>
        <v>-12037.500000000007</v>
      </c>
    </row>
    <row r="776" spans="1:19" x14ac:dyDescent="0.25">
      <c r="A776" s="4">
        <f>Sheet1!A776</f>
        <v>40212</v>
      </c>
      <c r="B776" s="5">
        <f>Sheet1!B776</f>
        <v>0.58333333333333337</v>
      </c>
      <c r="C776" s="6">
        <f>Sheet1!C776</f>
        <v>178.3</v>
      </c>
      <c r="D776" s="6">
        <f>Sheet1!D776</f>
        <v>178.8</v>
      </c>
      <c r="E776" s="6">
        <f>Sheet1!E776</f>
        <v>175.25</v>
      </c>
      <c r="F776" s="6">
        <f>Sheet1!F776</f>
        <v>175.85</v>
      </c>
      <c r="H776" s="6">
        <f ca="1">IF(ROW($H776)-1&lt;$I$1,$F776,AVERAGE($F776:OFFSET($F776,(($I$1-1)*-1),0)))</f>
        <v>175.98333333333332</v>
      </c>
      <c r="J776" s="6">
        <f ca="1">IF(ROW($J776)-1&lt;$K$1,$F776,AVERAGE($F776:OFFSET($F776,(($K$1-1)*-1),0)))</f>
        <v>181.83035714285714</v>
      </c>
      <c r="L776" s="7">
        <f t="shared" ca="1" si="72"/>
        <v>-1</v>
      </c>
      <c r="M776" s="7" t="str">
        <f t="shared" ca="1" si="73"/>
        <v/>
      </c>
      <c r="N776" s="6" t="str">
        <f t="shared" ca="1" si="74"/>
        <v/>
      </c>
      <c r="O776" s="6">
        <f t="shared" si="75"/>
        <v>-2.0500000000000114</v>
      </c>
      <c r="Q776" s="6">
        <v>6.4500000000000171</v>
      </c>
      <c r="R776" s="9">
        <f t="shared" si="76"/>
        <v>2418.7500000000064</v>
      </c>
      <c r="S776" s="7">
        <f t="shared" si="71"/>
        <v>-12037.500000000007</v>
      </c>
    </row>
    <row r="777" spans="1:19" x14ac:dyDescent="0.25">
      <c r="A777" s="4">
        <f>Sheet1!A777</f>
        <v>40213</v>
      </c>
      <c r="B777" s="5">
        <f>Sheet1!B777</f>
        <v>0.58333333333333337</v>
      </c>
      <c r="C777" s="6">
        <f>Sheet1!C777</f>
        <v>175.6</v>
      </c>
      <c r="D777" s="6">
        <f>Sheet1!D777</f>
        <v>176</v>
      </c>
      <c r="E777" s="6">
        <f>Sheet1!E777</f>
        <v>172.9</v>
      </c>
      <c r="F777" s="6">
        <f>Sheet1!F777</f>
        <v>174.4</v>
      </c>
      <c r="H777" s="6">
        <f ca="1">IF(ROW($H777)-1&lt;$I$1,$F777,AVERAGE($F777:OFFSET($F777,(($I$1-1)*-1),0)))</f>
        <v>175.65</v>
      </c>
      <c r="J777" s="6">
        <f ca="1">IF(ROW($J777)-1&lt;$K$1,$F777,AVERAGE($F777:OFFSET($F777,(($K$1-1)*-1),0)))</f>
        <v>181.43392857142857</v>
      </c>
      <c r="L777" s="7">
        <f t="shared" ca="1" si="72"/>
        <v>-1</v>
      </c>
      <c r="M777" s="7" t="str">
        <f t="shared" ca="1" si="73"/>
        <v/>
      </c>
      <c r="N777" s="6" t="str">
        <f t="shared" ca="1" si="74"/>
        <v/>
      </c>
      <c r="O777" s="6">
        <f t="shared" si="75"/>
        <v>-1.4499999999999886</v>
      </c>
      <c r="Q777" s="6">
        <v>7.9000000000000057</v>
      </c>
      <c r="R777" s="9">
        <f t="shared" si="76"/>
        <v>2962.5000000000023</v>
      </c>
      <c r="S777" s="7">
        <f t="shared" si="71"/>
        <v>-12037.500000000007</v>
      </c>
    </row>
    <row r="778" spans="1:19" x14ac:dyDescent="0.25">
      <c r="A778" s="4">
        <f>Sheet1!A778</f>
        <v>40214</v>
      </c>
      <c r="B778" s="5">
        <f>Sheet1!B778</f>
        <v>0.58333333333333337</v>
      </c>
      <c r="C778" s="6">
        <f>Sheet1!C778</f>
        <v>174.3</v>
      </c>
      <c r="D778" s="6">
        <f>Sheet1!D778</f>
        <v>174.7</v>
      </c>
      <c r="E778" s="6">
        <f>Sheet1!E778</f>
        <v>171.35</v>
      </c>
      <c r="F778" s="6">
        <f>Sheet1!F778</f>
        <v>171.65</v>
      </c>
      <c r="H778" s="6">
        <f ca="1">IF(ROW($H778)-1&lt;$I$1,$F778,AVERAGE($F778:OFFSET($F778,(($I$1-1)*-1),0)))</f>
        <v>174.95833333333334</v>
      </c>
      <c r="J778" s="6">
        <f ca="1">IF(ROW($J778)-1&lt;$K$1,$F778,AVERAGE($F778:OFFSET($F778,(($K$1-1)*-1),0)))</f>
        <v>181.05892857142854</v>
      </c>
      <c r="L778" s="7">
        <f t="shared" ca="1" si="72"/>
        <v>-1</v>
      </c>
      <c r="M778" s="7" t="str">
        <f t="shared" ca="1" si="73"/>
        <v/>
      </c>
      <c r="N778" s="6" t="str">
        <f t="shared" ca="1" si="74"/>
        <v/>
      </c>
      <c r="O778" s="6">
        <f t="shared" si="75"/>
        <v>-2.75</v>
      </c>
      <c r="Q778" s="6">
        <v>10.650000000000006</v>
      </c>
      <c r="R778" s="9">
        <f t="shared" si="76"/>
        <v>3993.7500000000023</v>
      </c>
      <c r="S778" s="7">
        <f t="shared" si="71"/>
        <v>-12037.500000000007</v>
      </c>
    </row>
    <row r="779" spans="1:19" x14ac:dyDescent="0.25">
      <c r="A779" s="4">
        <f>Sheet1!A779</f>
        <v>40217</v>
      </c>
      <c r="B779" s="5">
        <f>Sheet1!B779</f>
        <v>0.58333333333333337</v>
      </c>
      <c r="C779" s="6">
        <f>Sheet1!C779</f>
        <v>172.2</v>
      </c>
      <c r="D779" s="6">
        <f>Sheet1!D779</f>
        <v>174.45</v>
      </c>
      <c r="E779" s="6">
        <f>Sheet1!E779</f>
        <v>171.35</v>
      </c>
      <c r="F779" s="6">
        <f>Sheet1!F779</f>
        <v>173.5</v>
      </c>
      <c r="H779" s="6">
        <f ca="1">IF(ROW($H779)-1&lt;$I$1,$F779,AVERAGE($F779:OFFSET($F779,(($I$1-1)*-1),0)))</f>
        <v>174.7833333333333</v>
      </c>
      <c r="J779" s="6">
        <f ca="1">IF(ROW($J779)-1&lt;$K$1,$F779,AVERAGE($F779:OFFSET($F779,(($K$1-1)*-1),0)))</f>
        <v>180.83392857142854</v>
      </c>
      <c r="L779" s="7">
        <f t="shared" ca="1" si="72"/>
        <v>-1</v>
      </c>
      <c r="M779" s="7" t="str">
        <f t="shared" ca="1" si="73"/>
        <v/>
      </c>
      <c r="N779" s="6" t="str">
        <f t="shared" ca="1" si="74"/>
        <v/>
      </c>
      <c r="O779" s="6">
        <f t="shared" si="75"/>
        <v>1.8499999999999943</v>
      </c>
      <c r="Q779" s="6">
        <v>8.8000000000000114</v>
      </c>
      <c r="R779" s="9">
        <f t="shared" si="76"/>
        <v>3300.0000000000041</v>
      </c>
      <c r="S779" s="7">
        <f t="shared" si="71"/>
        <v>-12037.500000000007</v>
      </c>
    </row>
    <row r="780" spans="1:19" x14ac:dyDescent="0.25">
      <c r="A780" s="4">
        <f>Sheet1!A780</f>
        <v>40218</v>
      </c>
      <c r="B780" s="5">
        <f>Sheet1!B780</f>
        <v>0.58333333333333337</v>
      </c>
      <c r="C780" s="6">
        <f>Sheet1!C780</f>
        <v>173.3</v>
      </c>
      <c r="D780" s="6">
        <f>Sheet1!D780</f>
        <v>175.05</v>
      </c>
      <c r="E780" s="6">
        <f>Sheet1!E780</f>
        <v>172.3</v>
      </c>
      <c r="F780" s="6">
        <f>Sheet1!F780</f>
        <v>173.25</v>
      </c>
      <c r="H780" s="6">
        <f ca="1">IF(ROW($H780)-1&lt;$I$1,$F780,AVERAGE($F780:OFFSET($F780,(($I$1-1)*-1),0)))</f>
        <v>174.42499999999998</v>
      </c>
      <c r="J780" s="6">
        <f ca="1">IF(ROW($J780)-1&lt;$K$1,$F780,AVERAGE($F780:OFFSET($F780,(($K$1-1)*-1),0)))</f>
        <v>180.62142857142859</v>
      </c>
      <c r="L780" s="7">
        <f t="shared" ca="1" si="72"/>
        <v>-1</v>
      </c>
      <c r="M780" s="7" t="str">
        <f t="shared" ca="1" si="73"/>
        <v/>
      </c>
      <c r="N780" s="6" t="str">
        <f t="shared" ca="1" si="74"/>
        <v/>
      </c>
      <c r="O780" s="6">
        <f t="shared" si="75"/>
        <v>-0.25</v>
      </c>
      <c r="Q780" s="6">
        <v>9.0500000000000114</v>
      </c>
      <c r="R780" s="9">
        <f t="shared" si="76"/>
        <v>3393.7500000000041</v>
      </c>
      <c r="S780" s="7">
        <f t="shared" si="71"/>
        <v>-12037.500000000007</v>
      </c>
    </row>
    <row r="781" spans="1:19" x14ac:dyDescent="0.25">
      <c r="A781" s="4">
        <f>Sheet1!A781</f>
        <v>40219</v>
      </c>
      <c r="B781" s="5">
        <f>Sheet1!B781</f>
        <v>0.58333333333333337</v>
      </c>
      <c r="C781" s="6">
        <f>Sheet1!C781</f>
        <v>172.95</v>
      </c>
      <c r="D781" s="6">
        <f>Sheet1!D781</f>
        <v>175.5</v>
      </c>
      <c r="E781" s="6">
        <f>Sheet1!E781</f>
        <v>172.25</v>
      </c>
      <c r="F781" s="6">
        <f>Sheet1!F781</f>
        <v>175.05</v>
      </c>
      <c r="H781" s="6">
        <f ca="1">IF(ROW($H781)-1&lt;$I$1,$F781,AVERAGE($F781:OFFSET($F781,(($I$1-1)*-1),0)))</f>
        <v>173.95000000000002</v>
      </c>
      <c r="J781" s="6">
        <f ca="1">IF(ROW($J781)-1&lt;$K$1,$F781,AVERAGE($F781:OFFSET($F781,(($K$1-1)*-1),0)))</f>
        <v>180.46250000000003</v>
      </c>
      <c r="L781" s="7">
        <f t="shared" ca="1" si="72"/>
        <v>-1</v>
      </c>
      <c r="M781" s="7" t="str">
        <f t="shared" ca="1" si="73"/>
        <v/>
      </c>
      <c r="N781" s="6" t="str">
        <f t="shared" ca="1" si="74"/>
        <v/>
      </c>
      <c r="O781" s="6">
        <f t="shared" si="75"/>
        <v>1.8000000000000114</v>
      </c>
      <c r="Q781" s="6">
        <v>7.25</v>
      </c>
      <c r="R781" s="9">
        <f t="shared" si="76"/>
        <v>2718.75</v>
      </c>
      <c r="S781" s="7">
        <f t="shared" si="71"/>
        <v>-12037.500000000007</v>
      </c>
    </row>
    <row r="782" spans="1:19" x14ac:dyDescent="0.25">
      <c r="A782" s="4">
        <f>Sheet1!A782</f>
        <v>40220</v>
      </c>
      <c r="B782" s="5">
        <f>Sheet1!B782</f>
        <v>0.58333333333333337</v>
      </c>
      <c r="C782" s="6">
        <f>Sheet1!C782</f>
        <v>175.05</v>
      </c>
      <c r="D782" s="6">
        <f>Sheet1!D782</f>
        <v>176.7</v>
      </c>
      <c r="E782" s="6">
        <f>Sheet1!E782</f>
        <v>174.35</v>
      </c>
      <c r="F782" s="6">
        <f>Sheet1!F782</f>
        <v>174.9</v>
      </c>
      <c r="H782" s="6">
        <f ca="1">IF(ROW($H782)-1&lt;$I$1,$F782,AVERAGE($F782:OFFSET($F782,(($I$1-1)*-1),0)))</f>
        <v>173.79166666666666</v>
      </c>
      <c r="J782" s="6">
        <f ca="1">IF(ROW($J782)-1&lt;$K$1,$F782,AVERAGE($F782:OFFSET($F782,(($K$1-1)*-1),0)))</f>
        <v>180.3232142857143</v>
      </c>
      <c r="L782" s="7">
        <f t="shared" ca="1" si="72"/>
        <v>-1</v>
      </c>
      <c r="M782" s="7" t="str">
        <f t="shared" ca="1" si="73"/>
        <v/>
      </c>
      <c r="N782" s="6" t="str">
        <f t="shared" ca="1" si="74"/>
        <v/>
      </c>
      <c r="O782" s="6">
        <f t="shared" si="75"/>
        <v>-0.15000000000000568</v>
      </c>
      <c r="Q782" s="6">
        <v>7.4000000000000057</v>
      </c>
      <c r="R782" s="9">
        <f t="shared" si="76"/>
        <v>2775.0000000000023</v>
      </c>
      <c r="S782" s="7">
        <f t="shared" si="71"/>
        <v>-12037.500000000007</v>
      </c>
    </row>
    <row r="783" spans="1:19" x14ac:dyDescent="0.25">
      <c r="A783" s="4">
        <f>Sheet1!A783</f>
        <v>40221</v>
      </c>
      <c r="B783" s="5">
        <f>Sheet1!B783</f>
        <v>0.58333333333333337</v>
      </c>
      <c r="C783" s="6">
        <f>Sheet1!C783</f>
        <v>174.75</v>
      </c>
      <c r="D783" s="6">
        <f>Sheet1!D783</f>
        <v>176</v>
      </c>
      <c r="E783" s="6">
        <f>Sheet1!E783</f>
        <v>172.7</v>
      </c>
      <c r="F783" s="6">
        <f>Sheet1!F783</f>
        <v>175.55</v>
      </c>
      <c r="H783" s="6">
        <f ca="1">IF(ROW($H783)-1&lt;$I$1,$F783,AVERAGE($F783:OFFSET($F783,(($I$1-1)*-1),0)))</f>
        <v>173.98333333333335</v>
      </c>
      <c r="J783" s="6">
        <f ca="1">IF(ROW($J783)-1&lt;$K$1,$F783,AVERAGE($F783:OFFSET($F783,(($K$1-1)*-1),0)))</f>
        <v>179.99642857142859</v>
      </c>
      <c r="L783" s="7">
        <f t="shared" ca="1" si="72"/>
        <v>-1</v>
      </c>
      <c r="M783" s="7" t="str">
        <f t="shared" ca="1" si="73"/>
        <v/>
      </c>
      <c r="N783" s="6" t="str">
        <f t="shared" ca="1" si="74"/>
        <v/>
      </c>
      <c r="O783" s="6">
        <f t="shared" si="75"/>
        <v>0.65000000000000568</v>
      </c>
      <c r="Q783" s="6">
        <v>6.75</v>
      </c>
      <c r="R783" s="9">
        <f t="shared" si="76"/>
        <v>2531.25</v>
      </c>
      <c r="S783" s="7">
        <f t="shared" si="71"/>
        <v>-12037.500000000007</v>
      </c>
    </row>
    <row r="784" spans="1:19" x14ac:dyDescent="0.25">
      <c r="A784" s="4">
        <f>Sheet1!A784</f>
        <v>40225</v>
      </c>
      <c r="B784" s="5">
        <f>Sheet1!B784</f>
        <v>0.58333333333333337</v>
      </c>
      <c r="C784" s="6">
        <f>Sheet1!C784</f>
        <v>175.95</v>
      </c>
      <c r="D784" s="6">
        <f>Sheet1!D784</f>
        <v>177.7</v>
      </c>
      <c r="E784" s="6">
        <f>Sheet1!E784</f>
        <v>174.85</v>
      </c>
      <c r="F784" s="6">
        <f>Sheet1!F784</f>
        <v>176.3</v>
      </c>
      <c r="H784" s="6">
        <f ca="1">IF(ROW($H784)-1&lt;$I$1,$F784,AVERAGE($F784:OFFSET($F784,(($I$1-1)*-1),0)))</f>
        <v>174.75833333333333</v>
      </c>
      <c r="J784" s="6">
        <f ca="1">IF(ROW($J784)-1&lt;$K$1,$F784,AVERAGE($F784:OFFSET($F784,(($K$1-1)*-1),0)))</f>
        <v>179.72678571428577</v>
      </c>
      <c r="L784" s="7">
        <f t="shared" ca="1" si="72"/>
        <v>-1</v>
      </c>
      <c r="M784" s="7" t="str">
        <f t="shared" ca="1" si="73"/>
        <v/>
      </c>
      <c r="N784" s="6" t="str">
        <f t="shared" ca="1" si="74"/>
        <v/>
      </c>
      <c r="O784" s="6">
        <f t="shared" si="75"/>
        <v>0.75</v>
      </c>
      <c r="Q784" s="6">
        <v>6</v>
      </c>
      <c r="R784" s="9">
        <f t="shared" si="76"/>
        <v>2250</v>
      </c>
      <c r="S784" s="7">
        <f t="shared" ref="S784:S847" si="77">S783+(P784*375)</f>
        <v>-12037.500000000007</v>
      </c>
    </row>
    <row r="785" spans="1:19" x14ac:dyDescent="0.25">
      <c r="A785" s="4">
        <f>Sheet1!A785</f>
        <v>40226</v>
      </c>
      <c r="B785" s="5">
        <f>Sheet1!B785</f>
        <v>0.58333333333333337</v>
      </c>
      <c r="C785" s="6">
        <f>Sheet1!C785</f>
        <v>176.5</v>
      </c>
      <c r="D785" s="6">
        <f>Sheet1!D785</f>
        <v>176.9</v>
      </c>
      <c r="E785" s="6">
        <f>Sheet1!E785</f>
        <v>174.85</v>
      </c>
      <c r="F785" s="6">
        <f>Sheet1!F785</f>
        <v>175.9</v>
      </c>
      <c r="H785" s="6">
        <f ca="1">IF(ROW($H785)-1&lt;$I$1,$F785,AVERAGE($F785:OFFSET($F785,(($I$1-1)*-1),0)))</f>
        <v>175.15833333333333</v>
      </c>
      <c r="J785" s="6">
        <f ca="1">IF(ROW($J785)-1&lt;$K$1,$F785,AVERAGE($F785:OFFSET($F785,(($K$1-1)*-1),0)))</f>
        <v>179.42142857142858</v>
      </c>
      <c r="L785" s="7">
        <f t="shared" ca="1" si="72"/>
        <v>-1</v>
      </c>
      <c r="M785" s="7" t="str">
        <f t="shared" ca="1" si="73"/>
        <v/>
      </c>
      <c r="N785" s="6" t="str">
        <f t="shared" ca="1" si="74"/>
        <v/>
      </c>
      <c r="O785" s="6">
        <f t="shared" si="75"/>
        <v>-0.40000000000000568</v>
      </c>
      <c r="Q785" s="6">
        <v>6.4000000000000057</v>
      </c>
      <c r="R785" s="9">
        <f t="shared" si="76"/>
        <v>2400.0000000000023</v>
      </c>
      <c r="S785" s="7">
        <f t="shared" si="77"/>
        <v>-12037.500000000007</v>
      </c>
    </row>
    <row r="786" spans="1:19" x14ac:dyDescent="0.25">
      <c r="A786" s="4">
        <f>Sheet1!A786</f>
        <v>40227</v>
      </c>
      <c r="B786" s="5">
        <f>Sheet1!B786</f>
        <v>0.58333333333333337</v>
      </c>
      <c r="C786" s="6">
        <f>Sheet1!C786</f>
        <v>175.5</v>
      </c>
      <c r="D786" s="6">
        <f>Sheet1!D786</f>
        <v>178.6</v>
      </c>
      <c r="E786" s="6">
        <f>Sheet1!E786</f>
        <v>175.3</v>
      </c>
      <c r="F786" s="6">
        <f>Sheet1!F786</f>
        <v>177.65</v>
      </c>
      <c r="H786" s="6">
        <f ca="1">IF(ROW($H786)-1&lt;$I$1,$F786,AVERAGE($F786:OFFSET($F786,(($I$1-1)*-1),0)))</f>
        <v>175.89166666666665</v>
      </c>
      <c r="J786" s="6">
        <f ca="1">IF(ROW($J786)-1&lt;$K$1,$F786,AVERAGE($F786:OFFSET($F786,(($K$1-1)*-1),0)))</f>
        <v>179.16785714285714</v>
      </c>
      <c r="L786" s="7">
        <f t="shared" ca="1" si="72"/>
        <v>-1</v>
      </c>
      <c r="M786" s="7" t="str">
        <f t="shared" ca="1" si="73"/>
        <v/>
      </c>
      <c r="N786" s="6" t="str">
        <f t="shared" ca="1" si="74"/>
        <v/>
      </c>
      <c r="O786" s="6">
        <f t="shared" si="75"/>
        <v>1.75</v>
      </c>
      <c r="Q786" s="6">
        <v>4.6500000000000057</v>
      </c>
      <c r="R786" s="9">
        <f t="shared" si="76"/>
        <v>1743.750000000002</v>
      </c>
      <c r="S786" s="7">
        <f t="shared" si="77"/>
        <v>-12037.500000000007</v>
      </c>
    </row>
    <row r="787" spans="1:19" x14ac:dyDescent="0.25">
      <c r="A787" s="4">
        <f>Sheet1!A787</f>
        <v>40228</v>
      </c>
      <c r="B787" s="5">
        <f>Sheet1!B787</f>
        <v>0.58333333333333337</v>
      </c>
      <c r="C787" s="6">
        <f>Sheet1!C787</f>
        <v>176.75</v>
      </c>
      <c r="D787" s="6">
        <f>Sheet1!D787</f>
        <v>178.4</v>
      </c>
      <c r="E787" s="6">
        <f>Sheet1!E787</f>
        <v>176</v>
      </c>
      <c r="F787" s="6">
        <f>Sheet1!F787</f>
        <v>178.3</v>
      </c>
      <c r="H787" s="6">
        <f ca="1">IF(ROW($H787)-1&lt;$I$1,$F787,AVERAGE($F787:OFFSET($F787,(($I$1-1)*-1),0)))</f>
        <v>176.43333333333331</v>
      </c>
      <c r="J787" s="6">
        <f ca="1">IF(ROW($J787)-1&lt;$K$1,$F787,AVERAGE($F787:OFFSET($F787,(($K$1-1)*-1),0)))</f>
        <v>178.81428571428572</v>
      </c>
      <c r="L787" s="7">
        <f t="shared" ca="1" si="72"/>
        <v>-1</v>
      </c>
      <c r="M787" s="7" t="str">
        <f t="shared" ca="1" si="73"/>
        <v/>
      </c>
      <c r="N787" s="6" t="str">
        <f t="shared" ca="1" si="74"/>
        <v/>
      </c>
      <c r="O787" s="6">
        <f t="shared" si="75"/>
        <v>0.65000000000000568</v>
      </c>
      <c r="Q787" s="6">
        <v>4</v>
      </c>
      <c r="R787" s="9">
        <f t="shared" si="76"/>
        <v>1500</v>
      </c>
      <c r="S787" s="7">
        <f t="shared" si="77"/>
        <v>-12037.500000000007</v>
      </c>
    </row>
    <row r="788" spans="1:19" x14ac:dyDescent="0.25">
      <c r="A788" s="4">
        <f>Sheet1!A788</f>
        <v>40231</v>
      </c>
      <c r="B788" s="5">
        <f>Sheet1!B788</f>
        <v>0.58333333333333337</v>
      </c>
      <c r="C788" s="6">
        <f>Sheet1!C788</f>
        <v>177.9</v>
      </c>
      <c r="D788" s="6">
        <f>Sheet1!D788</f>
        <v>178.25</v>
      </c>
      <c r="E788" s="6">
        <f>Sheet1!E788</f>
        <v>172.55</v>
      </c>
      <c r="F788" s="6">
        <f>Sheet1!F788</f>
        <v>173.15</v>
      </c>
      <c r="H788" s="6">
        <f ca="1">IF(ROW($H788)-1&lt;$I$1,$F788,AVERAGE($F788:OFFSET($F788,(($I$1-1)*-1),0)))</f>
        <v>176.14166666666668</v>
      </c>
      <c r="J788" s="6">
        <f ca="1">IF(ROW($J788)-1&lt;$K$1,$F788,AVERAGE($F788:OFFSET($F788,(($K$1-1)*-1),0)))</f>
        <v>178.33571428571426</v>
      </c>
      <c r="L788" s="7">
        <f t="shared" ca="1" si="72"/>
        <v>-1</v>
      </c>
      <c r="M788" s="7" t="str">
        <f t="shared" ca="1" si="73"/>
        <v/>
      </c>
      <c r="N788" s="6" t="str">
        <f t="shared" ca="1" si="74"/>
        <v/>
      </c>
      <c r="O788" s="6">
        <f t="shared" si="75"/>
        <v>-5.1500000000000057</v>
      </c>
      <c r="Q788" s="6">
        <v>9.1500000000000057</v>
      </c>
      <c r="R788" s="9">
        <f t="shared" si="76"/>
        <v>3431.2500000000023</v>
      </c>
      <c r="S788" s="7">
        <f t="shared" si="77"/>
        <v>-12037.500000000007</v>
      </c>
    </row>
    <row r="789" spans="1:19" x14ac:dyDescent="0.25">
      <c r="A789" s="4">
        <f>Sheet1!A789</f>
        <v>40232</v>
      </c>
      <c r="B789" s="5">
        <f>Sheet1!B789</f>
        <v>0.58333333333333337</v>
      </c>
      <c r="C789" s="6">
        <f>Sheet1!C789</f>
        <v>173.25</v>
      </c>
      <c r="D789" s="6">
        <f>Sheet1!D789</f>
        <v>174.05</v>
      </c>
      <c r="E789" s="6">
        <f>Sheet1!E789</f>
        <v>172.55</v>
      </c>
      <c r="F789" s="6">
        <f>Sheet1!F789</f>
        <v>173.5</v>
      </c>
      <c r="H789" s="6">
        <f ca="1">IF(ROW($H789)-1&lt;$I$1,$F789,AVERAGE($F789:OFFSET($F789,(($I$1-1)*-1),0)))</f>
        <v>175.80000000000004</v>
      </c>
      <c r="J789" s="6">
        <f ca="1">IF(ROW($J789)-1&lt;$K$1,$F789,AVERAGE($F789:OFFSET($F789,(($K$1-1)*-1),0)))</f>
        <v>177.89107142857142</v>
      </c>
      <c r="L789" s="7">
        <f t="shared" ca="1" si="72"/>
        <v>-1</v>
      </c>
      <c r="M789" s="7" t="str">
        <f t="shared" ca="1" si="73"/>
        <v/>
      </c>
      <c r="N789" s="6" t="str">
        <f t="shared" ca="1" si="74"/>
        <v/>
      </c>
      <c r="O789" s="6">
        <f t="shared" si="75"/>
        <v>0.34999999999999432</v>
      </c>
      <c r="Q789" s="6">
        <v>8.8000000000000114</v>
      </c>
      <c r="R789" s="9">
        <f t="shared" si="76"/>
        <v>3300.0000000000041</v>
      </c>
      <c r="S789" s="7">
        <f t="shared" si="77"/>
        <v>-12037.500000000007</v>
      </c>
    </row>
    <row r="790" spans="1:19" x14ac:dyDescent="0.25">
      <c r="A790" s="4">
        <f>Sheet1!A790</f>
        <v>40233</v>
      </c>
      <c r="B790" s="5">
        <f>Sheet1!B790</f>
        <v>0.58333333333333337</v>
      </c>
      <c r="C790" s="6">
        <f>Sheet1!C790</f>
        <v>173.6</v>
      </c>
      <c r="D790" s="6">
        <f>Sheet1!D790</f>
        <v>174.55</v>
      </c>
      <c r="E790" s="6">
        <f>Sheet1!E790</f>
        <v>173.05</v>
      </c>
      <c r="F790" s="6">
        <f>Sheet1!F790</f>
        <v>174.1</v>
      </c>
      <c r="H790" s="6">
        <f ca="1">IF(ROW($H790)-1&lt;$I$1,$F790,AVERAGE($F790:OFFSET($F790,(($I$1-1)*-1),0)))</f>
        <v>175.43333333333331</v>
      </c>
      <c r="J790" s="6">
        <f ca="1">IF(ROW($J790)-1&lt;$K$1,$F790,AVERAGE($F790:OFFSET($F790,(($K$1-1)*-1),0)))</f>
        <v>177.39464285714288</v>
      </c>
      <c r="L790" s="7">
        <f t="shared" ca="1" si="72"/>
        <v>-1</v>
      </c>
      <c r="M790" s="7" t="str">
        <f t="shared" ca="1" si="73"/>
        <v/>
      </c>
      <c r="N790" s="6" t="str">
        <f t="shared" ca="1" si="74"/>
        <v/>
      </c>
      <c r="O790" s="6">
        <f t="shared" si="75"/>
        <v>0.59999999999999432</v>
      </c>
      <c r="Q790" s="6">
        <v>8.2000000000000171</v>
      </c>
      <c r="R790" s="9">
        <f t="shared" si="76"/>
        <v>3075.0000000000064</v>
      </c>
      <c r="S790" s="7">
        <f t="shared" si="77"/>
        <v>-12037.500000000007</v>
      </c>
    </row>
    <row r="791" spans="1:19" x14ac:dyDescent="0.25">
      <c r="A791" s="4">
        <f>Sheet1!A791</f>
        <v>40234</v>
      </c>
      <c r="B791" s="5">
        <f>Sheet1!B791</f>
        <v>0.58333333333333337</v>
      </c>
      <c r="C791" s="6">
        <f>Sheet1!C791</f>
        <v>173.15</v>
      </c>
      <c r="D791" s="6">
        <f>Sheet1!D791</f>
        <v>173.55</v>
      </c>
      <c r="E791" s="6">
        <f>Sheet1!E791</f>
        <v>169.5</v>
      </c>
      <c r="F791" s="6">
        <f>Sheet1!F791</f>
        <v>171.05</v>
      </c>
      <c r="H791" s="6">
        <f ca="1">IF(ROW($H791)-1&lt;$I$1,$F791,AVERAGE($F791:OFFSET($F791,(($I$1-1)*-1),0)))</f>
        <v>174.625</v>
      </c>
      <c r="J791" s="6">
        <f ca="1">IF(ROW($J791)-1&lt;$K$1,$F791,AVERAGE($F791:OFFSET($F791,(($K$1-1)*-1),0)))</f>
        <v>176.81785714285721</v>
      </c>
      <c r="L791" s="7">
        <f t="shared" ca="1" si="72"/>
        <v>-1</v>
      </c>
      <c r="M791" s="7" t="str">
        <f t="shared" ca="1" si="73"/>
        <v/>
      </c>
      <c r="N791" s="6" t="str">
        <f t="shared" ca="1" si="74"/>
        <v/>
      </c>
      <c r="O791" s="6">
        <f t="shared" si="75"/>
        <v>-3.0499999999999829</v>
      </c>
      <c r="Q791" s="6">
        <v>11.25</v>
      </c>
      <c r="R791" s="9">
        <f t="shared" si="76"/>
        <v>4218.75</v>
      </c>
      <c r="S791" s="7">
        <f t="shared" si="77"/>
        <v>-12037.500000000007</v>
      </c>
    </row>
    <row r="792" spans="1:19" x14ac:dyDescent="0.25">
      <c r="A792" s="4">
        <f>Sheet1!A792</f>
        <v>40235</v>
      </c>
      <c r="B792" s="5">
        <f>Sheet1!B792</f>
        <v>0.58333333333333337</v>
      </c>
      <c r="C792" s="6">
        <f>Sheet1!C792</f>
        <v>171.5</v>
      </c>
      <c r="D792" s="6">
        <f>Sheet1!D792</f>
        <v>173.45</v>
      </c>
      <c r="E792" s="6">
        <f>Sheet1!E792</f>
        <v>171.2</v>
      </c>
      <c r="F792" s="6">
        <f>Sheet1!F792</f>
        <v>172.45</v>
      </c>
      <c r="H792" s="6">
        <f ca="1">IF(ROW($H792)-1&lt;$I$1,$F792,AVERAGE($F792:OFFSET($F792,(($I$1-1)*-1),0)))</f>
        <v>173.75833333333335</v>
      </c>
      <c r="J792" s="6">
        <f ca="1">IF(ROW($J792)-1&lt;$K$1,$F792,AVERAGE($F792:OFFSET($F792,(($K$1-1)*-1),0)))</f>
        <v>176.41964285714292</v>
      </c>
      <c r="L792" s="7">
        <f t="shared" ca="1" si="72"/>
        <v>-1</v>
      </c>
      <c r="M792" s="7" t="str">
        <f t="shared" ca="1" si="73"/>
        <v/>
      </c>
      <c r="N792" s="6" t="str">
        <f t="shared" ca="1" si="74"/>
        <v/>
      </c>
      <c r="O792" s="6">
        <f t="shared" si="75"/>
        <v>1.3999999999999773</v>
      </c>
      <c r="Q792" s="6">
        <v>9.8500000000000227</v>
      </c>
      <c r="R792" s="9">
        <f t="shared" si="76"/>
        <v>3693.7500000000086</v>
      </c>
      <c r="S792" s="7">
        <f t="shared" si="77"/>
        <v>-12037.500000000007</v>
      </c>
    </row>
    <row r="793" spans="1:19" x14ac:dyDescent="0.25">
      <c r="A793" s="4">
        <f>Sheet1!A793</f>
        <v>40238</v>
      </c>
      <c r="B793" s="5">
        <f>Sheet1!B793</f>
        <v>0.58333333333333337</v>
      </c>
      <c r="C793" s="6">
        <f>Sheet1!C793</f>
        <v>172.45</v>
      </c>
      <c r="D793" s="6">
        <f>Sheet1!D793</f>
        <v>174.3</v>
      </c>
      <c r="E793" s="6">
        <f>Sheet1!E793</f>
        <v>171.45</v>
      </c>
      <c r="F793" s="6">
        <f>Sheet1!F793</f>
        <v>173</v>
      </c>
      <c r="H793" s="6">
        <f ca="1">IF(ROW($H793)-1&lt;$I$1,$F793,AVERAGE($F793:OFFSET($F793,(($I$1-1)*-1),0)))</f>
        <v>172.875</v>
      </c>
      <c r="J793" s="6">
        <f ca="1">IF(ROW($J793)-1&lt;$K$1,$F793,AVERAGE($F793:OFFSET($F793,(($K$1-1)*-1),0)))</f>
        <v>176.03571428571436</v>
      </c>
      <c r="L793" s="7">
        <f t="shared" ca="1" si="72"/>
        <v>-1</v>
      </c>
      <c r="M793" s="7" t="str">
        <f t="shared" ca="1" si="73"/>
        <v/>
      </c>
      <c r="N793" s="6" t="str">
        <f t="shared" ca="1" si="74"/>
        <v/>
      </c>
      <c r="O793" s="6">
        <f t="shared" si="75"/>
        <v>0.55000000000001137</v>
      </c>
      <c r="Q793" s="6">
        <v>9.3000000000000114</v>
      </c>
      <c r="R793" s="9">
        <f t="shared" si="76"/>
        <v>3487.5000000000041</v>
      </c>
      <c r="S793" s="7">
        <f t="shared" si="77"/>
        <v>-12037.500000000007</v>
      </c>
    </row>
    <row r="794" spans="1:19" x14ac:dyDescent="0.25">
      <c r="A794" s="4">
        <f>Sheet1!A794</f>
        <v>40239</v>
      </c>
      <c r="B794" s="5">
        <f>Sheet1!B794</f>
        <v>0.58333333333333337</v>
      </c>
      <c r="C794" s="6">
        <f>Sheet1!C794</f>
        <v>172.5</v>
      </c>
      <c r="D794" s="6">
        <f>Sheet1!D794</f>
        <v>174.1</v>
      </c>
      <c r="E794" s="6">
        <f>Sheet1!E794</f>
        <v>172.05</v>
      </c>
      <c r="F794" s="6">
        <f>Sheet1!F794</f>
        <v>173.55</v>
      </c>
      <c r="H794" s="6">
        <f ca="1">IF(ROW($H794)-1&lt;$I$1,$F794,AVERAGE($F794:OFFSET($F794,(($I$1-1)*-1),0)))</f>
        <v>172.94166666666669</v>
      </c>
      <c r="J794" s="6">
        <f ca="1">IF(ROW($J794)-1&lt;$K$1,$F794,AVERAGE($F794:OFFSET($F794,(($K$1-1)*-1),0)))</f>
        <v>175.73214285714292</v>
      </c>
      <c r="L794" s="7">
        <f t="shared" ca="1" si="72"/>
        <v>-1</v>
      </c>
      <c r="M794" s="7" t="str">
        <f t="shared" ca="1" si="73"/>
        <v/>
      </c>
      <c r="N794" s="6" t="str">
        <f t="shared" ca="1" si="74"/>
        <v/>
      </c>
      <c r="O794" s="6">
        <f t="shared" si="75"/>
        <v>0.55000000000001137</v>
      </c>
      <c r="Q794" s="6">
        <v>8.75</v>
      </c>
      <c r="R794" s="9">
        <f t="shared" si="76"/>
        <v>3281.25</v>
      </c>
      <c r="S794" s="7">
        <f t="shared" si="77"/>
        <v>-12037.500000000007</v>
      </c>
    </row>
    <row r="795" spans="1:19" x14ac:dyDescent="0.25">
      <c r="A795" s="4">
        <f>Sheet1!A795</f>
        <v>40240</v>
      </c>
      <c r="B795" s="5">
        <f>Sheet1!B795</f>
        <v>0.58333333333333337</v>
      </c>
      <c r="C795" s="6">
        <f>Sheet1!C795</f>
        <v>172.95</v>
      </c>
      <c r="D795" s="6">
        <f>Sheet1!D795</f>
        <v>173.95</v>
      </c>
      <c r="E795" s="6">
        <f>Sheet1!E795</f>
        <v>171.5</v>
      </c>
      <c r="F795" s="6">
        <f>Sheet1!F795</f>
        <v>173.35</v>
      </c>
      <c r="H795" s="6">
        <f ca="1">IF(ROW($H795)-1&lt;$I$1,$F795,AVERAGE($F795:OFFSET($F795,(($I$1-1)*-1),0)))</f>
        <v>172.91666666666663</v>
      </c>
      <c r="J795" s="6">
        <f ca="1">IF(ROW($J795)-1&lt;$K$1,$F795,AVERAGE($F795:OFFSET($F795,(($K$1-1)*-1),0)))</f>
        <v>175.43928571428575</v>
      </c>
      <c r="L795" s="7">
        <f t="shared" ca="1" si="72"/>
        <v>-1</v>
      </c>
      <c r="M795" s="7" t="str">
        <f t="shared" ca="1" si="73"/>
        <v/>
      </c>
      <c r="N795" s="6" t="str">
        <f t="shared" ca="1" si="74"/>
        <v/>
      </c>
      <c r="O795" s="6">
        <f t="shared" si="75"/>
        <v>-0.20000000000001705</v>
      </c>
      <c r="Q795" s="6">
        <v>8.9500000000000171</v>
      </c>
      <c r="R795" s="9">
        <f t="shared" si="76"/>
        <v>3356.2500000000064</v>
      </c>
      <c r="S795" s="7">
        <f t="shared" si="77"/>
        <v>-12037.500000000007</v>
      </c>
    </row>
    <row r="796" spans="1:19" x14ac:dyDescent="0.25">
      <c r="A796" s="4">
        <f>Sheet1!A796</f>
        <v>40241</v>
      </c>
      <c r="B796" s="5">
        <f>Sheet1!B796</f>
        <v>0.58333333333333337</v>
      </c>
      <c r="C796" s="6">
        <f>Sheet1!C796</f>
        <v>173.05</v>
      </c>
      <c r="D796" s="6">
        <f>Sheet1!D796</f>
        <v>173.4</v>
      </c>
      <c r="E796" s="6">
        <f>Sheet1!E796</f>
        <v>169.95</v>
      </c>
      <c r="F796" s="6">
        <f>Sheet1!F796</f>
        <v>171.45</v>
      </c>
      <c r="H796" s="6">
        <f ca="1">IF(ROW($H796)-1&lt;$I$1,$F796,AVERAGE($F796:OFFSET($F796,(($I$1-1)*-1),0)))</f>
        <v>172.47499999999999</v>
      </c>
      <c r="J796" s="6">
        <f ca="1">IF(ROW($J796)-1&lt;$K$1,$F796,AVERAGE($F796:OFFSET($F796,(($K$1-1)*-1),0)))</f>
        <v>175.04642857142863</v>
      </c>
      <c r="L796" s="7">
        <f t="shared" ca="1" si="72"/>
        <v>-1</v>
      </c>
      <c r="M796" s="7" t="str">
        <f t="shared" ca="1" si="73"/>
        <v/>
      </c>
      <c r="N796" s="6" t="str">
        <f t="shared" ca="1" si="74"/>
        <v/>
      </c>
      <c r="O796" s="6">
        <f t="shared" si="75"/>
        <v>-1.9000000000000057</v>
      </c>
      <c r="Q796" s="6">
        <v>10.850000000000023</v>
      </c>
      <c r="R796" s="9">
        <f t="shared" si="76"/>
        <v>4068.7500000000086</v>
      </c>
      <c r="S796" s="7">
        <f t="shared" si="77"/>
        <v>-12037.500000000007</v>
      </c>
    </row>
    <row r="797" spans="1:19" x14ac:dyDescent="0.25">
      <c r="A797" s="4">
        <f>Sheet1!A797</f>
        <v>40242</v>
      </c>
      <c r="B797" s="5">
        <f>Sheet1!B797</f>
        <v>0.58333333333333337</v>
      </c>
      <c r="C797" s="6">
        <f>Sheet1!C797</f>
        <v>171.65</v>
      </c>
      <c r="D797" s="6">
        <f>Sheet1!D797</f>
        <v>172.5</v>
      </c>
      <c r="E797" s="6">
        <f>Sheet1!E797</f>
        <v>171.25</v>
      </c>
      <c r="F797" s="6">
        <f>Sheet1!F797</f>
        <v>171.65</v>
      </c>
      <c r="H797" s="6">
        <f ca="1">IF(ROW($H797)-1&lt;$I$1,$F797,AVERAGE($F797:OFFSET($F797,(($I$1-1)*-1),0)))</f>
        <v>172.57500000000002</v>
      </c>
      <c r="J797" s="6">
        <f ca="1">IF(ROW($J797)-1&lt;$K$1,$F797,AVERAGE($F797:OFFSET($F797,(($K$1-1)*-1),0)))</f>
        <v>174.66785714285717</v>
      </c>
      <c r="L797" s="7">
        <f t="shared" ca="1" si="72"/>
        <v>-1</v>
      </c>
      <c r="M797" s="7" t="str">
        <f t="shared" ca="1" si="73"/>
        <v/>
      </c>
      <c r="N797" s="6" t="str">
        <f t="shared" ca="1" si="74"/>
        <v/>
      </c>
      <c r="O797" s="6">
        <f t="shared" si="75"/>
        <v>0.20000000000001705</v>
      </c>
      <c r="Q797" s="6">
        <v>10.650000000000006</v>
      </c>
      <c r="R797" s="9">
        <f t="shared" si="76"/>
        <v>3993.7500000000023</v>
      </c>
      <c r="S797" s="7">
        <f t="shared" si="77"/>
        <v>-12037.500000000007</v>
      </c>
    </row>
    <row r="798" spans="1:19" x14ac:dyDescent="0.25">
      <c r="A798" s="4">
        <f>Sheet1!A798</f>
        <v>40245</v>
      </c>
      <c r="B798" s="5">
        <f>Sheet1!B798</f>
        <v>0.58333333333333337</v>
      </c>
      <c r="C798" s="6">
        <f>Sheet1!C798</f>
        <v>171.65</v>
      </c>
      <c r="D798" s="6">
        <f>Sheet1!D798</f>
        <v>173.2</v>
      </c>
      <c r="E798" s="6">
        <f>Sheet1!E798</f>
        <v>171.25</v>
      </c>
      <c r="F798" s="6">
        <f>Sheet1!F798</f>
        <v>172.35</v>
      </c>
      <c r="H798" s="6">
        <f ca="1">IF(ROW($H798)-1&lt;$I$1,$F798,AVERAGE($F798:OFFSET($F798,(($I$1-1)*-1),0)))</f>
        <v>172.55833333333331</v>
      </c>
      <c r="J798" s="6">
        <f ca="1">IF(ROW($J798)-1&lt;$K$1,$F798,AVERAGE($F798:OFFSET($F798,(($K$1-1)*-1),0)))</f>
        <v>174.35535714285717</v>
      </c>
      <c r="L798" s="7">
        <f t="shared" ca="1" si="72"/>
        <v>-1</v>
      </c>
      <c r="M798" s="7" t="str">
        <f t="shared" ca="1" si="73"/>
        <v/>
      </c>
      <c r="N798" s="6" t="str">
        <f t="shared" ca="1" si="74"/>
        <v/>
      </c>
      <c r="O798" s="6">
        <f t="shared" si="75"/>
        <v>0.69999999999998863</v>
      </c>
      <c r="Q798" s="6">
        <v>9.9500000000000171</v>
      </c>
      <c r="R798" s="9">
        <f t="shared" si="76"/>
        <v>3731.2500000000064</v>
      </c>
      <c r="S798" s="7">
        <f t="shared" si="77"/>
        <v>-12037.500000000007</v>
      </c>
    </row>
    <row r="799" spans="1:19" x14ac:dyDescent="0.25">
      <c r="A799" s="4">
        <f>Sheet1!A799</f>
        <v>40246</v>
      </c>
      <c r="B799" s="5">
        <f>Sheet1!B799</f>
        <v>0.58333333333333337</v>
      </c>
      <c r="C799" s="6">
        <f>Sheet1!C799</f>
        <v>172.2</v>
      </c>
      <c r="D799" s="6">
        <f>Sheet1!D799</f>
        <v>175.5</v>
      </c>
      <c r="E799" s="6">
        <f>Sheet1!E799</f>
        <v>171.35</v>
      </c>
      <c r="F799" s="6">
        <f>Sheet1!F799</f>
        <v>174</v>
      </c>
      <c r="H799" s="6">
        <f ca="1">IF(ROW($H799)-1&lt;$I$1,$F799,AVERAGE($F799:OFFSET($F799,(($I$1-1)*-1),0)))</f>
        <v>172.72499999999999</v>
      </c>
      <c r="J799" s="6">
        <f ca="1">IF(ROW($J799)-1&lt;$K$1,$F799,AVERAGE($F799:OFFSET($F799,(($K$1-1)*-1),0)))</f>
        <v>174.26964285714288</v>
      </c>
      <c r="L799" s="7">
        <f t="shared" ca="1" si="72"/>
        <v>-1</v>
      </c>
      <c r="M799" s="7" t="str">
        <f t="shared" ca="1" si="73"/>
        <v/>
      </c>
      <c r="N799" s="6" t="str">
        <f t="shared" ca="1" si="74"/>
        <v/>
      </c>
      <c r="O799" s="6">
        <f t="shared" si="75"/>
        <v>1.6500000000000057</v>
      </c>
      <c r="Q799" s="6">
        <v>8.3000000000000114</v>
      </c>
      <c r="R799" s="9">
        <f t="shared" si="76"/>
        <v>3112.5000000000041</v>
      </c>
      <c r="S799" s="7">
        <f t="shared" si="77"/>
        <v>-12037.500000000007</v>
      </c>
    </row>
    <row r="800" spans="1:19" x14ac:dyDescent="0.25">
      <c r="A800" s="4">
        <f>Sheet1!A800</f>
        <v>40247</v>
      </c>
      <c r="B800" s="5">
        <f>Sheet1!B800</f>
        <v>0.58333333333333337</v>
      </c>
      <c r="C800" s="6">
        <f>Sheet1!C800</f>
        <v>173.75</v>
      </c>
      <c r="D800" s="6">
        <f>Sheet1!D800</f>
        <v>175</v>
      </c>
      <c r="E800" s="6">
        <f>Sheet1!E800</f>
        <v>172.65</v>
      </c>
      <c r="F800" s="6">
        <f>Sheet1!F800</f>
        <v>174</v>
      </c>
      <c r="H800" s="6">
        <f ca="1">IF(ROW($H800)-1&lt;$I$1,$F800,AVERAGE($F800:OFFSET($F800,(($I$1-1)*-1),0)))</f>
        <v>172.79999999999998</v>
      </c>
      <c r="J800" s="6">
        <f ca="1">IF(ROW($J800)-1&lt;$K$1,$F800,AVERAGE($F800:OFFSET($F800,(($K$1-1)*-1),0)))</f>
        <v>174.20535714285717</v>
      </c>
      <c r="L800" s="7">
        <f t="shared" ca="1" si="72"/>
        <v>-1</v>
      </c>
      <c r="M800" s="7" t="str">
        <f t="shared" ca="1" si="73"/>
        <v/>
      </c>
      <c r="N800" s="6" t="str">
        <f t="shared" ca="1" si="74"/>
        <v/>
      </c>
      <c r="O800" s="6">
        <f t="shared" si="75"/>
        <v>0</v>
      </c>
      <c r="Q800" s="6">
        <v>8.3000000000000114</v>
      </c>
      <c r="R800" s="9">
        <f t="shared" si="76"/>
        <v>3112.5000000000041</v>
      </c>
      <c r="S800" s="7">
        <f t="shared" si="77"/>
        <v>-12037.500000000007</v>
      </c>
    </row>
    <row r="801" spans="1:19" x14ac:dyDescent="0.25">
      <c r="A801" s="4">
        <f>Sheet1!A801</f>
        <v>40248</v>
      </c>
      <c r="B801" s="5">
        <f>Sheet1!B801</f>
        <v>0.58333333333333337</v>
      </c>
      <c r="C801" s="6">
        <f>Sheet1!C801</f>
        <v>173.7</v>
      </c>
      <c r="D801" s="6">
        <f>Sheet1!D801</f>
        <v>175.25</v>
      </c>
      <c r="E801" s="6">
        <f>Sheet1!E801</f>
        <v>173.7</v>
      </c>
      <c r="F801" s="6">
        <f>Sheet1!F801</f>
        <v>175</v>
      </c>
      <c r="H801" s="6">
        <f ca="1">IF(ROW($H801)-1&lt;$I$1,$F801,AVERAGE($F801:OFFSET($F801,(($I$1-1)*-1),0)))</f>
        <v>173.07500000000002</v>
      </c>
      <c r="J801" s="6">
        <f ca="1">IF(ROW($J801)-1&lt;$K$1,$F801,AVERAGE($F801:OFFSET($F801,(($K$1-1)*-1),0)))</f>
        <v>174.22142857142856</v>
      </c>
      <c r="L801" s="7">
        <f t="shared" ca="1" si="72"/>
        <v>-1</v>
      </c>
      <c r="M801" s="7" t="str">
        <f t="shared" ca="1" si="73"/>
        <v/>
      </c>
      <c r="N801" s="6" t="str">
        <f t="shared" ca="1" si="74"/>
        <v/>
      </c>
      <c r="O801" s="6">
        <f t="shared" si="75"/>
        <v>1</v>
      </c>
      <c r="Q801" s="6">
        <v>7.3000000000000114</v>
      </c>
      <c r="R801" s="9">
        <f t="shared" si="76"/>
        <v>2737.5000000000041</v>
      </c>
      <c r="S801" s="7">
        <f t="shared" si="77"/>
        <v>-12037.500000000007</v>
      </c>
    </row>
    <row r="802" spans="1:19" x14ac:dyDescent="0.25">
      <c r="A802" s="4">
        <f>Sheet1!A802</f>
        <v>40249</v>
      </c>
      <c r="B802" s="5">
        <f>Sheet1!B802</f>
        <v>0.58333333333333337</v>
      </c>
      <c r="C802" s="6">
        <f>Sheet1!C802</f>
        <v>175.25</v>
      </c>
      <c r="D802" s="6">
        <f>Sheet1!D802</f>
        <v>176.45</v>
      </c>
      <c r="E802" s="6">
        <f>Sheet1!E802</f>
        <v>173</v>
      </c>
      <c r="F802" s="6">
        <f>Sheet1!F802</f>
        <v>173.75</v>
      </c>
      <c r="H802" s="6">
        <f ca="1">IF(ROW($H802)-1&lt;$I$1,$F802,AVERAGE($F802:OFFSET($F802,(($I$1-1)*-1),0)))</f>
        <v>173.45833333333334</v>
      </c>
      <c r="J802" s="6">
        <f ca="1">IF(ROW($J802)-1&lt;$K$1,$F802,AVERAGE($F802:OFFSET($F802,(($K$1-1)*-1),0)))</f>
        <v>174.16249999999999</v>
      </c>
      <c r="L802" s="7">
        <f t="shared" ca="1" si="72"/>
        <v>-1</v>
      </c>
      <c r="M802" s="7" t="str">
        <f t="shared" ca="1" si="73"/>
        <v/>
      </c>
      <c r="N802" s="6" t="str">
        <f t="shared" ca="1" si="74"/>
        <v/>
      </c>
      <c r="O802" s="6">
        <f t="shared" si="75"/>
        <v>-1.25</v>
      </c>
      <c r="Q802" s="6">
        <v>8.5500000000000114</v>
      </c>
      <c r="R802" s="9">
        <f t="shared" si="76"/>
        <v>3206.2500000000041</v>
      </c>
      <c r="S802" s="7">
        <f t="shared" si="77"/>
        <v>-12037.500000000007</v>
      </c>
    </row>
    <row r="803" spans="1:19" x14ac:dyDescent="0.25">
      <c r="A803" s="4">
        <f>Sheet1!A803</f>
        <v>40252</v>
      </c>
      <c r="B803" s="5">
        <f>Sheet1!B803</f>
        <v>0.58333333333333337</v>
      </c>
      <c r="C803" s="6">
        <f>Sheet1!C803</f>
        <v>173.65</v>
      </c>
      <c r="D803" s="6">
        <f>Sheet1!D803</f>
        <v>174.15</v>
      </c>
      <c r="E803" s="6">
        <f>Sheet1!E803</f>
        <v>170.95</v>
      </c>
      <c r="F803" s="6">
        <f>Sheet1!F803</f>
        <v>172.3</v>
      </c>
      <c r="H803" s="6">
        <f ca="1">IF(ROW($H803)-1&lt;$I$1,$F803,AVERAGE($F803:OFFSET($F803,(($I$1-1)*-1),0)))</f>
        <v>173.56666666666669</v>
      </c>
      <c r="J803" s="6">
        <f ca="1">IF(ROW($J803)-1&lt;$K$1,$F803,AVERAGE($F803:OFFSET($F803,(($K$1-1)*-1),0)))</f>
        <v>173.96250000000001</v>
      </c>
      <c r="L803" s="7">
        <f t="shared" ca="1" si="72"/>
        <v>-1</v>
      </c>
      <c r="M803" s="7" t="str">
        <f t="shared" ca="1" si="73"/>
        <v/>
      </c>
      <c r="N803" s="6" t="str">
        <f t="shared" ca="1" si="74"/>
        <v/>
      </c>
      <c r="O803" s="6">
        <f t="shared" si="75"/>
        <v>-1.4499999999999886</v>
      </c>
      <c r="Q803" s="6">
        <v>10</v>
      </c>
      <c r="R803" s="9">
        <f t="shared" si="76"/>
        <v>3750</v>
      </c>
      <c r="S803" s="7">
        <f t="shared" si="77"/>
        <v>-12037.500000000007</v>
      </c>
    </row>
    <row r="804" spans="1:19" x14ac:dyDescent="0.25">
      <c r="A804" s="4">
        <f>Sheet1!A804</f>
        <v>40253</v>
      </c>
      <c r="B804" s="5">
        <f>Sheet1!B804</f>
        <v>0.58333333333333337</v>
      </c>
      <c r="C804" s="6">
        <f>Sheet1!C804</f>
        <v>172.5</v>
      </c>
      <c r="D804" s="6">
        <f>Sheet1!D804</f>
        <v>174.65</v>
      </c>
      <c r="E804" s="6">
        <f>Sheet1!E804</f>
        <v>171.85</v>
      </c>
      <c r="F804" s="6">
        <f>Sheet1!F804</f>
        <v>174</v>
      </c>
      <c r="H804" s="6">
        <f ca="1">IF(ROW($H804)-1&lt;$I$1,$F804,AVERAGE($F804:OFFSET($F804,(($I$1-1)*-1),0)))</f>
        <v>173.84166666666667</v>
      </c>
      <c r="J804" s="6">
        <f ca="1">IF(ROW($J804)-1&lt;$K$1,$F804,AVERAGE($F804:OFFSET($F804,(($K$1-1)*-1),0)))</f>
        <v>173.89642857142854</v>
      </c>
      <c r="L804" s="7">
        <f t="shared" ca="1" si="72"/>
        <v>-1</v>
      </c>
      <c r="M804" s="7" t="str">
        <f t="shared" ca="1" si="73"/>
        <v/>
      </c>
      <c r="N804" s="6" t="str">
        <f t="shared" ca="1" si="74"/>
        <v/>
      </c>
      <c r="O804" s="6">
        <f t="shared" si="75"/>
        <v>1.6999999999999886</v>
      </c>
      <c r="Q804" s="6">
        <v>8.3000000000000114</v>
      </c>
      <c r="R804" s="9">
        <f t="shared" si="76"/>
        <v>3112.5000000000041</v>
      </c>
      <c r="S804" s="7">
        <f t="shared" si="77"/>
        <v>-12037.500000000007</v>
      </c>
    </row>
    <row r="805" spans="1:19" x14ac:dyDescent="0.25">
      <c r="A805" s="4">
        <f>Sheet1!A805</f>
        <v>40254</v>
      </c>
      <c r="B805" s="5">
        <f>Sheet1!B805</f>
        <v>0.58333333333333337</v>
      </c>
      <c r="C805" s="6">
        <f>Sheet1!C805</f>
        <v>174.25</v>
      </c>
      <c r="D805" s="6">
        <f>Sheet1!D805</f>
        <v>175.1</v>
      </c>
      <c r="E805" s="6">
        <f>Sheet1!E805</f>
        <v>173.75</v>
      </c>
      <c r="F805" s="6">
        <f>Sheet1!F805</f>
        <v>174.85</v>
      </c>
      <c r="H805" s="6">
        <f ca="1">IF(ROW($H805)-1&lt;$I$1,$F805,AVERAGE($F805:OFFSET($F805,(($I$1-1)*-1),0)))</f>
        <v>173.98333333333332</v>
      </c>
      <c r="J805" s="6">
        <f ca="1">IF(ROW($J805)-1&lt;$K$1,$F805,AVERAGE($F805:OFFSET($F805,(($K$1-1)*-1),0)))</f>
        <v>173.91249999999999</v>
      </c>
      <c r="L805" s="7">
        <f t="shared" ca="1" si="72"/>
        <v>1</v>
      </c>
      <c r="M805" s="7">
        <f t="shared" ca="1" si="73"/>
        <v>1</v>
      </c>
      <c r="N805" s="6" t="str">
        <f t="shared" ca="1" si="74"/>
        <v/>
      </c>
      <c r="O805" s="6">
        <f t="shared" si="75"/>
        <v>0.84999999999999432</v>
      </c>
      <c r="Q805" s="6">
        <v>7.4500000000000171</v>
      </c>
      <c r="R805" s="9">
        <f t="shared" si="76"/>
        <v>2793.7500000000064</v>
      </c>
      <c r="S805" s="7">
        <f t="shared" si="77"/>
        <v>-12037.500000000007</v>
      </c>
    </row>
    <row r="806" spans="1:19" x14ac:dyDescent="0.25">
      <c r="A806" s="4">
        <f>Sheet1!A806</f>
        <v>40255</v>
      </c>
      <c r="B806" s="5">
        <f>Sheet1!B806</f>
        <v>0.58333333333333337</v>
      </c>
      <c r="C806" s="6">
        <f>Sheet1!C806</f>
        <v>174.65</v>
      </c>
      <c r="D806" s="6">
        <f>Sheet1!D806</f>
        <v>178.05</v>
      </c>
      <c r="E806" s="6">
        <f>Sheet1!E806</f>
        <v>173.9</v>
      </c>
      <c r="F806" s="6">
        <f>Sheet1!F806</f>
        <v>176.8</v>
      </c>
      <c r="H806" s="6">
        <f ca="1">IF(ROW($H806)-1&lt;$I$1,$F806,AVERAGE($F806:OFFSET($F806,(($I$1-1)*-1),0)))</f>
        <v>174.45000000000002</v>
      </c>
      <c r="J806" s="6">
        <f ca="1">IF(ROW($J806)-1&lt;$K$1,$F806,AVERAGE($F806:OFFSET($F806,(($K$1-1)*-1),0)))</f>
        <v>174.09642857142859</v>
      </c>
      <c r="L806" s="7">
        <f t="shared" ca="1" si="72"/>
        <v>1</v>
      </c>
      <c r="M806" s="7" t="str">
        <f t="shared" ca="1" si="73"/>
        <v/>
      </c>
      <c r="N806" s="6">
        <f t="shared" ca="1" si="74"/>
        <v>174.65</v>
      </c>
      <c r="O806" s="6">
        <f t="shared" si="75"/>
        <v>1.9500000000000171</v>
      </c>
      <c r="P806" s="6">
        <v>7.6500000000000057</v>
      </c>
      <c r="Q806" s="6">
        <v>2.1500000000000057</v>
      </c>
      <c r="R806" s="9">
        <f t="shared" si="76"/>
        <v>806.25000000000216</v>
      </c>
      <c r="S806" s="7">
        <f t="shared" si="77"/>
        <v>-9168.7500000000055</v>
      </c>
    </row>
    <row r="807" spans="1:19" x14ac:dyDescent="0.25">
      <c r="A807" s="4">
        <f>Sheet1!A807</f>
        <v>40256</v>
      </c>
      <c r="B807" s="5">
        <f>Sheet1!B807</f>
        <v>0.58333333333333337</v>
      </c>
      <c r="C807" s="6">
        <f>Sheet1!C807</f>
        <v>176.55</v>
      </c>
      <c r="D807" s="6">
        <f>Sheet1!D807</f>
        <v>177</v>
      </c>
      <c r="E807" s="6">
        <f>Sheet1!E807</f>
        <v>171.9</v>
      </c>
      <c r="F807" s="6">
        <f>Sheet1!F807</f>
        <v>173.75</v>
      </c>
      <c r="H807" s="6">
        <f ca="1">IF(ROW($H807)-1&lt;$I$1,$F807,AVERAGE($F807:OFFSET($F807,(($I$1-1)*-1),0)))</f>
        <v>174.24166666666667</v>
      </c>
      <c r="J807" s="6">
        <f ca="1">IF(ROW($J807)-1&lt;$K$1,$F807,AVERAGE($F807:OFFSET($F807,(($K$1-1)*-1),0)))</f>
        <v>174.10535714285717</v>
      </c>
      <c r="L807" s="7">
        <f t="shared" ca="1" si="72"/>
        <v>1</v>
      </c>
      <c r="M807" s="7" t="str">
        <f t="shared" ca="1" si="73"/>
        <v/>
      </c>
      <c r="N807" s="6" t="str">
        <f t="shared" ca="1" si="74"/>
        <v/>
      </c>
      <c r="O807" s="6">
        <f t="shared" si="75"/>
        <v>-3.0500000000000114</v>
      </c>
      <c r="Q807" s="6">
        <v>-0.90000000000000568</v>
      </c>
      <c r="R807" s="9">
        <f t="shared" si="76"/>
        <v>-337.50000000000216</v>
      </c>
      <c r="S807" s="7">
        <f t="shared" si="77"/>
        <v>-9168.7500000000055</v>
      </c>
    </row>
    <row r="808" spans="1:19" x14ac:dyDescent="0.25">
      <c r="A808" s="4">
        <f>Sheet1!A808</f>
        <v>40259</v>
      </c>
      <c r="B808" s="5">
        <f>Sheet1!B808</f>
        <v>0.58333333333333337</v>
      </c>
      <c r="C808" s="6">
        <f>Sheet1!C808</f>
        <v>173.35</v>
      </c>
      <c r="D808" s="6">
        <f>Sheet1!D808</f>
        <v>174.9</v>
      </c>
      <c r="E808" s="6">
        <f>Sheet1!E808</f>
        <v>172.1</v>
      </c>
      <c r="F808" s="6">
        <f>Sheet1!F808</f>
        <v>174.25</v>
      </c>
      <c r="H808" s="6">
        <f ca="1">IF(ROW($H808)-1&lt;$I$1,$F808,AVERAGE($F808:OFFSET($F808,(($I$1-1)*-1),0)))</f>
        <v>174.32500000000002</v>
      </c>
      <c r="J808" s="6">
        <f ca="1">IF(ROW($J808)-1&lt;$K$1,$F808,AVERAGE($F808:OFFSET($F808,(($K$1-1)*-1),0)))</f>
        <v>174.14107142857142</v>
      </c>
      <c r="L808" s="7">
        <f t="shared" ca="1" si="72"/>
        <v>1</v>
      </c>
      <c r="M808" s="7" t="str">
        <f t="shared" ca="1" si="73"/>
        <v/>
      </c>
      <c r="N808" s="6" t="str">
        <f t="shared" ca="1" si="74"/>
        <v/>
      </c>
      <c r="O808" s="6">
        <f t="shared" si="75"/>
        <v>0.5</v>
      </c>
      <c r="Q808" s="6">
        <v>-0.40000000000000568</v>
      </c>
      <c r="R808" s="9">
        <f t="shared" si="76"/>
        <v>-150.00000000000213</v>
      </c>
      <c r="S808" s="7">
        <f t="shared" si="77"/>
        <v>-9168.7500000000055</v>
      </c>
    </row>
    <row r="809" spans="1:19" x14ac:dyDescent="0.25">
      <c r="A809" s="4">
        <f>Sheet1!A809</f>
        <v>40260</v>
      </c>
      <c r="B809" s="5">
        <f>Sheet1!B809</f>
        <v>0.58333333333333337</v>
      </c>
      <c r="C809" s="6">
        <f>Sheet1!C809</f>
        <v>174.25</v>
      </c>
      <c r="D809" s="6">
        <f>Sheet1!D809</f>
        <v>176.25</v>
      </c>
      <c r="E809" s="6">
        <f>Sheet1!E809</f>
        <v>173.65</v>
      </c>
      <c r="F809" s="6">
        <f>Sheet1!F809</f>
        <v>176</v>
      </c>
      <c r="H809" s="6">
        <f ca="1">IF(ROW($H809)-1&lt;$I$1,$F809,AVERAGE($F809:OFFSET($F809,(($I$1-1)*-1),0)))</f>
        <v>174.94166666666669</v>
      </c>
      <c r="J809" s="6">
        <f ca="1">IF(ROW($J809)-1&lt;$K$1,$F809,AVERAGE($F809:OFFSET($F809,(($K$1-1)*-1),0)))</f>
        <v>174.17500000000001</v>
      </c>
      <c r="L809" s="7">
        <f t="shared" ca="1" si="72"/>
        <v>1</v>
      </c>
      <c r="M809" s="7" t="str">
        <f t="shared" ca="1" si="73"/>
        <v/>
      </c>
      <c r="N809" s="6" t="str">
        <f t="shared" ca="1" si="74"/>
        <v/>
      </c>
      <c r="O809" s="6">
        <f t="shared" si="75"/>
        <v>1.75</v>
      </c>
      <c r="Q809" s="6">
        <v>1.3499999999999943</v>
      </c>
      <c r="R809" s="9">
        <f t="shared" si="76"/>
        <v>506.24999999999784</v>
      </c>
      <c r="S809" s="7">
        <f t="shared" si="77"/>
        <v>-9168.7500000000055</v>
      </c>
    </row>
    <row r="810" spans="1:19" x14ac:dyDescent="0.25">
      <c r="A810" s="4">
        <f>Sheet1!A810</f>
        <v>40261</v>
      </c>
      <c r="B810" s="5">
        <f>Sheet1!B810</f>
        <v>0.58333333333333337</v>
      </c>
      <c r="C810" s="6">
        <f>Sheet1!C810</f>
        <v>175.7</v>
      </c>
      <c r="D810" s="6">
        <f>Sheet1!D810</f>
        <v>176.45</v>
      </c>
      <c r="E810" s="6">
        <f>Sheet1!E810</f>
        <v>174.55</v>
      </c>
      <c r="F810" s="6">
        <f>Sheet1!F810</f>
        <v>175.55</v>
      </c>
      <c r="H810" s="6">
        <f ca="1">IF(ROW($H810)-1&lt;$I$1,$F810,AVERAGE($F810:OFFSET($F810,(($I$1-1)*-1),0)))</f>
        <v>175.20000000000002</v>
      </c>
      <c r="J810" s="6">
        <f ca="1">IF(ROW($J810)-1&lt;$K$1,$F810,AVERAGE($F810:OFFSET($F810,(($K$1-1)*-1),0)))</f>
        <v>174.1982142857143</v>
      </c>
      <c r="L810" s="7">
        <f t="shared" ca="1" si="72"/>
        <v>1</v>
      </c>
      <c r="M810" s="7" t="str">
        <f t="shared" ca="1" si="73"/>
        <v/>
      </c>
      <c r="N810" s="6" t="str">
        <f t="shared" ca="1" si="74"/>
        <v/>
      </c>
      <c r="O810" s="6">
        <f t="shared" si="75"/>
        <v>-0.44999999999998863</v>
      </c>
      <c r="Q810" s="6">
        <v>0.90000000000000568</v>
      </c>
      <c r="R810" s="9">
        <f t="shared" si="76"/>
        <v>337.50000000000216</v>
      </c>
      <c r="S810" s="7">
        <f t="shared" si="77"/>
        <v>-9168.7500000000055</v>
      </c>
    </row>
    <row r="811" spans="1:19" x14ac:dyDescent="0.25">
      <c r="A811" s="4">
        <f>Sheet1!A811</f>
        <v>40262</v>
      </c>
      <c r="B811" s="5">
        <f>Sheet1!B811</f>
        <v>0.58333333333333337</v>
      </c>
      <c r="C811" s="6">
        <f>Sheet1!C811</f>
        <v>175.55</v>
      </c>
      <c r="D811" s="6">
        <f>Sheet1!D811</f>
        <v>178.7</v>
      </c>
      <c r="E811" s="6">
        <f>Sheet1!E811</f>
        <v>175.4</v>
      </c>
      <c r="F811" s="6">
        <f>Sheet1!F811</f>
        <v>178.25</v>
      </c>
      <c r="H811" s="6">
        <f ca="1">IF(ROW($H811)-1&lt;$I$1,$F811,AVERAGE($F811:OFFSET($F811,(($I$1-1)*-1),0)))</f>
        <v>175.76666666666665</v>
      </c>
      <c r="J811" s="6">
        <f ca="1">IF(ROW($J811)-1&lt;$K$1,$F811,AVERAGE($F811:OFFSET($F811,(($K$1-1)*-1),0)))</f>
        <v>174.29464285714289</v>
      </c>
      <c r="L811" s="7">
        <f t="shared" ca="1" si="72"/>
        <v>1</v>
      </c>
      <c r="M811" s="7" t="str">
        <f t="shared" ca="1" si="73"/>
        <v/>
      </c>
      <c r="N811" s="6" t="str">
        <f t="shared" ca="1" si="74"/>
        <v/>
      </c>
      <c r="O811" s="6">
        <f t="shared" si="75"/>
        <v>2.6999999999999886</v>
      </c>
      <c r="Q811" s="6">
        <v>3.5999999999999943</v>
      </c>
      <c r="R811" s="9">
        <f t="shared" si="76"/>
        <v>1349.999999999998</v>
      </c>
      <c r="S811" s="7">
        <f t="shared" si="77"/>
        <v>-9168.7500000000055</v>
      </c>
    </row>
    <row r="812" spans="1:19" x14ac:dyDescent="0.25">
      <c r="A812" s="4">
        <f>Sheet1!A812</f>
        <v>40263</v>
      </c>
      <c r="B812" s="5">
        <f>Sheet1!B812</f>
        <v>0.58333333333333337</v>
      </c>
      <c r="C812" s="6">
        <f>Sheet1!C812</f>
        <v>178.1</v>
      </c>
      <c r="D812" s="6">
        <f>Sheet1!D812</f>
        <v>179.2</v>
      </c>
      <c r="E812" s="6">
        <f>Sheet1!E812</f>
        <v>176.6</v>
      </c>
      <c r="F812" s="6">
        <f>Sheet1!F812</f>
        <v>177.1</v>
      </c>
      <c r="H812" s="6">
        <f ca="1">IF(ROW($H812)-1&lt;$I$1,$F812,AVERAGE($F812:OFFSET($F812,(($I$1-1)*-1),0)))</f>
        <v>175.81666666666663</v>
      </c>
      <c r="J812" s="6">
        <f ca="1">IF(ROW($J812)-1&lt;$K$1,$F812,AVERAGE($F812:OFFSET($F812,(($K$1-1)*-1),0)))</f>
        <v>174.3232142857143</v>
      </c>
      <c r="L812" s="7">
        <f t="shared" ca="1" si="72"/>
        <v>1</v>
      </c>
      <c r="M812" s="7" t="str">
        <f t="shared" ca="1" si="73"/>
        <v/>
      </c>
      <c r="N812" s="6" t="str">
        <f t="shared" ca="1" si="74"/>
        <v/>
      </c>
      <c r="O812" s="6">
        <f t="shared" si="75"/>
        <v>-1.1500000000000057</v>
      </c>
      <c r="Q812" s="6">
        <v>2.4499999999999886</v>
      </c>
      <c r="R812" s="9">
        <f t="shared" si="76"/>
        <v>918.74999999999568</v>
      </c>
      <c r="S812" s="7">
        <f t="shared" si="77"/>
        <v>-9168.7500000000055</v>
      </c>
    </row>
    <row r="813" spans="1:19" x14ac:dyDescent="0.25">
      <c r="A813" s="4">
        <f>Sheet1!A813</f>
        <v>40266</v>
      </c>
      <c r="B813" s="5">
        <f>Sheet1!B813</f>
        <v>0.58333333333333337</v>
      </c>
      <c r="C813" s="6">
        <f>Sheet1!C813</f>
        <v>177.2</v>
      </c>
      <c r="D813" s="6">
        <f>Sheet1!D813</f>
        <v>179.8</v>
      </c>
      <c r="E813" s="6">
        <f>Sheet1!E813</f>
        <v>177.1</v>
      </c>
      <c r="F813" s="6">
        <f>Sheet1!F813</f>
        <v>179.4</v>
      </c>
      <c r="H813" s="6">
        <f ca="1">IF(ROW($H813)-1&lt;$I$1,$F813,AVERAGE($F813:OFFSET($F813,(($I$1-1)*-1),0)))</f>
        <v>176.75833333333333</v>
      </c>
      <c r="J813" s="6">
        <f ca="1">IF(ROW($J813)-1&lt;$K$1,$F813,AVERAGE($F813:OFFSET($F813,(($K$1-1)*-1),0)))</f>
        <v>174.4482142857143</v>
      </c>
      <c r="L813" s="7">
        <f t="shared" ca="1" si="72"/>
        <v>1</v>
      </c>
      <c r="M813" s="7" t="str">
        <f t="shared" ca="1" si="73"/>
        <v/>
      </c>
      <c r="N813" s="6" t="str">
        <f t="shared" ca="1" si="74"/>
        <v/>
      </c>
      <c r="O813" s="6">
        <f t="shared" si="75"/>
        <v>2.3000000000000114</v>
      </c>
      <c r="Q813" s="6">
        <v>4.75</v>
      </c>
      <c r="R813" s="9">
        <f t="shared" si="76"/>
        <v>1781.25</v>
      </c>
      <c r="S813" s="7">
        <f t="shared" si="77"/>
        <v>-9168.7500000000055</v>
      </c>
    </row>
    <row r="814" spans="1:19" x14ac:dyDescent="0.25">
      <c r="A814" s="4">
        <f>Sheet1!A814</f>
        <v>40267</v>
      </c>
      <c r="B814" s="5">
        <f>Sheet1!B814</f>
        <v>0.58333333333333337</v>
      </c>
      <c r="C814" s="6">
        <f>Sheet1!C814</f>
        <v>179.5</v>
      </c>
      <c r="D814" s="6">
        <f>Sheet1!D814</f>
        <v>180.25</v>
      </c>
      <c r="E814" s="6">
        <f>Sheet1!E814</f>
        <v>178.55</v>
      </c>
      <c r="F814" s="6">
        <f>Sheet1!F814</f>
        <v>180.2</v>
      </c>
      <c r="H814" s="6">
        <f ca="1">IF(ROW($H814)-1&lt;$I$1,$F814,AVERAGE($F814:OFFSET($F814,(($I$1-1)*-1),0)))</f>
        <v>177.75</v>
      </c>
      <c r="J814" s="6">
        <f ca="1">IF(ROW($J814)-1&lt;$K$1,$F814,AVERAGE($F814:OFFSET($F814,(($K$1-1)*-1),0)))</f>
        <v>174.53928571428574</v>
      </c>
      <c r="L814" s="7">
        <f t="shared" ca="1" si="72"/>
        <v>1</v>
      </c>
      <c r="M814" s="7" t="str">
        <f t="shared" ca="1" si="73"/>
        <v/>
      </c>
      <c r="N814" s="6" t="str">
        <f t="shared" ca="1" si="74"/>
        <v/>
      </c>
      <c r="O814" s="6">
        <f t="shared" si="75"/>
        <v>0.79999999999998295</v>
      </c>
      <c r="Q814" s="6">
        <v>5.5499999999999829</v>
      </c>
      <c r="R814" s="9">
        <f t="shared" si="76"/>
        <v>2081.2499999999936</v>
      </c>
      <c r="S814" s="7">
        <f t="shared" si="77"/>
        <v>-9168.7500000000055</v>
      </c>
    </row>
    <row r="815" spans="1:19" x14ac:dyDescent="0.25">
      <c r="A815" s="4">
        <f>Sheet1!A815</f>
        <v>40268</v>
      </c>
      <c r="B815" s="5">
        <f>Sheet1!B815</f>
        <v>0.58333333333333337</v>
      </c>
      <c r="C815" s="6">
        <f>Sheet1!C815</f>
        <v>180.25</v>
      </c>
      <c r="D815" s="6">
        <f>Sheet1!D815</f>
        <v>180.3</v>
      </c>
      <c r="E815" s="6">
        <f>Sheet1!E815</f>
        <v>175.95</v>
      </c>
      <c r="F815" s="6">
        <f>Sheet1!F815</f>
        <v>177.4</v>
      </c>
      <c r="H815" s="6">
        <f ca="1">IF(ROW($H815)-1&lt;$I$1,$F815,AVERAGE($F815:OFFSET($F815,(($I$1-1)*-1),0)))</f>
        <v>177.98333333333335</v>
      </c>
      <c r="J815" s="6">
        <f ca="1">IF(ROW($J815)-1&lt;$K$1,$F815,AVERAGE($F815:OFFSET($F815,(($K$1-1)*-1),0)))</f>
        <v>174.50714285714284</v>
      </c>
      <c r="L815" s="7">
        <f t="shared" ca="1" si="72"/>
        <v>1</v>
      </c>
      <c r="M815" s="7" t="str">
        <f t="shared" ca="1" si="73"/>
        <v/>
      </c>
      <c r="N815" s="6" t="str">
        <f t="shared" ca="1" si="74"/>
        <v/>
      </c>
      <c r="O815" s="6">
        <f t="shared" si="75"/>
        <v>-2.7999999999999829</v>
      </c>
      <c r="Q815" s="6">
        <v>2.75</v>
      </c>
      <c r="R815" s="9">
        <f t="shared" si="76"/>
        <v>1031.25</v>
      </c>
      <c r="S815" s="7">
        <f t="shared" si="77"/>
        <v>-9168.7500000000055</v>
      </c>
    </row>
    <row r="816" spans="1:19" x14ac:dyDescent="0.25">
      <c r="A816" s="4">
        <f>Sheet1!A816</f>
        <v>40269</v>
      </c>
      <c r="B816" s="5">
        <f>Sheet1!B816</f>
        <v>0.58333333333333337</v>
      </c>
      <c r="C816" s="6">
        <f>Sheet1!C816</f>
        <v>177.8</v>
      </c>
      <c r="D816" s="6">
        <f>Sheet1!D816</f>
        <v>179.2</v>
      </c>
      <c r="E816" s="6">
        <f>Sheet1!E816</f>
        <v>177.55</v>
      </c>
      <c r="F816" s="6">
        <f>Sheet1!F816</f>
        <v>178.65</v>
      </c>
      <c r="H816" s="6">
        <f ca="1">IF(ROW($H816)-1&lt;$I$1,$F816,AVERAGE($F816:OFFSET($F816,(($I$1-1)*-1),0)))</f>
        <v>178.5</v>
      </c>
      <c r="J816" s="6">
        <f ca="1">IF(ROW($J816)-1&lt;$K$1,$F816,AVERAGE($F816:OFFSET($F816,(($K$1-1)*-1),0)))</f>
        <v>174.70357142857139</v>
      </c>
      <c r="L816" s="7">
        <f t="shared" ca="1" si="72"/>
        <v>1</v>
      </c>
      <c r="M816" s="7" t="str">
        <f t="shared" ca="1" si="73"/>
        <v/>
      </c>
      <c r="N816" s="6" t="str">
        <f t="shared" ca="1" si="74"/>
        <v/>
      </c>
      <c r="O816" s="6">
        <f t="shared" si="75"/>
        <v>1.25</v>
      </c>
      <c r="Q816" s="6">
        <v>4</v>
      </c>
      <c r="R816" s="9">
        <f t="shared" si="76"/>
        <v>1500</v>
      </c>
      <c r="S816" s="7">
        <f t="shared" si="77"/>
        <v>-9168.7500000000055</v>
      </c>
    </row>
    <row r="817" spans="1:19" x14ac:dyDescent="0.25">
      <c r="A817" s="4">
        <f>Sheet1!A817</f>
        <v>40273</v>
      </c>
      <c r="B817" s="5">
        <f>Sheet1!B817</f>
        <v>0.58333333333333337</v>
      </c>
      <c r="C817" s="6">
        <f>Sheet1!C817</f>
        <v>178.75</v>
      </c>
      <c r="D817" s="6">
        <f>Sheet1!D817</f>
        <v>181.1</v>
      </c>
      <c r="E817" s="6">
        <f>Sheet1!E817</f>
        <v>178.55</v>
      </c>
      <c r="F817" s="6">
        <f>Sheet1!F817</f>
        <v>180.9</v>
      </c>
      <c r="H817" s="6">
        <f ca="1">IF(ROW($H817)-1&lt;$I$1,$F817,AVERAGE($F817:OFFSET($F817,(($I$1-1)*-1),0)))</f>
        <v>178.94166666666669</v>
      </c>
      <c r="J817" s="6">
        <f ca="1">IF(ROW($J817)-1&lt;$K$1,$F817,AVERAGE($F817:OFFSET($F817,(($K$1-1)*-1),0)))</f>
        <v>174.9678571428571</v>
      </c>
      <c r="L817" s="7">
        <f t="shared" ca="1" si="72"/>
        <v>1</v>
      </c>
      <c r="M817" s="7" t="str">
        <f t="shared" ca="1" si="73"/>
        <v/>
      </c>
      <c r="N817" s="6" t="str">
        <f t="shared" ca="1" si="74"/>
        <v/>
      </c>
      <c r="O817" s="6">
        <f t="shared" si="75"/>
        <v>2.25</v>
      </c>
      <c r="Q817" s="6">
        <v>6.25</v>
      </c>
      <c r="R817" s="9">
        <f t="shared" si="76"/>
        <v>2343.75</v>
      </c>
      <c r="S817" s="7">
        <f t="shared" si="77"/>
        <v>-9168.7500000000055</v>
      </c>
    </row>
    <row r="818" spans="1:19" x14ac:dyDescent="0.25">
      <c r="A818" s="4">
        <f>Sheet1!A818</f>
        <v>40274</v>
      </c>
      <c r="B818" s="5">
        <f>Sheet1!B818</f>
        <v>0.58333333333333337</v>
      </c>
      <c r="C818" s="6">
        <f>Sheet1!C818</f>
        <v>180.75</v>
      </c>
      <c r="D818" s="6">
        <f>Sheet1!D818</f>
        <v>181</v>
      </c>
      <c r="E818" s="6">
        <f>Sheet1!E818</f>
        <v>179</v>
      </c>
      <c r="F818" s="6">
        <f>Sheet1!F818</f>
        <v>180.45</v>
      </c>
      <c r="H818" s="6">
        <f ca="1">IF(ROW($H818)-1&lt;$I$1,$F818,AVERAGE($F818:OFFSET($F818,(($I$1-1)*-1),0)))</f>
        <v>179.5</v>
      </c>
      <c r="J818" s="6">
        <f ca="1">IF(ROW($J818)-1&lt;$K$1,$F818,AVERAGE($F818:OFFSET($F818,(($K$1-1)*-1),0)))</f>
        <v>175.19464285714281</v>
      </c>
      <c r="L818" s="7">
        <f t="shared" ca="1" si="72"/>
        <v>1</v>
      </c>
      <c r="M818" s="7" t="str">
        <f t="shared" ca="1" si="73"/>
        <v/>
      </c>
      <c r="N818" s="6" t="str">
        <f t="shared" ca="1" si="74"/>
        <v/>
      </c>
      <c r="O818" s="6">
        <f t="shared" si="75"/>
        <v>-0.45000000000001705</v>
      </c>
      <c r="Q818" s="6">
        <v>5.7999999999999829</v>
      </c>
      <c r="R818" s="9">
        <f t="shared" si="76"/>
        <v>2174.9999999999936</v>
      </c>
      <c r="S818" s="7">
        <f t="shared" si="77"/>
        <v>-9168.7500000000055</v>
      </c>
    </row>
    <row r="819" spans="1:19" x14ac:dyDescent="0.25">
      <c r="A819" s="4">
        <f>Sheet1!A819</f>
        <v>40275</v>
      </c>
      <c r="B819" s="5">
        <f>Sheet1!B819</f>
        <v>0.58333333333333337</v>
      </c>
      <c r="C819" s="6">
        <f>Sheet1!C819</f>
        <v>180.1</v>
      </c>
      <c r="D819" s="6">
        <f>Sheet1!D819</f>
        <v>180.45</v>
      </c>
      <c r="E819" s="6">
        <f>Sheet1!E819</f>
        <v>177.75</v>
      </c>
      <c r="F819" s="6">
        <f>Sheet1!F819</f>
        <v>178.8</v>
      </c>
      <c r="H819" s="6">
        <f ca="1">IF(ROW($H819)-1&lt;$I$1,$F819,AVERAGE($F819:OFFSET($F819,(($I$1-1)*-1),0)))</f>
        <v>179.39999999999998</v>
      </c>
      <c r="J819" s="6">
        <f ca="1">IF(ROW($J819)-1&lt;$K$1,$F819,AVERAGE($F819:OFFSET($F819,(($K$1-1)*-1),0)))</f>
        <v>175.47142857142853</v>
      </c>
      <c r="L819" s="7">
        <f t="shared" ca="1" si="72"/>
        <v>1</v>
      </c>
      <c r="M819" s="7" t="str">
        <f t="shared" ca="1" si="73"/>
        <v/>
      </c>
      <c r="N819" s="6" t="str">
        <f t="shared" ca="1" si="74"/>
        <v/>
      </c>
      <c r="O819" s="6">
        <f t="shared" si="75"/>
        <v>-1.6499999999999773</v>
      </c>
      <c r="Q819" s="6">
        <v>4.1500000000000057</v>
      </c>
      <c r="R819" s="9">
        <f t="shared" si="76"/>
        <v>1556.250000000002</v>
      </c>
      <c r="S819" s="7">
        <f t="shared" si="77"/>
        <v>-9168.7500000000055</v>
      </c>
    </row>
    <row r="820" spans="1:19" x14ac:dyDescent="0.25">
      <c r="A820" s="4">
        <f>Sheet1!A820</f>
        <v>40276</v>
      </c>
      <c r="B820" s="5">
        <f>Sheet1!B820</f>
        <v>0.58333333333333337</v>
      </c>
      <c r="C820" s="6">
        <f>Sheet1!C820</f>
        <v>178.65</v>
      </c>
      <c r="D820" s="6">
        <f>Sheet1!D820</f>
        <v>178.85</v>
      </c>
      <c r="E820" s="6">
        <f>Sheet1!E820</f>
        <v>175.05</v>
      </c>
      <c r="F820" s="6">
        <f>Sheet1!F820</f>
        <v>175.95</v>
      </c>
      <c r="H820" s="6">
        <f ca="1">IF(ROW($H820)-1&lt;$I$1,$F820,AVERAGE($F820:OFFSET($F820,(($I$1-1)*-1),0)))</f>
        <v>178.69166666666669</v>
      </c>
      <c r="J820" s="6">
        <f ca="1">IF(ROW($J820)-1&lt;$K$1,$F820,AVERAGE($F820:OFFSET($F820,(($K$1-1)*-1),0)))</f>
        <v>175.59642857142853</v>
      </c>
      <c r="L820" s="7">
        <f t="shared" ca="1" si="72"/>
        <v>1</v>
      </c>
      <c r="M820" s="7" t="str">
        <f t="shared" ca="1" si="73"/>
        <v/>
      </c>
      <c r="N820" s="6" t="str">
        <f t="shared" ca="1" si="74"/>
        <v/>
      </c>
      <c r="O820" s="6">
        <f t="shared" si="75"/>
        <v>-2.8500000000000227</v>
      </c>
      <c r="Q820" s="6">
        <v>1.2999999999999829</v>
      </c>
      <c r="R820" s="9">
        <f t="shared" si="76"/>
        <v>487.49999999999363</v>
      </c>
      <c r="S820" s="7">
        <f t="shared" si="77"/>
        <v>-9168.7500000000055</v>
      </c>
    </row>
    <row r="821" spans="1:19" x14ac:dyDescent="0.25">
      <c r="A821" s="4">
        <f>Sheet1!A821</f>
        <v>40277</v>
      </c>
      <c r="B821" s="5">
        <f>Sheet1!B821</f>
        <v>0.58333333333333337</v>
      </c>
      <c r="C821" s="6">
        <f>Sheet1!C821</f>
        <v>176.45</v>
      </c>
      <c r="D821" s="6">
        <f>Sheet1!D821</f>
        <v>176.75</v>
      </c>
      <c r="E821" s="6">
        <f>Sheet1!E821</f>
        <v>173.75</v>
      </c>
      <c r="F821" s="6">
        <f>Sheet1!F821</f>
        <v>173.95</v>
      </c>
      <c r="H821" s="6">
        <f ca="1">IF(ROW($H821)-1&lt;$I$1,$F821,AVERAGE($F821:OFFSET($F821,(($I$1-1)*-1),0)))</f>
        <v>178.11666666666667</v>
      </c>
      <c r="J821" s="6">
        <f ca="1">IF(ROW($J821)-1&lt;$K$1,$F821,AVERAGE($F821:OFFSET($F821,(($K$1-1)*-1),0)))</f>
        <v>175.63035714285712</v>
      </c>
      <c r="L821" s="7">
        <f t="shared" ca="1" si="72"/>
        <v>1</v>
      </c>
      <c r="M821" s="7" t="str">
        <f t="shared" ca="1" si="73"/>
        <v/>
      </c>
      <c r="N821" s="6" t="str">
        <f t="shared" ca="1" si="74"/>
        <v/>
      </c>
      <c r="O821" s="6">
        <f t="shared" si="75"/>
        <v>-2</v>
      </c>
      <c r="Q821" s="6">
        <v>-0.70000000000001705</v>
      </c>
      <c r="R821" s="9">
        <f t="shared" si="76"/>
        <v>-262.50000000000637</v>
      </c>
      <c r="S821" s="7">
        <f t="shared" si="77"/>
        <v>-9168.7500000000055</v>
      </c>
    </row>
    <row r="822" spans="1:19" x14ac:dyDescent="0.25">
      <c r="A822" s="4">
        <f>Sheet1!A822</f>
        <v>40280</v>
      </c>
      <c r="B822" s="5">
        <f>Sheet1!B822</f>
        <v>0.58333333333333337</v>
      </c>
      <c r="C822" s="6">
        <f>Sheet1!C822</f>
        <v>174.6</v>
      </c>
      <c r="D822" s="6">
        <f>Sheet1!D822</f>
        <v>175.4</v>
      </c>
      <c r="E822" s="6">
        <f>Sheet1!E822</f>
        <v>174.3</v>
      </c>
      <c r="F822" s="6">
        <f>Sheet1!F822</f>
        <v>174.75</v>
      </c>
      <c r="H822" s="6">
        <f ca="1">IF(ROW($H822)-1&lt;$I$1,$F822,AVERAGE($F822:OFFSET($F822,(($I$1-1)*-1),0)))</f>
        <v>177.4666666666667</v>
      </c>
      <c r="J822" s="6">
        <f ca="1">IF(ROW($J822)-1&lt;$K$1,$F822,AVERAGE($F822:OFFSET($F822,(($K$1-1)*-1),0)))</f>
        <v>175.67321428571429</v>
      </c>
      <c r="L822" s="7">
        <f t="shared" ca="1" si="72"/>
        <v>1</v>
      </c>
      <c r="M822" s="7" t="str">
        <f t="shared" ca="1" si="73"/>
        <v/>
      </c>
      <c r="N822" s="6" t="str">
        <f t="shared" ca="1" si="74"/>
        <v/>
      </c>
      <c r="O822" s="6">
        <f t="shared" si="75"/>
        <v>0.80000000000001137</v>
      </c>
      <c r="Q822" s="6">
        <v>9.9999999999994316E-2</v>
      </c>
      <c r="R822" s="9">
        <f t="shared" si="76"/>
        <v>37.499999999997868</v>
      </c>
      <c r="S822" s="7">
        <f t="shared" si="77"/>
        <v>-9168.7500000000055</v>
      </c>
    </row>
    <row r="823" spans="1:19" x14ac:dyDescent="0.25">
      <c r="A823" s="4">
        <f>Sheet1!A823</f>
        <v>40281</v>
      </c>
      <c r="B823" s="5">
        <f>Sheet1!B823</f>
        <v>0.58333333333333337</v>
      </c>
      <c r="C823" s="6">
        <f>Sheet1!C823</f>
        <v>174.75</v>
      </c>
      <c r="D823" s="6">
        <f>Sheet1!D823</f>
        <v>175.2</v>
      </c>
      <c r="E823" s="6">
        <f>Sheet1!E823</f>
        <v>173.05</v>
      </c>
      <c r="F823" s="6">
        <f>Sheet1!F823</f>
        <v>173.3</v>
      </c>
      <c r="H823" s="6">
        <f ca="1">IF(ROW($H823)-1&lt;$I$1,$F823,AVERAGE($F823:OFFSET($F823,(($I$1-1)*-1),0)))</f>
        <v>176.20000000000002</v>
      </c>
      <c r="J823" s="6">
        <f ca="1">IF(ROW($J823)-1&lt;$K$1,$F823,AVERAGE($F823:OFFSET($F823,(($K$1-1)*-1),0)))</f>
        <v>175.67142857142855</v>
      </c>
      <c r="L823" s="7">
        <f t="shared" ca="1" si="72"/>
        <v>1</v>
      </c>
      <c r="M823" s="7" t="str">
        <f t="shared" ca="1" si="73"/>
        <v/>
      </c>
      <c r="N823" s="6" t="str">
        <f t="shared" ca="1" si="74"/>
        <v/>
      </c>
      <c r="O823" s="6">
        <f t="shared" si="75"/>
        <v>-1.4499999999999886</v>
      </c>
      <c r="Q823" s="6">
        <v>-1.3499999999999943</v>
      </c>
      <c r="R823" s="9">
        <f t="shared" si="76"/>
        <v>-506.24999999999784</v>
      </c>
      <c r="S823" s="7">
        <f t="shared" si="77"/>
        <v>-9168.7500000000055</v>
      </c>
    </row>
    <row r="824" spans="1:19" x14ac:dyDescent="0.25">
      <c r="A824" s="4">
        <f>Sheet1!A824</f>
        <v>40282</v>
      </c>
      <c r="B824" s="5">
        <f>Sheet1!B824</f>
        <v>0.58333333333333337</v>
      </c>
      <c r="C824" s="6">
        <f>Sheet1!C824</f>
        <v>173.3</v>
      </c>
      <c r="D824" s="6">
        <f>Sheet1!D824</f>
        <v>174.15</v>
      </c>
      <c r="E824" s="6">
        <f>Sheet1!E824</f>
        <v>172.85</v>
      </c>
      <c r="F824" s="6">
        <f>Sheet1!F824</f>
        <v>172.95</v>
      </c>
      <c r="H824" s="6">
        <f ca="1">IF(ROW($H824)-1&lt;$I$1,$F824,AVERAGE($F824:OFFSET($F824,(($I$1-1)*-1),0)))</f>
        <v>174.95000000000002</v>
      </c>
      <c r="J824" s="6">
        <f ca="1">IF(ROW($J824)-1&lt;$K$1,$F824,AVERAGE($F824:OFFSET($F824,(($K$1-1)*-1),0)))</f>
        <v>175.72499999999999</v>
      </c>
      <c r="L824" s="7">
        <f t="shared" ca="1" si="72"/>
        <v>-1</v>
      </c>
      <c r="M824" s="7">
        <f t="shared" ca="1" si="73"/>
        <v>-1</v>
      </c>
      <c r="N824" s="6" t="str">
        <f t="shared" ca="1" si="74"/>
        <v/>
      </c>
      <c r="O824" s="6">
        <f t="shared" si="75"/>
        <v>-0.35000000000002274</v>
      </c>
      <c r="Q824" s="6">
        <v>-1.7000000000000171</v>
      </c>
      <c r="R824" s="9">
        <f t="shared" si="76"/>
        <v>-637.50000000000637</v>
      </c>
      <c r="S824" s="7">
        <f t="shared" si="77"/>
        <v>-9168.7500000000055</v>
      </c>
    </row>
    <row r="825" spans="1:19" x14ac:dyDescent="0.25">
      <c r="A825" s="4">
        <f>Sheet1!A825</f>
        <v>40283</v>
      </c>
      <c r="B825" s="5">
        <f>Sheet1!B825</f>
        <v>0.58333333333333337</v>
      </c>
      <c r="C825" s="6">
        <f>Sheet1!C825</f>
        <v>172.7</v>
      </c>
      <c r="D825" s="6">
        <f>Sheet1!D825</f>
        <v>173.4</v>
      </c>
      <c r="E825" s="6">
        <f>Sheet1!E825</f>
        <v>171.1</v>
      </c>
      <c r="F825" s="6">
        <f>Sheet1!F825</f>
        <v>172.85</v>
      </c>
      <c r="H825" s="6">
        <f ca="1">IF(ROW($H825)-1&lt;$I$1,$F825,AVERAGE($F825:OFFSET($F825,(($I$1-1)*-1),0)))</f>
        <v>173.95833333333334</v>
      </c>
      <c r="J825" s="6">
        <f ca="1">IF(ROW($J825)-1&lt;$K$1,$F825,AVERAGE($F825:OFFSET($F825,(($K$1-1)*-1),0)))</f>
        <v>175.76785714285717</v>
      </c>
      <c r="L825" s="7">
        <f t="shared" ca="1" si="72"/>
        <v>-1</v>
      </c>
      <c r="M825" s="7" t="str">
        <f t="shared" ca="1" si="73"/>
        <v/>
      </c>
      <c r="N825" s="6">
        <f t="shared" ca="1" si="74"/>
        <v>172.7</v>
      </c>
      <c r="O825" s="6">
        <f t="shared" si="75"/>
        <v>-9.9999999999994316E-2</v>
      </c>
      <c r="P825" s="6">
        <v>-1.9500000000000171</v>
      </c>
      <c r="Q825" s="6">
        <v>-0.15000000000000568</v>
      </c>
      <c r="R825" s="9">
        <f t="shared" si="76"/>
        <v>-56.250000000002132</v>
      </c>
      <c r="S825" s="7">
        <f t="shared" si="77"/>
        <v>-9900.0000000000109</v>
      </c>
    </row>
    <row r="826" spans="1:19" x14ac:dyDescent="0.25">
      <c r="A826" s="4">
        <f>Sheet1!A826</f>
        <v>40284</v>
      </c>
      <c r="B826" s="5">
        <f>Sheet1!B826</f>
        <v>0.58333333333333337</v>
      </c>
      <c r="C826" s="6">
        <f>Sheet1!C826</f>
        <v>172.45</v>
      </c>
      <c r="D826" s="6">
        <f>Sheet1!D826</f>
        <v>173.2</v>
      </c>
      <c r="E826" s="6">
        <f>Sheet1!E826</f>
        <v>170.15</v>
      </c>
      <c r="F826" s="6">
        <f>Sheet1!F826</f>
        <v>170.25</v>
      </c>
      <c r="H826" s="6">
        <f ca="1">IF(ROW($H826)-1&lt;$I$1,$F826,AVERAGE($F826:OFFSET($F826,(($I$1-1)*-1),0)))</f>
        <v>173.00833333333335</v>
      </c>
      <c r="J826" s="6">
        <f ca="1">IF(ROW($J826)-1&lt;$K$1,$F826,AVERAGE($F826:OFFSET($F826,(($K$1-1)*-1),0)))</f>
        <v>175.69285714285712</v>
      </c>
      <c r="L826" s="7">
        <f t="shared" ca="1" si="72"/>
        <v>-1</v>
      </c>
      <c r="M826" s="7" t="str">
        <f t="shared" ca="1" si="73"/>
        <v/>
      </c>
      <c r="N826" s="6" t="str">
        <f t="shared" ca="1" si="74"/>
        <v/>
      </c>
      <c r="O826" s="6">
        <f t="shared" si="75"/>
        <v>-2.5999999999999943</v>
      </c>
      <c r="Q826" s="6">
        <v>2.4499999999999886</v>
      </c>
      <c r="R826" s="9">
        <f t="shared" si="76"/>
        <v>918.74999999999568</v>
      </c>
      <c r="S826" s="7">
        <f t="shared" si="77"/>
        <v>-9900.0000000000109</v>
      </c>
    </row>
    <row r="827" spans="1:19" x14ac:dyDescent="0.25">
      <c r="A827" s="4">
        <f>Sheet1!A827</f>
        <v>40287</v>
      </c>
      <c r="B827" s="5">
        <f>Sheet1!B827</f>
        <v>0.58333333333333337</v>
      </c>
      <c r="C827" s="6">
        <f>Sheet1!C827</f>
        <v>170.05</v>
      </c>
      <c r="D827" s="6">
        <f>Sheet1!D827</f>
        <v>171.05</v>
      </c>
      <c r="E827" s="6">
        <f>Sheet1!E827</f>
        <v>170</v>
      </c>
      <c r="F827" s="6">
        <f>Sheet1!F827</f>
        <v>170.2</v>
      </c>
      <c r="H827" s="6">
        <f ca="1">IF(ROW($H827)-1&lt;$I$1,$F827,AVERAGE($F827:OFFSET($F827,(($I$1-1)*-1),0)))</f>
        <v>172.38333333333333</v>
      </c>
      <c r="J827" s="6">
        <f ca="1">IF(ROW($J827)-1&lt;$K$1,$F827,AVERAGE($F827:OFFSET($F827,(($K$1-1)*-1),0)))</f>
        <v>175.55714285714285</v>
      </c>
      <c r="L827" s="7">
        <f t="shared" ca="1" si="72"/>
        <v>-1</v>
      </c>
      <c r="M827" s="7" t="str">
        <f t="shared" ca="1" si="73"/>
        <v/>
      </c>
      <c r="N827" s="6" t="str">
        <f t="shared" ca="1" si="74"/>
        <v/>
      </c>
      <c r="O827" s="6">
        <f t="shared" si="75"/>
        <v>-5.0000000000011369E-2</v>
      </c>
      <c r="Q827" s="6">
        <v>2.5</v>
      </c>
      <c r="R827" s="9">
        <f t="shared" si="76"/>
        <v>937.5</v>
      </c>
      <c r="S827" s="7">
        <f t="shared" si="77"/>
        <v>-9900.0000000000109</v>
      </c>
    </row>
    <row r="828" spans="1:19" x14ac:dyDescent="0.25">
      <c r="A828" s="4">
        <f>Sheet1!A828</f>
        <v>40288</v>
      </c>
      <c r="B828" s="5">
        <f>Sheet1!B828</f>
        <v>0.58333333333333337</v>
      </c>
      <c r="C828" s="6">
        <f>Sheet1!C828</f>
        <v>170.75</v>
      </c>
      <c r="D828" s="6">
        <f>Sheet1!D828</f>
        <v>171.65</v>
      </c>
      <c r="E828" s="6">
        <f>Sheet1!E828</f>
        <v>170.15</v>
      </c>
      <c r="F828" s="6">
        <f>Sheet1!F828</f>
        <v>170.35</v>
      </c>
      <c r="H828" s="6">
        <f ca="1">IF(ROW($H828)-1&lt;$I$1,$F828,AVERAGE($F828:OFFSET($F828,(($I$1-1)*-1),0)))</f>
        <v>171.64999999999998</v>
      </c>
      <c r="J828" s="6">
        <f ca="1">IF(ROW($J828)-1&lt;$K$1,$F828,AVERAGE($F828:OFFSET($F828,(($K$1-1)*-1),0)))</f>
        <v>175.42678571428573</v>
      </c>
      <c r="L828" s="7">
        <f t="shared" ca="1" si="72"/>
        <v>-1</v>
      </c>
      <c r="M828" s="7" t="str">
        <f t="shared" ca="1" si="73"/>
        <v/>
      </c>
      <c r="N828" s="6" t="str">
        <f t="shared" ca="1" si="74"/>
        <v/>
      </c>
      <c r="O828" s="6">
        <f t="shared" si="75"/>
        <v>0.15000000000000568</v>
      </c>
      <c r="Q828" s="6">
        <v>2.3499999999999943</v>
      </c>
      <c r="R828" s="9">
        <f t="shared" si="76"/>
        <v>881.24999999999784</v>
      </c>
      <c r="S828" s="7">
        <f t="shared" si="77"/>
        <v>-9900.0000000000109</v>
      </c>
    </row>
    <row r="829" spans="1:19" x14ac:dyDescent="0.25">
      <c r="A829" s="4">
        <f>Sheet1!A829</f>
        <v>40289</v>
      </c>
      <c r="B829" s="5">
        <f>Sheet1!B829</f>
        <v>0.58333333333333337</v>
      </c>
      <c r="C829" s="6">
        <f>Sheet1!C829</f>
        <v>170.35</v>
      </c>
      <c r="D829" s="6">
        <f>Sheet1!D829</f>
        <v>171.3</v>
      </c>
      <c r="E829" s="6">
        <f>Sheet1!E829</f>
        <v>169.8</v>
      </c>
      <c r="F829" s="6">
        <f>Sheet1!F829</f>
        <v>170.7</v>
      </c>
      <c r="H829" s="6">
        <f ca="1">IF(ROW($H829)-1&lt;$I$1,$F829,AVERAGE($F829:OFFSET($F829,(($I$1-1)*-1),0)))</f>
        <v>171.21666666666667</v>
      </c>
      <c r="J829" s="6">
        <f ca="1">IF(ROW($J829)-1&lt;$K$1,$F829,AVERAGE($F829:OFFSET($F829,(($K$1-1)*-1),0)))</f>
        <v>175.27321428571426</v>
      </c>
      <c r="L829" s="7">
        <f t="shared" ca="1" si="72"/>
        <v>-1</v>
      </c>
      <c r="M829" s="7" t="str">
        <f t="shared" ca="1" si="73"/>
        <v/>
      </c>
      <c r="N829" s="6" t="str">
        <f t="shared" ca="1" si="74"/>
        <v/>
      </c>
      <c r="O829" s="6">
        <f t="shared" si="75"/>
        <v>0.34999999999999432</v>
      </c>
      <c r="Q829" s="6">
        <v>2</v>
      </c>
      <c r="R829" s="9">
        <f t="shared" si="76"/>
        <v>750</v>
      </c>
      <c r="S829" s="7">
        <f t="shared" si="77"/>
        <v>-9900.0000000000109</v>
      </c>
    </row>
    <row r="830" spans="1:19" x14ac:dyDescent="0.25">
      <c r="A830" s="4">
        <f>Sheet1!A830</f>
        <v>40290</v>
      </c>
      <c r="B830" s="5">
        <f>Sheet1!B830</f>
        <v>0.58333333333333337</v>
      </c>
      <c r="C830" s="6">
        <f>Sheet1!C830</f>
        <v>170.8</v>
      </c>
      <c r="D830" s="6">
        <f>Sheet1!D830</f>
        <v>171.55</v>
      </c>
      <c r="E830" s="6">
        <f>Sheet1!E830</f>
        <v>169.7</v>
      </c>
      <c r="F830" s="6">
        <f>Sheet1!F830</f>
        <v>170.9</v>
      </c>
      <c r="H830" s="6">
        <f ca="1">IF(ROW($H830)-1&lt;$I$1,$F830,AVERAGE($F830:OFFSET($F830,(($I$1-1)*-1),0)))</f>
        <v>170.875</v>
      </c>
      <c r="J830" s="6">
        <f ca="1">IF(ROW($J830)-1&lt;$K$1,$F830,AVERAGE($F830:OFFSET($F830,(($K$1-1)*-1),0)))</f>
        <v>175.17142857142855</v>
      </c>
      <c r="L830" s="7">
        <f t="shared" ca="1" si="72"/>
        <v>-1</v>
      </c>
      <c r="M830" s="7" t="str">
        <f t="shared" ca="1" si="73"/>
        <v/>
      </c>
      <c r="N830" s="6" t="str">
        <f t="shared" ca="1" si="74"/>
        <v/>
      </c>
      <c r="O830" s="6">
        <f t="shared" si="75"/>
        <v>0.20000000000001705</v>
      </c>
      <c r="Q830" s="6">
        <v>1.7999999999999829</v>
      </c>
      <c r="R830" s="9">
        <f t="shared" si="76"/>
        <v>674.99999999999363</v>
      </c>
      <c r="S830" s="7">
        <f t="shared" si="77"/>
        <v>-9900.0000000000109</v>
      </c>
    </row>
    <row r="831" spans="1:19" x14ac:dyDescent="0.25">
      <c r="A831" s="4">
        <f>Sheet1!A831</f>
        <v>40291</v>
      </c>
      <c r="B831" s="5">
        <f>Sheet1!B831</f>
        <v>0.58333333333333337</v>
      </c>
      <c r="C831" s="6">
        <f>Sheet1!C831</f>
        <v>171.1</v>
      </c>
      <c r="D831" s="6">
        <f>Sheet1!D831</f>
        <v>172.6</v>
      </c>
      <c r="E831" s="6">
        <f>Sheet1!E831</f>
        <v>170.5</v>
      </c>
      <c r="F831" s="6">
        <f>Sheet1!F831</f>
        <v>171.4</v>
      </c>
      <c r="H831" s="6">
        <f ca="1">IF(ROW($H831)-1&lt;$I$1,$F831,AVERAGE($F831:OFFSET($F831,(($I$1-1)*-1),0)))</f>
        <v>170.63333333333333</v>
      </c>
      <c r="J831" s="6">
        <f ca="1">IF(ROW($J831)-1&lt;$K$1,$F831,AVERAGE($F831:OFFSET($F831,(($K$1-1)*-1),0)))</f>
        <v>175.13928571428571</v>
      </c>
      <c r="L831" s="7">
        <f t="shared" ca="1" si="72"/>
        <v>-1</v>
      </c>
      <c r="M831" s="7" t="str">
        <f t="shared" ca="1" si="73"/>
        <v/>
      </c>
      <c r="N831" s="6" t="str">
        <f t="shared" ca="1" si="74"/>
        <v/>
      </c>
      <c r="O831" s="6">
        <f t="shared" si="75"/>
        <v>0.5</v>
      </c>
      <c r="Q831" s="6">
        <v>1.2999999999999829</v>
      </c>
      <c r="R831" s="9">
        <f t="shared" si="76"/>
        <v>487.49999999999363</v>
      </c>
      <c r="S831" s="7">
        <f t="shared" si="77"/>
        <v>-9900.0000000000109</v>
      </c>
    </row>
    <row r="832" spans="1:19" x14ac:dyDescent="0.25">
      <c r="A832" s="4">
        <f>Sheet1!A832</f>
        <v>40294</v>
      </c>
      <c r="B832" s="5">
        <f>Sheet1!B832</f>
        <v>0.58333333333333337</v>
      </c>
      <c r="C832" s="6">
        <f>Sheet1!C832</f>
        <v>171.65</v>
      </c>
      <c r="D832" s="6">
        <f>Sheet1!D832</f>
        <v>172.85</v>
      </c>
      <c r="E832" s="6">
        <f>Sheet1!E832</f>
        <v>171.3</v>
      </c>
      <c r="F832" s="6">
        <f>Sheet1!F832</f>
        <v>172.1</v>
      </c>
      <c r="H832" s="6">
        <f ca="1">IF(ROW($H832)-1&lt;$I$1,$F832,AVERAGE($F832:OFFSET($F832,(($I$1-1)*-1),0)))</f>
        <v>170.94166666666663</v>
      </c>
      <c r="J832" s="6">
        <f ca="1">IF(ROW($J832)-1&lt;$K$1,$F832,AVERAGE($F832:OFFSET($F832,(($K$1-1)*-1),0)))</f>
        <v>175.07142857142853</v>
      </c>
      <c r="L832" s="7">
        <f t="shared" ca="1" si="72"/>
        <v>-1</v>
      </c>
      <c r="M832" s="7" t="str">
        <f t="shared" ca="1" si="73"/>
        <v/>
      </c>
      <c r="N832" s="6" t="str">
        <f t="shared" ca="1" si="74"/>
        <v/>
      </c>
      <c r="O832" s="6">
        <f t="shared" si="75"/>
        <v>0.69999999999998863</v>
      </c>
      <c r="Q832" s="6">
        <v>0.59999999999999432</v>
      </c>
      <c r="R832" s="9">
        <f t="shared" si="76"/>
        <v>224.99999999999787</v>
      </c>
      <c r="S832" s="7">
        <f t="shared" si="77"/>
        <v>-9900.0000000000109</v>
      </c>
    </row>
    <row r="833" spans="1:19" x14ac:dyDescent="0.25">
      <c r="A833" s="4">
        <f>Sheet1!A833</f>
        <v>40295</v>
      </c>
      <c r="B833" s="5">
        <f>Sheet1!B833</f>
        <v>0.58333333333333337</v>
      </c>
      <c r="C833" s="6">
        <f>Sheet1!C833</f>
        <v>171.55</v>
      </c>
      <c r="D833" s="6">
        <f>Sheet1!D833</f>
        <v>171.85</v>
      </c>
      <c r="E833" s="6">
        <f>Sheet1!E833</f>
        <v>169.65</v>
      </c>
      <c r="F833" s="6">
        <f>Sheet1!F833</f>
        <v>170.3</v>
      </c>
      <c r="H833" s="6">
        <f ca="1">IF(ROW($H833)-1&lt;$I$1,$F833,AVERAGE($F833:OFFSET($F833,(($I$1-1)*-1),0)))</f>
        <v>170.95833333333334</v>
      </c>
      <c r="J833" s="6">
        <f ca="1">IF(ROW($J833)-1&lt;$K$1,$F833,AVERAGE($F833:OFFSET($F833,(($K$1-1)*-1),0)))</f>
        <v>174.90892857142853</v>
      </c>
      <c r="L833" s="7">
        <f t="shared" ca="1" si="72"/>
        <v>-1</v>
      </c>
      <c r="M833" s="7" t="str">
        <f t="shared" ca="1" si="73"/>
        <v/>
      </c>
      <c r="N833" s="6" t="str">
        <f t="shared" ca="1" si="74"/>
        <v/>
      </c>
      <c r="O833" s="6">
        <f t="shared" si="75"/>
        <v>-1.7999999999999829</v>
      </c>
      <c r="Q833" s="6">
        <v>2.3999999999999773</v>
      </c>
      <c r="R833" s="9">
        <f t="shared" si="76"/>
        <v>899.99999999999147</v>
      </c>
      <c r="S833" s="7">
        <f t="shared" si="77"/>
        <v>-9900.0000000000109</v>
      </c>
    </row>
    <row r="834" spans="1:19" x14ac:dyDescent="0.25">
      <c r="A834" s="4">
        <f>Sheet1!A834</f>
        <v>40296</v>
      </c>
      <c r="B834" s="5">
        <f>Sheet1!B834</f>
        <v>0.58333333333333337</v>
      </c>
      <c r="C834" s="6">
        <f>Sheet1!C834</f>
        <v>170.3</v>
      </c>
      <c r="D834" s="6">
        <f>Sheet1!D834</f>
        <v>174.15</v>
      </c>
      <c r="E834" s="6">
        <f>Sheet1!E834</f>
        <v>170.15</v>
      </c>
      <c r="F834" s="6">
        <f>Sheet1!F834</f>
        <v>173.35</v>
      </c>
      <c r="H834" s="6">
        <f ca="1">IF(ROW($H834)-1&lt;$I$1,$F834,AVERAGE($F834:OFFSET($F834,(($I$1-1)*-1),0)))</f>
        <v>171.45833333333334</v>
      </c>
      <c r="J834" s="6">
        <f ca="1">IF(ROW($J834)-1&lt;$K$1,$F834,AVERAGE($F834:OFFSET($F834,(($K$1-1)*-1),0)))</f>
        <v>174.78571428571428</v>
      </c>
      <c r="L834" s="7">
        <f t="shared" ca="1" si="72"/>
        <v>-1</v>
      </c>
      <c r="M834" s="7" t="str">
        <f t="shared" ca="1" si="73"/>
        <v/>
      </c>
      <c r="N834" s="6" t="str">
        <f t="shared" ca="1" si="74"/>
        <v/>
      </c>
      <c r="O834" s="6">
        <f t="shared" si="75"/>
        <v>3.0499999999999829</v>
      </c>
      <c r="Q834" s="6">
        <v>-0.65000000000000568</v>
      </c>
      <c r="R834" s="9">
        <f t="shared" si="76"/>
        <v>-243.75000000000213</v>
      </c>
      <c r="S834" s="7">
        <f t="shared" si="77"/>
        <v>-9900.0000000000109</v>
      </c>
    </row>
    <row r="835" spans="1:19" x14ac:dyDescent="0.25">
      <c r="A835" s="4">
        <f>Sheet1!A835</f>
        <v>40297</v>
      </c>
      <c r="B835" s="5">
        <f>Sheet1!B835</f>
        <v>0.58333333333333337</v>
      </c>
      <c r="C835" s="6">
        <f>Sheet1!C835</f>
        <v>173.35</v>
      </c>
      <c r="D835" s="6">
        <f>Sheet1!D835</f>
        <v>174.45</v>
      </c>
      <c r="E835" s="6">
        <f>Sheet1!E835</f>
        <v>172.65</v>
      </c>
      <c r="F835" s="6">
        <f>Sheet1!F835</f>
        <v>174.05</v>
      </c>
      <c r="H835" s="6">
        <f ca="1">IF(ROW($H835)-1&lt;$I$1,$F835,AVERAGE($F835:OFFSET($F835,(($I$1-1)*-1),0)))</f>
        <v>172.01666666666668</v>
      </c>
      <c r="J835" s="6">
        <f ca="1">IF(ROW($J835)-1&lt;$K$1,$F835,AVERAGE($F835:OFFSET($F835,(($K$1-1)*-1),0)))</f>
        <v>174.79642857142858</v>
      </c>
      <c r="L835" s="7">
        <f t="shared" ref="L835:L898" ca="1" si="78">IF(ROW($L835)&gt;($K$1),IF($H835&gt;$J835,1,IF($H835&lt;$J835,-1,$L834*-1)),0)</f>
        <v>-1</v>
      </c>
      <c r="M835" s="7" t="str">
        <f t="shared" ca="1" si="73"/>
        <v/>
      </c>
      <c r="N835" s="6" t="str">
        <f t="shared" ca="1" si="74"/>
        <v/>
      </c>
      <c r="O835" s="6">
        <f t="shared" si="75"/>
        <v>0.70000000000001705</v>
      </c>
      <c r="Q835" s="6">
        <v>-1.3500000000000227</v>
      </c>
      <c r="R835" s="9">
        <f t="shared" si="76"/>
        <v>-506.25000000000853</v>
      </c>
      <c r="S835" s="7">
        <f t="shared" si="77"/>
        <v>-9900.0000000000109</v>
      </c>
    </row>
    <row r="836" spans="1:19" x14ac:dyDescent="0.25">
      <c r="A836" s="4">
        <f>Sheet1!A836</f>
        <v>40298</v>
      </c>
      <c r="B836" s="5">
        <f>Sheet1!B836</f>
        <v>0.58333333333333337</v>
      </c>
      <c r="C836" s="6">
        <f>Sheet1!C836</f>
        <v>174.25</v>
      </c>
      <c r="D836" s="6">
        <f>Sheet1!D836</f>
        <v>175.2</v>
      </c>
      <c r="E836" s="6">
        <f>Sheet1!E836</f>
        <v>173.6</v>
      </c>
      <c r="F836" s="6">
        <f>Sheet1!F836</f>
        <v>174.75</v>
      </c>
      <c r="H836" s="6">
        <f ca="1">IF(ROW($H836)-1&lt;$I$1,$F836,AVERAGE($F836:OFFSET($F836,(($I$1-1)*-1),0)))</f>
        <v>172.65833333333333</v>
      </c>
      <c r="J836" s="6">
        <f ca="1">IF(ROW($J836)-1&lt;$K$1,$F836,AVERAGE($F836:OFFSET($F836,(($K$1-1)*-1),0)))</f>
        <v>174.81428571428572</v>
      </c>
      <c r="L836" s="7">
        <f t="shared" ca="1" si="78"/>
        <v>-1</v>
      </c>
      <c r="M836" s="7" t="str">
        <f t="shared" ref="M836:M899" ca="1" si="79">IF(L836&lt;&gt;L835,L836,"")</f>
        <v/>
      </c>
      <c r="N836" s="6" t="str">
        <f t="shared" ref="N836:N899" ca="1" si="80">IF(M835&lt;&gt;"",C836,"")</f>
        <v/>
      </c>
      <c r="O836" s="6">
        <f t="shared" ref="O836:O899" si="81">F836-F835</f>
        <v>0.69999999999998863</v>
      </c>
      <c r="Q836" s="6">
        <v>-2.0500000000000114</v>
      </c>
      <c r="R836" s="9">
        <f t="shared" ref="R836:R899" si="82">IF(Q836="","",Q836*375)</f>
        <v>-768.75000000000432</v>
      </c>
      <c r="S836" s="7">
        <f t="shared" si="77"/>
        <v>-9900.0000000000109</v>
      </c>
    </row>
    <row r="837" spans="1:19" x14ac:dyDescent="0.25">
      <c r="A837" s="4">
        <f>Sheet1!A837</f>
        <v>40301</v>
      </c>
      <c r="B837" s="5">
        <f>Sheet1!B837</f>
        <v>0.58333333333333337</v>
      </c>
      <c r="C837" s="6">
        <f>Sheet1!C837</f>
        <v>174.65</v>
      </c>
      <c r="D837" s="6">
        <f>Sheet1!D837</f>
        <v>178.1</v>
      </c>
      <c r="E837" s="6">
        <f>Sheet1!E837</f>
        <v>174.25</v>
      </c>
      <c r="F837" s="6">
        <f>Sheet1!F837</f>
        <v>178</v>
      </c>
      <c r="H837" s="6">
        <f ca="1">IF(ROW($H837)-1&lt;$I$1,$F837,AVERAGE($F837:OFFSET($F837,(($I$1-1)*-1),0)))</f>
        <v>173.75833333333333</v>
      </c>
      <c r="J837" s="6">
        <f ca="1">IF(ROW($J837)-1&lt;$K$1,$F837,AVERAGE($F837:OFFSET($F837,(($K$1-1)*-1),0)))</f>
        <v>174.8857142857143</v>
      </c>
      <c r="L837" s="7">
        <f t="shared" ca="1" si="78"/>
        <v>-1</v>
      </c>
      <c r="M837" s="7" t="str">
        <f t="shared" ca="1" si="79"/>
        <v/>
      </c>
      <c r="N837" s="6" t="str">
        <f t="shared" ca="1" si="80"/>
        <v/>
      </c>
      <c r="O837" s="6">
        <f t="shared" si="81"/>
        <v>3.25</v>
      </c>
      <c r="Q837" s="6">
        <v>-5.3000000000000114</v>
      </c>
      <c r="R837" s="9">
        <f t="shared" si="82"/>
        <v>-1987.5000000000043</v>
      </c>
      <c r="S837" s="7">
        <f t="shared" si="77"/>
        <v>-9900.0000000000109</v>
      </c>
    </row>
    <row r="838" spans="1:19" x14ac:dyDescent="0.25">
      <c r="A838" s="4">
        <f>Sheet1!A838</f>
        <v>40302</v>
      </c>
      <c r="B838" s="5">
        <f>Sheet1!B838</f>
        <v>0.58333333333333337</v>
      </c>
      <c r="C838" s="6">
        <f>Sheet1!C838</f>
        <v>178</v>
      </c>
      <c r="D838" s="6">
        <f>Sheet1!D838</f>
        <v>178.15</v>
      </c>
      <c r="E838" s="6">
        <f>Sheet1!E838</f>
        <v>175.85</v>
      </c>
      <c r="F838" s="6">
        <f>Sheet1!F838</f>
        <v>176.95</v>
      </c>
      <c r="H838" s="6">
        <f ca="1">IF(ROW($H838)-1&lt;$I$1,$F838,AVERAGE($F838:OFFSET($F838,(($I$1-1)*-1),0)))</f>
        <v>174.56666666666669</v>
      </c>
      <c r="J838" s="6">
        <f ca="1">IF(ROW($J838)-1&lt;$K$1,$F838,AVERAGE($F838:OFFSET($F838,(($K$1-1)*-1),0)))</f>
        <v>174.93571428571428</v>
      </c>
      <c r="L838" s="7">
        <f t="shared" ca="1" si="78"/>
        <v>-1</v>
      </c>
      <c r="M838" s="7" t="str">
        <f t="shared" ca="1" si="79"/>
        <v/>
      </c>
      <c r="N838" s="6" t="str">
        <f t="shared" ca="1" si="80"/>
        <v/>
      </c>
      <c r="O838" s="6">
        <f t="shared" si="81"/>
        <v>-1.0500000000000114</v>
      </c>
      <c r="Q838" s="6">
        <v>-4.25</v>
      </c>
      <c r="R838" s="9">
        <f t="shared" si="82"/>
        <v>-1593.75</v>
      </c>
      <c r="S838" s="7">
        <f t="shared" si="77"/>
        <v>-9900.0000000000109</v>
      </c>
    </row>
    <row r="839" spans="1:19" x14ac:dyDescent="0.25">
      <c r="A839" s="4">
        <f>Sheet1!A839</f>
        <v>40303</v>
      </c>
      <c r="B839" s="5">
        <f>Sheet1!B839</f>
        <v>0.58333333333333337</v>
      </c>
      <c r="C839" s="6">
        <f>Sheet1!C839</f>
        <v>176.95</v>
      </c>
      <c r="D839" s="6">
        <f>Sheet1!D839</f>
        <v>177.2</v>
      </c>
      <c r="E839" s="6">
        <f>Sheet1!E839</f>
        <v>176</v>
      </c>
      <c r="F839" s="6">
        <f>Sheet1!F839</f>
        <v>176.75</v>
      </c>
      <c r="H839" s="6">
        <f ca="1">IF(ROW($H839)-1&lt;$I$1,$F839,AVERAGE($F839:OFFSET($F839,(($I$1-1)*-1),0)))</f>
        <v>175.64166666666665</v>
      </c>
      <c r="J839" s="6">
        <f ca="1">IF(ROW($J839)-1&lt;$K$1,$F839,AVERAGE($F839:OFFSET($F839,(($K$1-1)*-1),0)))</f>
        <v>174.88214285714284</v>
      </c>
      <c r="L839" s="7">
        <f t="shared" ca="1" si="78"/>
        <v>1</v>
      </c>
      <c r="M839" s="7">
        <f t="shared" ca="1" si="79"/>
        <v>1</v>
      </c>
      <c r="N839" s="6" t="str">
        <f t="shared" ca="1" si="80"/>
        <v/>
      </c>
      <c r="O839" s="6">
        <f t="shared" si="81"/>
        <v>-0.19999999999998863</v>
      </c>
      <c r="Q839" s="6">
        <v>-4.0500000000000114</v>
      </c>
      <c r="R839" s="9">
        <f t="shared" si="82"/>
        <v>-1518.7500000000043</v>
      </c>
      <c r="S839" s="7">
        <f t="shared" si="77"/>
        <v>-9900.0000000000109</v>
      </c>
    </row>
    <row r="840" spans="1:19" x14ac:dyDescent="0.25">
      <c r="A840" s="4">
        <f>Sheet1!A840</f>
        <v>40304</v>
      </c>
      <c r="B840" s="5">
        <f>Sheet1!B840</f>
        <v>0.58333333333333337</v>
      </c>
      <c r="C840" s="6">
        <f>Sheet1!C840</f>
        <v>176.45</v>
      </c>
      <c r="D840" s="6">
        <f>Sheet1!D840</f>
        <v>176.55</v>
      </c>
      <c r="E840" s="6">
        <f>Sheet1!E840</f>
        <v>172.45</v>
      </c>
      <c r="F840" s="6">
        <f>Sheet1!F840</f>
        <v>172.65</v>
      </c>
      <c r="H840" s="6">
        <f ca="1">IF(ROW($H840)-1&lt;$I$1,$F840,AVERAGE($F840:OFFSET($F840,(($I$1-1)*-1),0)))</f>
        <v>175.52500000000001</v>
      </c>
      <c r="J840" s="6">
        <f ca="1">IF(ROW($J840)-1&lt;$K$1,$F840,AVERAGE($F840:OFFSET($F840,(($K$1-1)*-1),0)))</f>
        <v>174.72321428571425</v>
      </c>
      <c r="L840" s="7">
        <f t="shared" ca="1" si="78"/>
        <v>1</v>
      </c>
      <c r="M840" s="7" t="str">
        <f t="shared" ca="1" si="79"/>
        <v/>
      </c>
      <c r="N840" s="6">
        <f t="shared" ca="1" si="80"/>
        <v>176.45</v>
      </c>
      <c r="O840" s="6">
        <f t="shared" si="81"/>
        <v>-4.0999999999999943</v>
      </c>
      <c r="P840" s="6">
        <v>-3.75</v>
      </c>
      <c r="Q840" s="6">
        <v>-3.7999999999999829</v>
      </c>
      <c r="R840" s="9">
        <f t="shared" si="82"/>
        <v>-1424.9999999999936</v>
      </c>
      <c r="S840" s="7">
        <f t="shared" si="77"/>
        <v>-11306.250000000011</v>
      </c>
    </row>
    <row r="841" spans="1:19" x14ac:dyDescent="0.25">
      <c r="A841" s="4">
        <f>Sheet1!A841</f>
        <v>40305</v>
      </c>
      <c r="B841" s="5">
        <f>Sheet1!B841</f>
        <v>0.58333333333333337</v>
      </c>
      <c r="C841" s="6">
        <f>Sheet1!C841</f>
        <v>172.65</v>
      </c>
      <c r="D841" s="6">
        <f>Sheet1!D841</f>
        <v>174.05</v>
      </c>
      <c r="E841" s="6">
        <f>Sheet1!E841</f>
        <v>170.7</v>
      </c>
      <c r="F841" s="6">
        <f>Sheet1!F841</f>
        <v>173.35</v>
      </c>
      <c r="H841" s="6">
        <f ca="1">IF(ROW($H841)-1&lt;$I$1,$F841,AVERAGE($F841:OFFSET($F841,(($I$1-1)*-1),0)))</f>
        <v>175.40833333333333</v>
      </c>
      <c r="J841" s="6">
        <f ca="1">IF(ROW($J841)-1&lt;$K$1,$F841,AVERAGE($F841:OFFSET($F841,(($K$1-1)*-1),0)))</f>
        <v>174.50714285714284</v>
      </c>
      <c r="L841" s="7">
        <f t="shared" ca="1" si="78"/>
        <v>1</v>
      </c>
      <c r="M841" s="7" t="str">
        <f t="shared" ca="1" si="79"/>
        <v/>
      </c>
      <c r="N841" s="6" t="str">
        <f t="shared" ca="1" si="80"/>
        <v/>
      </c>
      <c r="O841" s="6">
        <f t="shared" si="81"/>
        <v>0.69999999999998863</v>
      </c>
      <c r="Q841" s="6">
        <v>-3.0999999999999943</v>
      </c>
      <c r="R841" s="9">
        <f t="shared" si="82"/>
        <v>-1162.499999999998</v>
      </c>
      <c r="S841" s="7">
        <f t="shared" si="77"/>
        <v>-11306.250000000011</v>
      </c>
    </row>
    <row r="842" spans="1:19" x14ac:dyDescent="0.25">
      <c r="A842" s="4">
        <f>Sheet1!A842</f>
        <v>40308</v>
      </c>
      <c r="B842" s="5">
        <f>Sheet1!B842</f>
        <v>0.58333333333333337</v>
      </c>
      <c r="C842" s="6">
        <f>Sheet1!C842</f>
        <v>173.95</v>
      </c>
      <c r="D842" s="6">
        <f>Sheet1!D842</f>
        <v>174.3</v>
      </c>
      <c r="E842" s="6">
        <f>Sheet1!E842</f>
        <v>172.45</v>
      </c>
      <c r="F842" s="6">
        <f>Sheet1!F842</f>
        <v>173.6</v>
      </c>
      <c r="H842" s="6">
        <f ca="1">IF(ROW($H842)-1&lt;$I$1,$F842,AVERAGE($F842:OFFSET($F842,(($I$1-1)*-1),0)))</f>
        <v>175.21666666666667</v>
      </c>
      <c r="J842" s="6">
        <f ca="1">IF(ROW($J842)-1&lt;$K$1,$F842,AVERAGE($F842:OFFSET($F842,(($K$1-1)*-1),0)))</f>
        <v>174.27142857142857</v>
      </c>
      <c r="L842" s="7">
        <f t="shared" ca="1" si="78"/>
        <v>1</v>
      </c>
      <c r="M842" s="7" t="str">
        <f t="shared" ca="1" si="79"/>
        <v/>
      </c>
      <c r="N842" s="6" t="str">
        <f t="shared" ca="1" si="80"/>
        <v/>
      </c>
      <c r="O842" s="6">
        <f t="shared" si="81"/>
        <v>0.25</v>
      </c>
      <c r="Q842" s="6">
        <v>-2.8499999999999943</v>
      </c>
      <c r="R842" s="9">
        <f t="shared" si="82"/>
        <v>-1068.749999999998</v>
      </c>
      <c r="S842" s="7">
        <f t="shared" si="77"/>
        <v>-11306.250000000011</v>
      </c>
    </row>
    <row r="843" spans="1:19" x14ac:dyDescent="0.25">
      <c r="A843" s="4">
        <f>Sheet1!A843</f>
        <v>40309</v>
      </c>
      <c r="B843" s="5">
        <f>Sheet1!B843</f>
        <v>0.58333333333333337</v>
      </c>
      <c r="C843" s="6">
        <f>Sheet1!C843</f>
        <v>173.35</v>
      </c>
      <c r="D843" s="6">
        <f>Sheet1!D843</f>
        <v>176.3</v>
      </c>
      <c r="E843" s="6">
        <f>Sheet1!E843</f>
        <v>173.05</v>
      </c>
      <c r="F843" s="6">
        <f>Sheet1!F843</f>
        <v>175.6</v>
      </c>
      <c r="H843" s="6">
        <f ca="1">IF(ROW($H843)-1&lt;$I$1,$F843,AVERAGE($F843:OFFSET($F843,(($I$1-1)*-1),0)))</f>
        <v>174.81666666666669</v>
      </c>
      <c r="J843" s="6">
        <f ca="1">IF(ROW($J843)-1&lt;$K$1,$F843,AVERAGE($F843:OFFSET($F843,(($K$1-1)*-1),0)))</f>
        <v>174.20714285714288</v>
      </c>
      <c r="L843" s="7">
        <f t="shared" ca="1" si="78"/>
        <v>1</v>
      </c>
      <c r="M843" s="7" t="str">
        <f t="shared" ca="1" si="79"/>
        <v/>
      </c>
      <c r="N843" s="6" t="str">
        <f t="shared" ca="1" si="80"/>
        <v/>
      </c>
      <c r="O843" s="6">
        <f t="shared" si="81"/>
        <v>2</v>
      </c>
      <c r="Q843" s="6">
        <v>-0.84999999999999432</v>
      </c>
      <c r="R843" s="9">
        <f t="shared" si="82"/>
        <v>-318.74999999999784</v>
      </c>
      <c r="S843" s="7">
        <f t="shared" si="77"/>
        <v>-11306.250000000011</v>
      </c>
    </row>
    <row r="844" spans="1:19" x14ac:dyDescent="0.25">
      <c r="A844" s="4">
        <f>Sheet1!A844</f>
        <v>40310</v>
      </c>
      <c r="B844" s="5">
        <f>Sheet1!B844</f>
        <v>0.58333333333333337</v>
      </c>
      <c r="C844" s="6">
        <f>Sheet1!C844</f>
        <v>175.35</v>
      </c>
      <c r="D844" s="6">
        <f>Sheet1!D844</f>
        <v>178.05</v>
      </c>
      <c r="E844" s="6">
        <f>Sheet1!E844</f>
        <v>175</v>
      </c>
      <c r="F844" s="6">
        <f>Sheet1!F844</f>
        <v>176.3</v>
      </c>
      <c r="H844" s="6">
        <f ca="1">IF(ROW($H844)-1&lt;$I$1,$F844,AVERAGE($F844:OFFSET($F844,(($I$1-1)*-1),0)))</f>
        <v>174.70833333333334</v>
      </c>
      <c r="J844" s="6">
        <f ca="1">IF(ROW($J844)-1&lt;$K$1,$F844,AVERAGE($F844:OFFSET($F844,(($K$1-1)*-1),0)))</f>
        <v>174.12321428571434</v>
      </c>
      <c r="L844" s="7">
        <f t="shared" ca="1" si="78"/>
        <v>1</v>
      </c>
      <c r="M844" s="7" t="str">
        <f t="shared" ca="1" si="79"/>
        <v/>
      </c>
      <c r="N844" s="6" t="str">
        <f t="shared" ca="1" si="80"/>
        <v/>
      </c>
      <c r="O844" s="6">
        <f t="shared" si="81"/>
        <v>0.70000000000001705</v>
      </c>
      <c r="Q844" s="6">
        <v>-0.14999999999997726</v>
      </c>
      <c r="R844" s="9">
        <f t="shared" si="82"/>
        <v>-56.249999999991473</v>
      </c>
      <c r="S844" s="7">
        <f t="shared" si="77"/>
        <v>-11306.250000000011</v>
      </c>
    </row>
    <row r="845" spans="1:19" x14ac:dyDescent="0.25">
      <c r="A845" s="4">
        <f>Sheet1!A845</f>
        <v>40311</v>
      </c>
      <c r="B845" s="5">
        <f>Sheet1!B845</f>
        <v>0.58333333333333337</v>
      </c>
      <c r="C845" s="6">
        <f>Sheet1!C845</f>
        <v>176.45</v>
      </c>
      <c r="D845" s="6">
        <f>Sheet1!D845</f>
        <v>177.4</v>
      </c>
      <c r="E845" s="6">
        <f>Sheet1!E845</f>
        <v>175.95</v>
      </c>
      <c r="F845" s="6">
        <f>Sheet1!F845</f>
        <v>176.55</v>
      </c>
      <c r="H845" s="6">
        <f ca="1">IF(ROW($H845)-1&lt;$I$1,$F845,AVERAGE($F845:OFFSET($F845,(($I$1-1)*-1),0)))</f>
        <v>174.67499999999998</v>
      </c>
      <c r="J845" s="6">
        <f ca="1">IF(ROW($J845)-1&lt;$K$1,$F845,AVERAGE($F845:OFFSET($F845,(($K$1-1)*-1),0)))</f>
        <v>173.96785714285718</v>
      </c>
      <c r="L845" s="7">
        <f t="shared" ca="1" si="78"/>
        <v>1</v>
      </c>
      <c r="M845" s="7" t="str">
        <f t="shared" ca="1" si="79"/>
        <v/>
      </c>
      <c r="N845" s="6" t="str">
        <f t="shared" ca="1" si="80"/>
        <v/>
      </c>
      <c r="O845" s="6">
        <f t="shared" si="81"/>
        <v>0.25</v>
      </c>
      <c r="Q845" s="6">
        <v>0.10000000000002274</v>
      </c>
      <c r="R845" s="9">
        <f t="shared" si="82"/>
        <v>37.500000000008527</v>
      </c>
      <c r="S845" s="7">
        <f t="shared" si="77"/>
        <v>-11306.250000000011</v>
      </c>
    </row>
    <row r="846" spans="1:19" x14ac:dyDescent="0.25">
      <c r="A846" s="4">
        <f>Sheet1!A846</f>
        <v>40312</v>
      </c>
      <c r="B846" s="5">
        <f>Sheet1!B846</f>
        <v>0.58333333333333337</v>
      </c>
      <c r="C846" s="6">
        <f>Sheet1!C846</f>
        <v>176.4</v>
      </c>
      <c r="D846" s="6">
        <f>Sheet1!D846</f>
        <v>177.35</v>
      </c>
      <c r="E846" s="6">
        <f>Sheet1!E846</f>
        <v>172.55</v>
      </c>
      <c r="F846" s="6">
        <f>Sheet1!F846</f>
        <v>173.75</v>
      </c>
      <c r="H846" s="6">
        <f ca="1">IF(ROW($H846)-1&lt;$I$1,$F846,AVERAGE($F846:OFFSET($F846,(($I$1-1)*-1),0)))</f>
        <v>174.85833333333332</v>
      </c>
      <c r="J846" s="6">
        <f ca="1">IF(ROW($J846)-1&lt;$K$1,$F846,AVERAGE($F846:OFFSET($F846,(($K$1-1)*-1),0)))</f>
        <v>173.72857142857146</v>
      </c>
      <c r="L846" s="7">
        <f t="shared" ca="1" si="78"/>
        <v>1</v>
      </c>
      <c r="M846" s="7" t="str">
        <f t="shared" ca="1" si="79"/>
        <v/>
      </c>
      <c r="N846" s="6" t="str">
        <f t="shared" ca="1" si="80"/>
        <v/>
      </c>
      <c r="O846" s="6">
        <f t="shared" si="81"/>
        <v>-2.8000000000000114</v>
      </c>
      <c r="Q846" s="6">
        <v>-2.6999999999999886</v>
      </c>
      <c r="R846" s="9">
        <f t="shared" si="82"/>
        <v>-1012.4999999999957</v>
      </c>
      <c r="S846" s="7">
        <f t="shared" si="77"/>
        <v>-11306.250000000011</v>
      </c>
    </row>
    <row r="847" spans="1:19" x14ac:dyDescent="0.25">
      <c r="A847" s="4">
        <f>Sheet1!A847</f>
        <v>40315</v>
      </c>
      <c r="B847" s="5">
        <f>Sheet1!B847</f>
        <v>0.58333333333333337</v>
      </c>
      <c r="C847" s="6">
        <f>Sheet1!C847</f>
        <v>173.5</v>
      </c>
      <c r="D847" s="6">
        <f>Sheet1!D847</f>
        <v>173.5</v>
      </c>
      <c r="E847" s="6">
        <f>Sheet1!E847</f>
        <v>171.45</v>
      </c>
      <c r="F847" s="6">
        <f>Sheet1!F847</f>
        <v>172</v>
      </c>
      <c r="H847" s="6">
        <f ca="1">IF(ROW($H847)-1&lt;$I$1,$F847,AVERAGE($F847:OFFSET($F847,(($I$1-1)*-1),0)))</f>
        <v>174.63333333333333</v>
      </c>
      <c r="J847" s="6">
        <f ca="1">IF(ROW($J847)-1&lt;$K$1,$F847,AVERAGE($F847:OFFSET($F847,(($K$1-1)*-1),0)))</f>
        <v>173.48571428571429</v>
      </c>
      <c r="L847" s="7">
        <f t="shared" ca="1" si="78"/>
        <v>1</v>
      </c>
      <c r="M847" s="7" t="str">
        <f t="shared" ca="1" si="79"/>
        <v/>
      </c>
      <c r="N847" s="6" t="str">
        <f t="shared" ca="1" si="80"/>
        <v/>
      </c>
      <c r="O847" s="6">
        <f t="shared" si="81"/>
        <v>-1.75</v>
      </c>
      <c r="Q847" s="6">
        <v>-4.4499999999999886</v>
      </c>
      <c r="R847" s="9">
        <f t="shared" si="82"/>
        <v>-1668.7499999999957</v>
      </c>
      <c r="S847" s="7">
        <f t="shared" si="77"/>
        <v>-11306.250000000011</v>
      </c>
    </row>
    <row r="848" spans="1:19" x14ac:dyDescent="0.25">
      <c r="A848" s="4">
        <f>Sheet1!A848</f>
        <v>40316</v>
      </c>
      <c r="B848" s="5">
        <f>Sheet1!B848</f>
        <v>0.58333333333333337</v>
      </c>
      <c r="C848" s="6">
        <f>Sheet1!C848</f>
        <v>172.5</v>
      </c>
      <c r="D848" s="6">
        <f>Sheet1!D848</f>
        <v>174.3</v>
      </c>
      <c r="E848" s="6">
        <f>Sheet1!E848</f>
        <v>172.45</v>
      </c>
      <c r="F848" s="6">
        <f>Sheet1!F848</f>
        <v>173.7</v>
      </c>
      <c r="H848" s="6">
        <f ca="1">IF(ROW($H848)-1&lt;$I$1,$F848,AVERAGE($F848:OFFSET($F848,(($I$1-1)*-1),0)))</f>
        <v>174.65</v>
      </c>
      <c r="J848" s="6">
        <f ca="1">IF(ROW($J848)-1&lt;$K$1,$F848,AVERAGE($F848:OFFSET($F848,(($K$1-1)*-1),0)))</f>
        <v>173.40535714285716</v>
      </c>
      <c r="L848" s="7">
        <f t="shared" ca="1" si="78"/>
        <v>1</v>
      </c>
      <c r="M848" s="7" t="str">
        <f t="shared" ca="1" si="79"/>
        <v/>
      </c>
      <c r="N848" s="6" t="str">
        <f t="shared" ca="1" si="80"/>
        <v/>
      </c>
      <c r="O848" s="6">
        <f t="shared" si="81"/>
        <v>1.6999999999999886</v>
      </c>
      <c r="Q848" s="6">
        <v>-2.75</v>
      </c>
      <c r="R848" s="9">
        <f t="shared" si="82"/>
        <v>-1031.25</v>
      </c>
      <c r="S848" s="7">
        <f t="shared" ref="S848:S911" si="83">S847+(P848*375)</f>
        <v>-11306.250000000011</v>
      </c>
    </row>
    <row r="849" spans="1:19" x14ac:dyDescent="0.25">
      <c r="A849" s="4">
        <f>Sheet1!A849</f>
        <v>40317</v>
      </c>
      <c r="B849" s="5">
        <f>Sheet1!B849</f>
        <v>0.58333333333333337</v>
      </c>
      <c r="C849" s="6">
        <f>Sheet1!C849</f>
        <v>173.45</v>
      </c>
      <c r="D849" s="6">
        <f>Sheet1!D849</f>
        <v>173.45</v>
      </c>
      <c r="E849" s="6">
        <f>Sheet1!E849</f>
        <v>171.65</v>
      </c>
      <c r="F849" s="6">
        <f>Sheet1!F849</f>
        <v>171.95</v>
      </c>
      <c r="H849" s="6">
        <f ca="1">IF(ROW($H849)-1&lt;$I$1,$F849,AVERAGE($F849:OFFSET($F849,(($I$1-1)*-1),0)))</f>
        <v>174.04166666666666</v>
      </c>
      <c r="J849" s="6">
        <f ca="1">IF(ROW($J849)-1&lt;$K$1,$F849,AVERAGE($F849:OFFSET($F849,(($K$1-1)*-1),0)))</f>
        <v>173.33392857142854</v>
      </c>
      <c r="L849" s="7">
        <f t="shared" ca="1" si="78"/>
        <v>1</v>
      </c>
      <c r="M849" s="7" t="str">
        <f t="shared" ca="1" si="79"/>
        <v/>
      </c>
      <c r="N849" s="6" t="str">
        <f t="shared" ca="1" si="80"/>
        <v/>
      </c>
      <c r="O849" s="6">
        <f t="shared" si="81"/>
        <v>-1.75</v>
      </c>
      <c r="Q849" s="6">
        <v>-4.5</v>
      </c>
      <c r="R849" s="9">
        <f t="shared" si="82"/>
        <v>-1687.5</v>
      </c>
      <c r="S849" s="7">
        <f t="shared" si="83"/>
        <v>-11306.250000000011</v>
      </c>
    </row>
    <row r="850" spans="1:19" x14ac:dyDescent="0.25">
      <c r="A850" s="4">
        <f>Sheet1!A850</f>
        <v>40318</v>
      </c>
      <c r="B850" s="5">
        <f>Sheet1!B850</f>
        <v>0.58333333333333337</v>
      </c>
      <c r="C850" s="6">
        <f>Sheet1!C850</f>
        <v>172.25</v>
      </c>
      <c r="D850" s="6">
        <f>Sheet1!D850</f>
        <v>172.65</v>
      </c>
      <c r="E850" s="6">
        <f>Sheet1!E850</f>
        <v>169.7</v>
      </c>
      <c r="F850" s="6">
        <f>Sheet1!F850</f>
        <v>171.1</v>
      </c>
      <c r="H850" s="6">
        <f ca="1">IF(ROW($H850)-1&lt;$I$1,$F850,AVERAGE($F850:OFFSET($F850,(($I$1-1)*-1),0)))</f>
        <v>173.17499999999998</v>
      </c>
      <c r="J850" s="6">
        <f ca="1">IF(ROW($J850)-1&lt;$K$1,$F850,AVERAGE($F850:OFFSET($F850,(($K$1-1)*-1),0)))</f>
        <v>173.20357142857145</v>
      </c>
      <c r="L850" s="7">
        <f t="shared" ca="1" si="78"/>
        <v>-1</v>
      </c>
      <c r="M850" s="7">
        <f t="shared" ca="1" si="79"/>
        <v>-1</v>
      </c>
      <c r="N850" s="6" t="str">
        <f t="shared" ca="1" si="80"/>
        <v/>
      </c>
      <c r="O850" s="6">
        <f t="shared" si="81"/>
        <v>-0.84999999999999432</v>
      </c>
      <c r="Q850" s="6">
        <v>-5.3499999999999943</v>
      </c>
      <c r="R850" s="9">
        <f t="shared" si="82"/>
        <v>-2006.249999999998</v>
      </c>
      <c r="S850" s="7">
        <f t="shared" si="83"/>
        <v>-11306.250000000011</v>
      </c>
    </row>
    <row r="851" spans="1:19" x14ac:dyDescent="0.25">
      <c r="A851" s="4">
        <f>Sheet1!A851</f>
        <v>40319</v>
      </c>
      <c r="B851" s="5">
        <f>Sheet1!B851</f>
        <v>0.58333333333333337</v>
      </c>
      <c r="C851" s="6">
        <f>Sheet1!C851</f>
        <v>171.6</v>
      </c>
      <c r="D851" s="6">
        <f>Sheet1!D851</f>
        <v>172.5</v>
      </c>
      <c r="E851" s="6">
        <f>Sheet1!E851</f>
        <v>170.55</v>
      </c>
      <c r="F851" s="6">
        <f>Sheet1!F851</f>
        <v>171.85</v>
      </c>
      <c r="H851" s="6">
        <f ca="1">IF(ROW($H851)-1&lt;$I$1,$F851,AVERAGE($F851:OFFSET($F851,(($I$1-1)*-1),0)))</f>
        <v>172.39166666666668</v>
      </c>
      <c r="J851" s="6">
        <f ca="1">IF(ROW($J851)-1&lt;$K$1,$F851,AVERAGE($F851:OFFSET($F851,(($K$1-1)*-1),0)))</f>
        <v>173.15178571428572</v>
      </c>
      <c r="L851" s="7">
        <f t="shared" ca="1" si="78"/>
        <v>-1</v>
      </c>
      <c r="M851" s="7" t="str">
        <f t="shared" ca="1" si="79"/>
        <v/>
      </c>
      <c r="N851" s="6">
        <f t="shared" ca="1" si="80"/>
        <v>171.6</v>
      </c>
      <c r="O851" s="6">
        <f t="shared" si="81"/>
        <v>0.75</v>
      </c>
      <c r="P851" s="6">
        <v>-4.8499999999999943</v>
      </c>
      <c r="Q851" s="6">
        <v>-0.25</v>
      </c>
      <c r="R851" s="9">
        <f t="shared" si="82"/>
        <v>-93.75</v>
      </c>
      <c r="S851" s="7">
        <f t="shared" si="83"/>
        <v>-13125.000000000009</v>
      </c>
    </row>
    <row r="852" spans="1:19" x14ac:dyDescent="0.25">
      <c r="A852" s="4">
        <f>Sheet1!A852</f>
        <v>40322</v>
      </c>
      <c r="B852" s="5">
        <f>Sheet1!B852</f>
        <v>0.58333333333333337</v>
      </c>
      <c r="C852" s="6">
        <f>Sheet1!C852</f>
        <v>171.85</v>
      </c>
      <c r="D852" s="6">
        <f>Sheet1!D852</f>
        <v>172.45</v>
      </c>
      <c r="E852" s="6">
        <f>Sheet1!E852</f>
        <v>171.05</v>
      </c>
      <c r="F852" s="6">
        <f>Sheet1!F852</f>
        <v>171.7</v>
      </c>
      <c r="H852" s="6">
        <f ca="1">IF(ROW($H852)-1&lt;$I$1,$F852,AVERAGE($F852:OFFSET($F852,(($I$1-1)*-1),0)))</f>
        <v>172.04999999999998</v>
      </c>
      <c r="J852" s="6">
        <f ca="1">IF(ROW($J852)-1&lt;$K$1,$F852,AVERAGE($F852:OFFSET($F852,(($K$1-1)*-1),0)))</f>
        <v>173.10714285714286</v>
      </c>
      <c r="L852" s="7">
        <f t="shared" ca="1" si="78"/>
        <v>-1</v>
      </c>
      <c r="M852" s="7" t="str">
        <f t="shared" ca="1" si="79"/>
        <v/>
      </c>
      <c r="N852" s="6" t="str">
        <f t="shared" ca="1" si="80"/>
        <v/>
      </c>
      <c r="O852" s="6">
        <f t="shared" si="81"/>
        <v>-0.15000000000000568</v>
      </c>
      <c r="Q852" s="6">
        <v>-9.9999999999994316E-2</v>
      </c>
      <c r="R852" s="9">
        <f t="shared" si="82"/>
        <v>-37.499999999997868</v>
      </c>
      <c r="S852" s="7">
        <f t="shared" si="83"/>
        <v>-13125.000000000009</v>
      </c>
    </row>
    <row r="853" spans="1:19" x14ac:dyDescent="0.25">
      <c r="A853" s="4">
        <f>Sheet1!A853</f>
        <v>40323</v>
      </c>
      <c r="B853" s="5">
        <f>Sheet1!B853</f>
        <v>0.58333333333333337</v>
      </c>
      <c r="C853" s="6">
        <f>Sheet1!C853</f>
        <v>171.35</v>
      </c>
      <c r="D853" s="6">
        <f>Sheet1!D853</f>
        <v>172.75</v>
      </c>
      <c r="E853" s="6">
        <f>Sheet1!E853</f>
        <v>170.05</v>
      </c>
      <c r="F853" s="6">
        <f>Sheet1!F853</f>
        <v>172.2</v>
      </c>
      <c r="H853" s="6">
        <f ca="1">IF(ROW($H853)-1&lt;$I$1,$F853,AVERAGE($F853:OFFSET($F853,(($I$1-1)*-1),0)))</f>
        <v>172.08333333333334</v>
      </c>
      <c r="J853" s="6">
        <f ca="1">IF(ROW($J853)-1&lt;$K$1,$F853,AVERAGE($F853:OFFSET($F853,(($K$1-1)*-1),0)))</f>
        <v>173.08392857142854</v>
      </c>
      <c r="L853" s="7">
        <f t="shared" ca="1" si="78"/>
        <v>-1</v>
      </c>
      <c r="M853" s="7" t="str">
        <f t="shared" ca="1" si="79"/>
        <v/>
      </c>
      <c r="N853" s="6" t="str">
        <f t="shared" ca="1" si="80"/>
        <v/>
      </c>
      <c r="O853" s="6">
        <f t="shared" si="81"/>
        <v>0.5</v>
      </c>
      <c r="Q853" s="6">
        <v>-0.59999999999999432</v>
      </c>
      <c r="R853" s="9">
        <f t="shared" si="82"/>
        <v>-224.99999999999787</v>
      </c>
      <c r="S853" s="7">
        <f t="shared" si="83"/>
        <v>-13125.000000000009</v>
      </c>
    </row>
    <row r="854" spans="1:19" x14ac:dyDescent="0.25">
      <c r="A854" s="4">
        <f>Sheet1!A854</f>
        <v>40324</v>
      </c>
      <c r="B854" s="5">
        <f>Sheet1!B854</f>
        <v>0.58333333333333337</v>
      </c>
      <c r="C854" s="6">
        <f>Sheet1!C854</f>
        <v>172.2</v>
      </c>
      <c r="D854" s="6">
        <f>Sheet1!D854</f>
        <v>175.05</v>
      </c>
      <c r="E854" s="6">
        <f>Sheet1!E854</f>
        <v>172.05</v>
      </c>
      <c r="F854" s="6">
        <f>Sheet1!F854</f>
        <v>173.15</v>
      </c>
      <c r="H854" s="6">
        <f ca="1">IF(ROW($H854)-1&lt;$I$1,$F854,AVERAGE($F854:OFFSET($F854,(($I$1-1)*-1),0)))</f>
        <v>171.99166666666667</v>
      </c>
      <c r="J854" s="6">
        <f ca="1">IF(ROW($J854)-1&lt;$K$1,$F854,AVERAGE($F854:OFFSET($F854,(($K$1-1)*-1),0)))</f>
        <v>173.18749999999997</v>
      </c>
      <c r="L854" s="7">
        <f t="shared" ca="1" si="78"/>
        <v>-1</v>
      </c>
      <c r="M854" s="7" t="str">
        <f t="shared" ca="1" si="79"/>
        <v/>
      </c>
      <c r="N854" s="6" t="str">
        <f t="shared" ca="1" si="80"/>
        <v/>
      </c>
      <c r="O854" s="6">
        <f t="shared" si="81"/>
        <v>0.95000000000001705</v>
      </c>
      <c r="Q854" s="6">
        <v>-1.5500000000000114</v>
      </c>
      <c r="R854" s="9">
        <f t="shared" si="82"/>
        <v>-581.25000000000432</v>
      </c>
      <c r="S854" s="7">
        <f t="shared" si="83"/>
        <v>-13125.000000000009</v>
      </c>
    </row>
    <row r="855" spans="1:19" x14ac:dyDescent="0.25">
      <c r="A855" s="4">
        <f>Sheet1!A855</f>
        <v>40325</v>
      </c>
      <c r="B855" s="5">
        <f>Sheet1!B855</f>
        <v>0.58333333333333337</v>
      </c>
      <c r="C855" s="6">
        <f>Sheet1!C855</f>
        <v>173.45</v>
      </c>
      <c r="D855" s="6">
        <f>Sheet1!D855</f>
        <v>174.6</v>
      </c>
      <c r="E855" s="6">
        <f>Sheet1!E855</f>
        <v>173</v>
      </c>
      <c r="F855" s="6">
        <f>Sheet1!F855</f>
        <v>174.2</v>
      </c>
      <c r="H855" s="6">
        <f ca="1">IF(ROW($H855)-1&lt;$I$1,$F855,AVERAGE($F855:OFFSET($F855,(($I$1-1)*-1),0)))</f>
        <v>172.36666666666665</v>
      </c>
      <c r="J855" s="6">
        <f ca="1">IF(ROW($J855)-1&lt;$K$1,$F855,AVERAGE($F855:OFFSET($F855,(($K$1-1)*-1),0)))</f>
        <v>173.33035714285711</v>
      </c>
      <c r="L855" s="7">
        <f t="shared" ca="1" si="78"/>
        <v>-1</v>
      </c>
      <c r="M855" s="7" t="str">
        <f t="shared" ca="1" si="79"/>
        <v/>
      </c>
      <c r="N855" s="6" t="str">
        <f t="shared" ca="1" si="80"/>
        <v/>
      </c>
      <c r="O855" s="6">
        <f t="shared" si="81"/>
        <v>1.0499999999999829</v>
      </c>
      <c r="Q855" s="6">
        <v>-2.5999999999999943</v>
      </c>
      <c r="R855" s="9">
        <f t="shared" si="82"/>
        <v>-974.99999999999784</v>
      </c>
      <c r="S855" s="7">
        <f t="shared" si="83"/>
        <v>-13125.000000000009</v>
      </c>
    </row>
    <row r="856" spans="1:19" x14ac:dyDescent="0.25">
      <c r="A856" s="4">
        <f>Sheet1!A856</f>
        <v>40326</v>
      </c>
      <c r="B856" s="5">
        <f>Sheet1!B856</f>
        <v>0.58333333333333337</v>
      </c>
      <c r="C856" s="6">
        <f>Sheet1!C856</f>
        <v>174.45</v>
      </c>
      <c r="D856" s="6">
        <f>Sheet1!D856</f>
        <v>174.9</v>
      </c>
      <c r="E856" s="6">
        <f>Sheet1!E856</f>
        <v>173.35</v>
      </c>
      <c r="F856" s="6">
        <f>Sheet1!F856</f>
        <v>173.7</v>
      </c>
      <c r="H856" s="6">
        <f ca="1">IF(ROW($H856)-1&lt;$I$1,$F856,AVERAGE($F856:OFFSET($F856,(($I$1-1)*-1),0)))</f>
        <v>172.79999999999998</v>
      </c>
      <c r="J856" s="6">
        <f ca="1">IF(ROW($J856)-1&lt;$K$1,$F856,AVERAGE($F856:OFFSET($F856,(($K$1-1)*-1),0)))</f>
        <v>173.44999999999996</v>
      </c>
      <c r="L856" s="7">
        <f t="shared" ca="1" si="78"/>
        <v>-1</v>
      </c>
      <c r="M856" s="7" t="str">
        <f t="shared" ca="1" si="79"/>
        <v/>
      </c>
      <c r="N856" s="6" t="str">
        <f t="shared" ca="1" si="80"/>
        <v/>
      </c>
      <c r="O856" s="6">
        <f t="shared" si="81"/>
        <v>-0.5</v>
      </c>
      <c r="Q856" s="6">
        <v>-2.0999999999999943</v>
      </c>
      <c r="R856" s="9">
        <f t="shared" si="82"/>
        <v>-787.49999999999784</v>
      </c>
      <c r="S856" s="7">
        <f t="shared" si="83"/>
        <v>-13125.000000000009</v>
      </c>
    </row>
    <row r="857" spans="1:19" x14ac:dyDescent="0.25">
      <c r="A857" s="4">
        <f>Sheet1!A857</f>
        <v>40330</v>
      </c>
      <c r="B857" s="5">
        <f>Sheet1!B857</f>
        <v>0.58333333333333337</v>
      </c>
      <c r="C857" s="6">
        <f>Sheet1!C857</f>
        <v>173.45</v>
      </c>
      <c r="D857" s="6">
        <f>Sheet1!D857</f>
        <v>177.05</v>
      </c>
      <c r="E857" s="6">
        <f>Sheet1!E857</f>
        <v>172.6</v>
      </c>
      <c r="F857" s="6">
        <f>Sheet1!F857</f>
        <v>176</v>
      </c>
      <c r="H857" s="6">
        <f ca="1">IF(ROW($H857)-1&lt;$I$1,$F857,AVERAGE($F857:OFFSET($F857,(($I$1-1)*-1),0)))</f>
        <v>173.49166666666667</v>
      </c>
      <c r="J857" s="6">
        <f ca="1">IF(ROW($J857)-1&lt;$K$1,$F857,AVERAGE($F857:OFFSET($F857,(($K$1-1)*-1),0)))</f>
        <v>173.63928571428568</v>
      </c>
      <c r="L857" s="7">
        <f t="shared" ca="1" si="78"/>
        <v>-1</v>
      </c>
      <c r="M857" s="7" t="str">
        <f t="shared" ca="1" si="79"/>
        <v/>
      </c>
      <c r="N857" s="6" t="str">
        <f t="shared" ca="1" si="80"/>
        <v/>
      </c>
      <c r="O857" s="6">
        <f t="shared" si="81"/>
        <v>2.3000000000000114</v>
      </c>
      <c r="Q857" s="6">
        <v>-4.4000000000000057</v>
      </c>
      <c r="R857" s="9">
        <f t="shared" si="82"/>
        <v>-1650.000000000002</v>
      </c>
      <c r="S857" s="7">
        <f t="shared" si="83"/>
        <v>-13125.000000000009</v>
      </c>
    </row>
    <row r="858" spans="1:19" x14ac:dyDescent="0.25">
      <c r="A858" s="4">
        <f>Sheet1!A858</f>
        <v>40331</v>
      </c>
      <c r="B858" s="5">
        <f>Sheet1!B858</f>
        <v>0.58333333333333337</v>
      </c>
      <c r="C858" s="6">
        <f>Sheet1!C858</f>
        <v>176</v>
      </c>
      <c r="D858" s="6">
        <f>Sheet1!D858</f>
        <v>177.55</v>
      </c>
      <c r="E858" s="6">
        <f>Sheet1!E858</f>
        <v>174.65</v>
      </c>
      <c r="F858" s="6">
        <f>Sheet1!F858</f>
        <v>174.85</v>
      </c>
      <c r="H858" s="6">
        <f ca="1">IF(ROW($H858)-1&lt;$I$1,$F858,AVERAGE($F858:OFFSET($F858,(($I$1-1)*-1),0)))</f>
        <v>174.01666666666665</v>
      </c>
      <c r="J858" s="6">
        <f ca="1">IF(ROW($J858)-1&lt;$K$1,$F858,AVERAGE($F858:OFFSET($F858,(($K$1-1)*-1),0)))</f>
        <v>173.78035714285713</v>
      </c>
      <c r="L858" s="7">
        <f t="shared" ca="1" si="78"/>
        <v>1</v>
      </c>
      <c r="M858" s="7">
        <f t="shared" ca="1" si="79"/>
        <v>1</v>
      </c>
      <c r="N858" s="6" t="str">
        <f t="shared" ca="1" si="80"/>
        <v/>
      </c>
      <c r="O858" s="6">
        <f t="shared" si="81"/>
        <v>-1.1500000000000057</v>
      </c>
      <c r="Q858" s="6">
        <v>-3.25</v>
      </c>
      <c r="R858" s="9">
        <f t="shared" si="82"/>
        <v>-1218.75</v>
      </c>
      <c r="S858" s="7">
        <f t="shared" si="83"/>
        <v>-13125.000000000009</v>
      </c>
    </row>
    <row r="859" spans="1:19" x14ac:dyDescent="0.25">
      <c r="A859" s="4">
        <f>Sheet1!A859</f>
        <v>40332</v>
      </c>
      <c r="B859" s="5">
        <f>Sheet1!B859</f>
        <v>0.58333333333333337</v>
      </c>
      <c r="C859" s="6">
        <f>Sheet1!C859</f>
        <v>175.3</v>
      </c>
      <c r="D859" s="6">
        <f>Sheet1!D859</f>
        <v>175.75</v>
      </c>
      <c r="E859" s="6">
        <f>Sheet1!E859</f>
        <v>174.45</v>
      </c>
      <c r="F859" s="6">
        <f>Sheet1!F859</f>
        <v>175.05</v>
      </c>
      <c r="H859" s="6">
        <f ca="1">IF(ROW($H859)-1&lt;$I$1,$F859,AVERAGE($F859:OFFSET($F859,(($I$1-1)*-1),0)))</f>
        <v>174.49166666666667</v>
      </c>
      <c r="J859" s="6">
        <f ca="1">IF(ROW($J859)-1&lt;$K$1,$F859,AVERAGE($F859:OFFSET($F859,(($K$1-1)*-1),0)))</f>
        <v>173.91071428571428</v>
      </c>
      <c r="L859" s="7">
        <f t="shared" ca="1" si="78"/>
        <v>1</v>
      </c>
      <c r="M859" s="7" t="str">
        <f t="shared" ca="1" si="79"/>
        <v/>
      </c>
      <c r="N859" s="6">
        <f t="shared" ca="1" si="80"/>
        <v>175.3</v>
      </c>
      <c r="O859" s="6">
        <f t="shared" si="81"/>
        <v>0.20000000000001705</v>
      </c>
      <c r="P859" s="6">
        <v>-3.7000000000000171</v>
      </c>
      <c r="Q859" s="6">
        <v>-0.25</v>
      </c>
      <c r="R859" s="9">
        <f t="shared" si="82"/>
        <v>-93.75</v>
      </c>
      <c r="S859" s="7">
        <f t="shared" si="83"/>
        <v>-14512.500000000015</v>
      </c>
    </row>
    <row r="860" spans="1:19" x14ac:dyDescent="0.25">
      <c r="A860" s="4">
        <f>Sheet1!A860</f>
        <v>40333</v>
      </c>
      <c r="B860" s="5">
        <f>Sheet1!B860</f>
        <v>0.58333333333333337</v>
      </c>
      <c r="C860" s="6">
        <f>Sheet1!C860</f>
        <v>175.55</v>
      </c>
      <c r="D860" s="6">
        <f>Sheet1!D860</f>
        <v>175.6</v>
      </c>
      <c r="E860" s="6">
        <f>Sheet1!E860</f>
        <v>172.85</v>
      </c>
      <c r="F860" s="6">
        <f>Sheet1!F860</f>
        <v>173.2</v>
      </c>
      <c r="H860" s="6">
        <f ca="1">IF(ROW($H860)-1&lt;$I$1,$F860,AVERAGE($F860:OFFSET($F860,(($I$1-1)*-1),0)))</f>
        <v>174.5</v>
      </c>
      <c r="J860" s="6">
        <f ca="1">IF(ROW($J860)-1&lt;$K$1,$F860,AVERAGE($F860:OFFSET($F860,(($K$1-1)*-1),0)))</f>
        <v>173.95</v>
      </c>
      <c r="L860" s="7">
        <f t="shared" ca="1" si="78"/>
        <v>1</v>
      </c>
      <c r="M860" s="7" t="str">
        <f t="shared" ca="1" si="79"/>
        <v/>
      </c>
      <c r="N860" s="6" t="str">
        <f t="shared" ca="1" si="80"/>
        <v/>
      </c>
      <c r="O860" s="6">
        <f t="shared" si="81"/>
        <v>-1.8500000000000227</v>
      </c>
      <c r="Q860" s="6">
        <v>-2.1000000000000227</v>
      </c>
      <c r="R860" s="9">
        <f t="shared" si="82"/>
        <v>-787.50000000000853</v>
      </c>
      <c r="S860" s="7">
        <f t="shared" si="83"/>
        <v>-14512.500000000015</v>
      </c>
    </row>
    <row r="861" spans="1:19" x14ac:dyDescent="0.25">
      <c r="A861" s="4">
        <f>Sheet1!A861</f>
        <v>40336</v>
      </c>
      <c r="B861" s="5">
        <f>Sheet1!B861</f>
        <v>0.58333333333333337</v>
      </c>
      <c r="C861" s="6">
        <f>Sheet1!C861</f>
        <v>172.85</v>
      </c>
      <c r="D861" s="6">
        <f>Sheet1!D861</f>
        <v>173.1</v>
      </c>
      <c r="E861" s="6">
        <f>Sheet1!E861</f>
        <v>172</v>
      </c>
      <c r="F861" s="6">
        <f>Sheet1!F861</f>
        <v>172.55</v>
      </c>
      <c r="H861" s="6">
        <f ca="1">IF(ROW($H861)-1&lt;$I$1,$F861,AVERAGE($F861:OFFSET($F861,(($I$1-1)*-1),0)))</f>
        <v>174.22499999999999</v>
      </c>
      <c r="J861" s="6">
        <f ca="1">IF(ROW($J861)-1&lt;$K$1,$F861,AVERAGE($F861:OFFSET($F861,(($K$1-1)*-1),0)))</f>
        <v>174.03035714285713</v>
      </c>
      <c r="L861" s="7">
        <f t="shared" ca="1" si="78"/>
        <v>1</v>
      </c>
      <c r="M861" s="7" t="str">
        <f t="shared" ca="1" si="79"/>
        <v/>
      </c>
      <c r="N861" s="6" t="str">
        <f t="shared" ca="1" si="80"/>
        <v/>
      </c>
      <c r="O861" s="6">
        <f t="shared" si="81"/>
        <v>-0.64999999999997726</v>
      </c>
      <c r="Q861" s="6">
        <v>-2.75</v>
      </c>
      <c r="R861" s="9">
        <f t="shared" si="82"/>
        <v>-1031.25</v>
      </c>
      <c r="S861" s="7">
        <f t="shared" si="83"/>
        <v>-14512.500000000015</v>
      </c>
    </row>
    <row r="862" spans="1:19" x14ac:dyDescent="0.25">
      <c r="A862" s="4">
        <f>Sheet1!A862</f>
        <v>40337</v>
      </c>
      <c r="B862" s="5">
        <f>Sheet1!B862</f>
        <v>0.58333333333333337</v>
      </c>
      <c r="C862" s="6">
        <f>Sheet1!C862</f>
        <v>172.55</v>
      </c>
      <c r="D862" s="6">
        <f>Sheet1!D862</f>
        <v>173.55</v>
      </c>
      <c r="E862" s="6">
        <f>Sheet1!E862</f>
        <v>172.25</v>
      </c>
      <c r="F862" s="6">
        <f>Sheet1!F862</f>
        <v>173</v>
      </c>
      <c r="H862" s="6">
        <f ca="1">IF(ROW($H862)-1&lt;$I$1,$F862,AVERAGE($F862:OFFSET($F862,(($I$1-1)*-1),0)))</f>
        <v>174.10833333333335</v>
      </c>
      <c r="J862" s="6">
        <f ca="1">IF(ROW($J862)-1&lt;$K$1,$F862,AVERAGE($F862:OFFSET($F862,(($K$1-1)*-1),0)))</f>
        <v>174.01785714285711</v>
      </c>
      <c r="L862" s="7">
        <f t="shared" ca="1" si="78"/>
        <v>1</v>
      </c>
      <c r="M862" s="7" t="str">
        <f t="shared" ca="1" si="79"/>
        <v/>
      </c>
      <c r="N862" s="6" t="str">
        <f t="shared" ca="1" si="80"/>
        <v/>
      </c>
      <c r="O862" s="6">
        <f t="shared" si="81"/>
        <v>0.44999999999998863</v>
      </c>
      <c r="Q862" s="6">
        <v>-2.3000000000000114</v>
      </c>
      <c r="R862" s="9">
        <f t="shared" si="82"/>
        <v>-862.50000000000432</v>
      </c>
      <c r="S862" s="7">
        <f t="shared" si="83"/>
        <v>-14512.500000000015</v>
      </c>
    </row>
    <row r="863" spans="1:19" x14ac:dyDescent="0.25">
      <c r="A863" s="4">
        <f>Sheet1!A863</f>
        <v>40338</v>
      </c>
      <c r="B863" s="5">
        <f>Sheet1!B863</f>
        <v>0.58333333333333337</v>
      </c>
      <c r="C863" s="6">
        <f>Sheet1!C863</f>
        <v>173.45</v>
      </c>
      <c r="D863" s="6">
        <f>Sheet1!D863</f>
        <v>174.1</v>
      </c>
      <c r="E863" s="6">
        <f>Sheet1!E863</f>
        <v>172.7</v>
      </c>
      <c r="F863" s="6">
        <f>Sheet1!F863</f>
        <v>173.9</v>
      </c>
      <c r="H863" s="6">
        <f ca="1">IF(ROW($H863)-1&lt;$I$1,$F863,AVERAGE($F863:OFFSET($F863,(($I$1-1)*-1),0)))</f>
        <v>173.75833333333333</v>
      </c>
      <c r="J863" s="6">
        <f ca="1">IF(ROW($J863)-1&lt;$K$1,$F863,AVERAGE($F863:OFFSET($F863,(($K$1-1)*-1),0)))</f>
        <v>174.01249999999996</v>
      </c>
      <c r="L863" s="7">
        <f t="shared" ca="1" si="78"/>
        <v>-1</v>
      </c>
      <c r="M863" s="7">
        <f t="shared" ca="1" si="79"/>
        <v>-1</v>
      </c>
      <c r="N863" s="6" t="str">
        <f t="shared" ca="1" si="80"/>
        <v/>
      </c>
      <c r="O863" s="6">
        <f t="shared" si="81"/>
        <v>0.90000000000000568</v>
      </c>
      <c r="Q863" s="6">
        <v>-1.4000000000000057</v>
      </c>
      <c r="R863" s="9">
        <f t="shared" si="82"/>
        <v>-525.00000000000216</v>
      </c>
      <c r="S863" s="7">
        <f t="shared" si="83"/>
        <v>-14512.500000000015</v>
      </c>
    </row>
    <row r="864" spans="1:19" x14ac:dyDescent="0.25">
      <c r="A864" s="4">
        <f>Sheet1!A864</f>
        <v>40339</v>
      </c>
      <c r="B864" s="5">
        <f>Sheet1!B864</f>
        <v>0.58333333333333337</v>
      </c>
      <c r="C864" s="6">
        <f>Sheet1!C864</f>
        <v>174</v>
      </c>
      <c r="D864" s="6">
        <f>Sheet1!D864</f>
        <v>177.15</v>
      </c>
      <c r="E864" s="6">
        <f>Sheet1!E864</f>
        <v>173.25</v>
      </c>
      <c r="F864" s="6">
        <f>Sheet1!F864</f>
        <v>176.45</v>
      </c>
      <c r="H864" s="6">
        <f ca="1">IF(ROW($H864)-1&lt;$I$1,$F864,AVERAGE($F864:OFFSET($F864,(($I$1-1)*-1),0)))</f>
        <v>174.02499999999998</v>
      </c>
      <c r="J864" s="6">
        <f ca="1">IF(ROW($J864)-1&lt;$K$1,$F864,AVERAGE($F864:OFFSET($F864,(($K$1-1)*-1),0)))</f>
        <v>174.07321428571422</v>
      </c>
      <c r="L864" s="7">
        <f t="shared" ca="1" si="78"/>
        <v>-1</v>
      </c>
      <c r="M864" s="7" t="str">
        <f t="shared" ca="1" si="79"/>
        <v/>
      </c>
      <c r="N864" s="6">
        <f t="shared" ca="1" si="80"/>
        <v>174</v>
      </c>
      <c r="O864" s="6">
        <f t="shared" si="81"/>
        <v>2.5499999999999829</v>
      </c>
      <c r="P864" s="6">
        <v>-1.3000000000000114</v>
      </c>
      <c r="Q864" s="6">
        <v>-2.4499999999999886</v>
      </c>
      <c r="R864" s="9">
        <f t="shared" si="82"/>
        <v>-918.74999999999568</v>
      </c>
      <c r="S864" s="7">
        <f t="shared" si="83"/>
        <v>-15000.000000000018</v>
      </c>
    </row>
    <row r="865" spans="1:19" x14ac:dyDescent="0.25">
      <c r="A865" s="4">
        <f>Sheet1!A865</f>
        <v>40340</v>
      </c>
      <c r="B865" s="5">
        <f>Sheet1!B865</f>
        <v>0.58333333333333337</v>
      </c>
      <c r="C865" s="6">
        <f>Sheet1!C865</f>
        <v>176.55</v>
      </c>
      <c r="D865" s="6">
        <f>Sheet1!D865</f>
        <v>185.45</v>
      </c>
      <c r="E865" s="6">
        <f>Sheet1!E865</f>
        <v>176.45</v>
      </c>
      <c r="F865" s="6">
        <f>Sheet1!F865</f>
        <v>184</v>
      </c>
      <c r="H865" s="6">
        <f ca="1">IF(ROW($H865)-1&lt;$I$1,$F865,AVERAGE($F865:OFFSET($F865,(($I$1-1)*-1),0)))</f>
        <v>175.51666666666665</v>
      </c>
      <c r="J865" s="6">
        <f ca="1">IF(ROW($J865)-1&lt;$K$1,$F865,AVERAGE($F865:OFFSET($F865,(($K$1-1)*-1),0)))</f>
        <v>174.28749999999994</v>
      </c>
      <c r="L865" s="7">
        <f t="shared" ca="1" si="78"/>
        <v>1</v>
      </c>
      <c r="M865" s="7">
        <f t="shared" ca="1" si="79"/>
        <v>1</v>
      </c>
      <c r="N865" s="6" t="str">
        <f t="shared" ca="1" si="80"/>
        <v/>
      </c>
      <c r="O865" s="6">
        <f t="shared" si="81"/>
        <v>7.5500000000000114</v>
      </c>
      <c r="Q865" s="6">
        <v>-10</v>
      </c>
      <c r="R865" s="9">
        <f t="shared" si="82"/>
        <v>-3750</v>
      </c>
      <c r="S865" s="7">
        <f t="shared" si="83"/>
        <v>-15000.000000000018</v>
      </c>
    </row>
    <row r="866" spans="1:19" x14ac:dyDescent="0.25">
      <c r="A866" s="4">
        <f>Sheet1!A866</f>
        <v>40343</v>
      </c>
      <c r="B866" s="5">
        <f>Sheet1!B866</f>
        <v>0.58333333333333337</v>
      </c>
      <c r="C866" s="6">
        <f>Sheet1!C866</f>
        <v>184</v>
      </c>
      <c r="D866" s="6">
        <f>Sheet1!D866</f>
        <v>190.2</v>
      </c>
      <c r="E866" s="6">
        <f>Sheet1!E866</f>
        <v>183.05</v>
      </c>
      <c r="F866" s="6">
        <f>Sheet1!F866</f>
        <v>189.5</v>
      </c>
      <c r="H866" s="6">
        <f ca="1">IF(ROW($H866)-1&lt;$I$1,$F866,AVERAGE($F866:OFFSET($F866,(($I$1-1)*-1),0)))</f>
        <v>178.23333333333335</v>
      </c>
      <c r="J866" s="6">
        <f ca="1">IF(ROW($J866)-1&lt;$K$1,$F866,AVERAGE($F866:OFFSET($F866,(($K$1-1)*-1),0)))</f>
        <v>174.73571428571427</v>
      </c>
      <c r="L866" s="7">
        <f t="shared" ca="1" si="78"/>
        <v>1</v>
      </c>
      <c r="M866" s="7" t="str">
        <f t="shared" ca="1" si="79"/>
        <v/>
      </c>
      <c r="N866" s="6">
        <f t="shared" ca="1" si="80"/>
        <v>184</v>
      </c>
      <c r="O866" s="6">
        <f t="shared" si="81"/>
        <v>5.5</v>
      </c>
      <c r="P866" s="6">
        <v>-10</v>
      </c>
      <c r="Q866" s="6">
        <v>5.5</v>
      </c>
      <c r="R866" s="9">
        <f t="shared" si="82"/>
        <v>2062.5</v>
      </c>
      <c r="S866" s="7">
        <f t="shared" si="83"/>
        <v>-18750.000000000018</v>
      </c>
    </row>
    <row r="867" spans="1:19" x14ac:dyDescent="0.25">
      <c r="A867" s="4">
        <f>Sheet1!A867</f>
        <v>40344</v>
      </c>
      <c r="B867" s="5">
        <f>Sheet1!B867</f>
        <v>0.58333333333333337</v>
      </c>
      <c r="C867" s="6">
        <f>Sheet1!C867</f>
        <v>188.9</v>
      </c>
      <c r="D867" s="6">
        <f>Sheet1!D867</f>
        <v>198.95</v>
      </c>
      <c r="E867" s="6">
        <f>Sheet1!E867</f>
        <v>186.05</v>
      </c>
      <c r="F867" s="6">
        <f>Sheet1!F867</f>
        <v>197.85</v>
      </c>
      <c r="H867" s="6">
        <f ca="1">IF(ROW($H867)-1&lt;$I$1,$F867,AVERAGE($F867:OFFSET($F867,(($I$1-1)*-1),0)))</f>
        <v>182.44999999999996</v>
      </c>
      <c r="J867" s="6">
        <f ca="1">IF(ROW($J867)-1&lt;$K$1,$F867,AVERAGE($F867:OFFSET($F867,(($K$1-1)*-1),0)))</f>
        <v>175.4892857142857</v>
      </c>
      <c r="L867" s="7">
        <f t="shared" ca="1" si="78"/>
        <v>1</v>
      </c>
      <c r="M867" s="7" t="str">
        <f t="shared" ca="1" si="79"/>
        <v/>
      </c>
      <c r="N867" s="6" t="str">
        <f t="shared" ca="1" si="80"/>
        <v/>
      </c>
      <c r="O867" s="6">
        <f t="shared" si="81"/>
        <v>8.3499999999999943</v>
      </c>
      <c r="Q867" s="6">
        <v>13.849999999999994</v>
      </c>
      <c r="R867" s="9">
        <f t="shared" si="82"/>
        <v>5193.7499999999982</v>
      </c>
      <c r="S867" s="7">
        <f t="shared" si="83"/>
        <v>-18750.000000000018</v>
      </c>
    </row>
    <row r="868" spans="1:19" x14ac:dyDescent="0.25">
      <c r="A868" s="4">
        <f>Sheet1!A868</f>
        <v>40345</v>
      </c>
      <c r="B868" s="5">
        <f>Sheet1!B868</f>
        <v>0.58333333333333337</v>
      </c>
      <c r="C868" s="6">
        <f>Sheet1!C868</f>
        <v>197.5</v>
      </c>
      <c r="D868" s="6">
        <f>Sheet1!D868</f>
        <v>200.85</v>
      </c>
      <c r="E868" s="6">
        <f>Sheet1!E868</f>
        <v>195.5</v>
      </c>
      <c r="F868" s="6">
        <f>Sheet1!F868</f>
        <v>197.5</v>
      </c>
      <c r="H868" s="6">
        <f ca="1">IF(ROW($H868)-1&lt;$I$1,$F868,AVERAGE($F868:OFFSET($F868,(($I$1-1)*-1),0)))</f>
        <v>186.53333333333333</v>
      </c>
      <c r="J868" s="6">
        <f ca="1">IF(ROW($J868)-1&lt;$K$1,$F868,AVERAGE($F868:OFFSET($F868,(($K$1-1)*-1),0)))</f>
        <v>176.37678571428572</v>
      </c>
      <c r="L868" s="7">
        <f t="shared" ca="1" si="78"/>
        <v>1</v>
      </c>
      <c r="M868" s="7" t="str">
        <f t="shared" ca="1" si="79"/>
        <v/>
      </c>
      <c r="N868" s="6" t="str">
        <f t="shared" ca="1" si="80"/>
        <v/>
      </c>
      <c r="O868" s="6">
        <f t="shared" si="81"/>
        <v>-0.34999999999999432</v>
      </c>
      <c r="Q868" s="6">
        <v>13.5</v>
      </c>
      <c r="R868" s="9">
        <f t="shared" si="82"/>
        <v>5062.5</v>
      </c>
      <c r="S868" s="7">
        <f t="shared" si="83"/>
        <v>-18750.000000000018</v>
      </c>
    </row>
    <row r="869" spans="1:19" x14ac:dyDescent="0.25">
      <c r="A869" s="4">
        <f>Sheet1!A869</f>
        <v>40346</v>
      </c>
      <c r="B869" s="5">
        <f>Sheet1!B869</f>
        <v>0.58333333333333337</v>
      </c>
      <c r="C869" s="6">
        <f>Sheet1!C869</f>
        <v>196.7</v>
      </c>
      <c r="D869" s="6">
        <f>Sheet1!D869</f>
        <v>198.8</v>
      </c>
      <c r="E869" s="6">
        <f>Sheet1!E869</f>
        <v>194.55</v>
      </c>
      <c r="F869" s="6">
        <f>Sheet1!F869</f>
        <v>195.7</v>
      </c>
      <c r="H869" s="6">
        <f ca="1">IF(ROW($H869)-1&lt;$I$1,$F869,AVERAGE($F869:OFFSET($F869,(($I$1-1)*-1),0)))</f>
        <v>190.16666666666666</v>
      </c>
      <c r="J869" s="6">
        <f ca="1">IF(ROW($J869)-1&lt;$K$1,$F869,AVERAGE($F869:OFFSET($F869,(($K$1-1)*-1),0)))</f>
        <v>177.17499999999998</v>
      </c>
      <c r="L869" s="7">
        <f t="shared" ca="1" si="78"/>
        <v>1</v>
      </c>
      <c r="M869" s="7" t="str">
        <f t="shared" ca="1" si="79"/>
        <v/>
      </c>
      <c r="N869" s="6" t="str">
        <f t="shared" ca="1" si="80"/>
        <v/>
      </c>
      <c r="O869" s="6">
        <f t="shared" si="81"/>
        <v>-1.8000000000000114</v>
      </c>
      <c r="Q869" s="6">
        <v>11.699999999999989</v>
      </c>
      <c r="R869" s="9">
        <f t="shared" si="82"/>
        <v>4387.4999999999955</v>
      </c>
      <c r="S869" s="7">
        <f t="shared" si="83"/>
        <v>-18750.000000000018</v>
      </c>
    </row>
    <row r="870" spans="1:19" x14ac:dyDescent="0.25">
      <c r="A870" s="4">
        <f>Sheet1!A870</f>
        <v>40347</v>
      </c>
      <c r="B870" s="5">
        <f>Sheet1!B870</f>
        <v>0.58333333333333337</v>
      </c>
      <c r="C870" s="6">
        <f>Sheet1!C870</f>
        <v>195.4</v>
      </c>
      <c r="D870" s="6">
        <f>Sheet1!D870</f>
        <v>200.95</v>
      </c>
      <c r="E870" s="6">
        <f>Sheet1!E870</f>
        <v>193.3</v>
      </c>
      <c r="F870" s="6">
        <f>Sheet1!F870</f>
        <v>200</v>
      </c>
      <c r="H870" s="6">
        <f ca="1">IF(ROW($H870)-1&lt;$I$1,$F870,AVERAGE($F870:OFFSET($F870,(($I$1-1)*-1),0)))</f>
        <v>194.09166666666667</v>
      </c>
      <c r="J870" s="6">
        <f ca="1">IF(ROW($J870)-1&lt;$K$1,$F870,AVERAGE($F870:OFFSET($F870,(($K$1-1)*-1),0)))</f>
        <v>178.11785714285716</v>
      </c>
      <c r="L870" s="7">
        <f t="shared" ca="1" si="78"/>
        <v>1</v>
      </c>
      <c r="M870" s="7" t="str">
        <f t="shared" ca="1" si="79"/>
        <v/>
      </c>
      <c r="N870" s="6" t="str">
        <f t="shared" ca="1" si="80"/>
        <v/>
      </c>
      <c r="O870" s="6">
        <f t="shared" si="81"/>
        <v>4.3000000000000114</v>
      </c>
      <c r="Q870" s="6">
        <v>16</v>
      </c>
      <c r="R870" s="9">
        <f t="shared" si="82"/>
        <v>6000</v>
      </c>
      <c r="S870" s="7">
        <f t="shared" si="83"/>
        <v>-18750.000000000018</v>
      </c>
    </row>
    <row r="871" spans="1:19" x14ac:dyDescent="0.25">
      <c r="A871" s="4">
        <f>Sheet1!A871</f>
        <v>40350</v>
      </c>
      <c r="B871" s="5">
        <f>Sheet1!B871</f>
        <v>0.58333333333333337</v>
      </c>
      <c r="C871" s="6">
        <f>Sheet1!C871</f>
        <v>199.9</v>
      </c>
      <c r="D871" s="6">
        <f>Sheet1!D871</f>
        <v>203.35</v>
      </c>
      <c r="E871" s="6">
        <f>Sheet1!E871</f>
        <v>196.25</v>
      </c>
      <c r="F871" s="6">
        <f>Sheet1!F871</f>
        <v>198.7</v>
      </c>
      <c r="H871" s="6">
        <f ca="1">IF(ROW($H871)-1&lt;$I$1,$F871,AVERAGE($F871:OFFSET($F871,(($I$1-1)*-1),0)))</f>
        <v>196.54166666666666</v>
      </c>
      <c r="J871" s="6">
        <f ca="1">IF(ROW($J871)-1&lt;$K$1,$F871,AVERAGE($F871:OFFSET($F871,(($K$1-1)*-1),0)))</f>
        <v>178.94285714285712</v>
      </c>
      <c r="L871" s="7">
        <f t="shared" ca="1" si="78"/>
        <v>1</v>
      </c>
      <c r="M871" s="7" t="str">
        <f t="shared" ca="1" si="79"/>
        <v/>
      </c>
      <c r="N871" s="6" t="str">
        <f t="shared" ca="1" si="80"/>
        <v/>
      </c>
      <c r="O871" s="6">
        <f t="shared" si="81"/>
        <v>-1.3000000000000114</v>
      </c>
      <c r="Q871" s="6">
        <v>14.699999999999989</v>
      </c>
      <c r="R871" s="9">
        <f t="shared" si="82"/>
        <v>5512.4999999999955</v>
      </c>
      <c r="S871" s="7">
        <f t="shared" si="83"/>
        <v>-18750.000000000018</v>
      </c>
    </row>
    <row r="872" spans="1:19" x14ac:dyDescent="0.25">
      <c r="A872" s="4">
        <f>Sheet1!A872</f>
        <v>40351</v>
      </c>
      <c r="B872" s="5">
        <f>Sheet1!B872</f>
        <v>0.58333333333333337</v>
      </c>
      <c r="C872" s="6">
        <f>Sheet1!C872</f>
        <v>197.65</v>
      </c>
      <c r="D872" s="6">
        <f>Sheet1!D872</f>
        <v>200.35</v>
      </c>
      <c r="E872" s="6">
        <f>Sheet1!E872</f>
        <v>195.35</v>
      </c>
      <c r="F872" s="6">
        <f>Sheet1!F872</f>
        <v>198.65</v>
      </c>
      <c r="H872" s="6">
        <f ca="1">IF(ROW($H872)-1&lt;$I$1,$F872,AVERAGE($F872:OFFSET($F872,(($I$1-1)*-1),0)))</f>
        <v>198.06666666666669</v>
      </c>
      <c r="J872" s="6">
        <f ca="1">IF(ROW($J872)-1&lt;$K$1,$F872,AVERAGE($F872:OFFSET($F872,(($K$1-1)*-1),0)))</f>
        <v>179.74107142857139</v>
      </c>
      <c r="L872" s="7">
        <f t="shared" ca="1" si="78"/>
        <v>1</v>
      </c>
      <c r="M872" s="7" t="str">
        <f t="shared" ca="1" si="79"/>
        <v/>
      </c>
      <c r="N872" s="6" t="str">
        <f t="shared" ca="1" si="80"/>
        <v/>
      </c>
      <c r="O872" s="6">
        <f t="shared" si="81"/>
        <v>-4.9999999999982947E-2</v>
      </c>
      <c r="Q872" s="6">
        <v>14.650000000000006</v>
      </c>
      <c r="R872" s="9">
        <f t="shared" si="82"/>
        <v>5493.7500000000018</v>
      </c>
      <c r="S872" s="7">
        <f t="shared" si="83"/>
        <v>-18750.000000000018</v>
      </c>
    </row>
    <row r="873" spans="1:19" x14ac:dyDescent="0.25">
      <c r="A873" s="4">
        <f>Sheet1!A873</f>
        <v>40352</v>
      </c>
      <c r="B873" s="5">
        <f>Sheet1!B873</f>
        <v>0.58333333333333337</v>
      </c>
      <c r="C873" s="6">
        <f>Sheet1!C873</f>
        <v>198.2</v>
      </c>
      <c r="D873" s="6">
        <f>Sheet1!D873</f>
        <v>199.35</v>
      </c>
      <c r="E873" s="6">
        <f>Sheet1!E873</f>
        <v>196.75</v>
      </c>
      <c r="F873" s="6">
        <f>Sheet1!F873</f>
        <v>198.4</v>
      </c>
      <c r="H873" s="6">
        <f ca="1">IF(ROW($H873)-1&lt;$I$1,$F873,AVERAGE($F873:OFFSET($F873,(($I$1-1)*-1),0)))</f>
        <v>198.15833333333333</v>
      </c>
      <c r="J873" s="6">
        <f ca="1">IF(ROW($J873)-1&lt;$K$1,$F873,AVERAGE($F873:OFFSET($F873,(($K$1-1)*-1),0)))</f>
        <v>180.52142857142854</v>
      </c>
      <c r="L873" s="7">
        <f t="shared" ca="1" si="78"/>
        <v>1</v>
      </c>
      <c r="M873" s="7" t="str">
        <f t="shared" ca="1" si="79"/>
        <v/>
      </c>
      <c r="N873" s="6" t="str">
        <f t="shared" ca="1" si="80"/>
        <v/>
      </c>
      <c r="O873" s="6">
        <f t="shared" si="81"/>
        <v>-0.25</v>
      </c>
      <c r="Q873" s="6">
        <v>14.400000000000006</v>
      </c>
      <c r="R873" s="9">
        <f t="shared" si="82"/>
        <v>5400.0000000000018</v>
      </c>
      <c r="S873" s="7">
        <f t="shared" si="83"/>
        <v>-18750.000000000018</v>
      </c>
    </row>
    <row r="874" spans="1:19" x14ac:dyDescent="0.25">
      <c r="A874" s="4">
        <f>Sheet1!A874</f>
        <v>40353</v>
      </c>
      <c r="B874" s="5">
        <f>Sheet1!B874</f>
        <v>0.58333333333333337</v>
      </c>
      <c r="C874" s="6">
        <f>Sheet1!C874</f>
        <v>198.4</v>
      </c>
      <c r="D874" s="6">
        <f>Sheet1!D874</f>
        <v>214.4</v>
      </c>
      <c r="E874" s="6">
        <f>Sheet1!E874</f>
        <v>198.4</v>
      </c>
      <c r="F874" s="6">
        <f>Sheet1!F874</f>
        <v>206.65</v>
      </c>
      <c r="H874" s="6">
        <f ca="1">IF(ROW($H874)-1&lt;$I$1,$F874,AVERAGE($F874:OFFSET($F874,(($I$1-1)*-1),0)))</f>
        <v>199.68333333333331</v>
      </c>
      <c r="J874" s="6">
        <f ca="1">IF(ROW($J874)-1&lt;$K$1,$F874,AVERAGE($F874:OFFSET($F874,(($K$1-1)*-1),0)))</f>
        <v>181.69642857142853</v>
      </c>
      <c r="L874" s="7">
        <f t="shared" ca="1" si="78"/>
        <v>1</v>
      </c>
      <c r="M874" s="7" t="str">
        <f t="shared" ca="1" si="79"/>
        <v/>
      </c>
      <c r="N874" s="6" t="str">
        <f t="shared" ca="1" si="80"/>
        <v/>
      </c>
      <c r="O874" s="6">
        <f t="shared" si="81"/>
        <v>8.25</v>
      </c>
      <c r="Q874" s="6">
        <v>22.650000000000006</v>
      </c>
      <c r="R874" s="9">
        <f t="shared" si="82"/>
        <v>8493.7500000000018</v>
      </c>
      <c r="S874" s="7">
        <f t="shared" si="83"/>
        <v>-18750.000000000018</v>
      </c>
    </row>
    <row r="875" spans="1:19" x14ac:dyDescent="0.25">
      <c r="A875" s="4">
        <f>Sheet1!A875</f>
        <v>40354</v>
      </c>
      <c r="B875" s="5">
        <f>Sheet1!B875</f>
        <v>0.58333333333333337</v>
      </c>
      <c r="C875" s="6">
        <f>Sheet1!C875</f>
        <v>206.7</v>
      </c>
      <c r="D875" s="6">
        <f>Sheet1!D875</f>
        <v>208.75</v>
      </c>
      <c r="E875" s="6">
        <f>Sheet1!E875</f>
        <v>203.9</v>
      </c>
      <c r="F875" s="6">
        <f>Sheet1!F875</f>
        <v>206.8</v>
      </c>
      <c r="H875" s="6">
        <f ca="1">IF(ROW($H875)-1&lt;$I$1,$F875,AVERAGE($F875:OFFSET($F875,(($I$1-1)*-1),0)))</f>
        <v>201.53333333333333</v>
      </c>
      <c r="J875" s="6">
        <f ca="1">IF(ROW($J875)-1&lt;$K$1,$F875,AVERAGE($F875:OFFSET($F875,(($K$1-1)*-1),0)))</f>
        <v>182.93928571428569</v>
      </c>
      <c r="L875" s="7">
        <f t="shared" ca="1" si="78"/>
        <v>1</v>
      </c>
      <c r="M875" s="7" t="str">
        <f t="shared" ca="1" si="79"/>
        <v/>
      </c>
      <c r="N875" s="6" t="str">
        <f t="shared" ca="1" si="80"/>
        <v/>
      </c>
      <c r="O875" s="6">
        <f t="shared" si="81"/>
        <v>0.15000000000000568</v>
      </c>
      <c r="Q875" s="6">
        <v>22.800000000000011</v>
      </c>
      <c r="R875" s="9">
        <f t="shared" si="82"/>
        <v>8550.0000000000036</v>
      </c>
      <c r="S875" s="7">
        <f t="shared" si="83"/>
        <v>-18750.000000000018</v>
      </c>
    </row>
    <row r="876" spans="1:19" x14ac:dyDescent="0.25">
      <c r="A876" s="4">
        <f>Sheet1!A876</f>
        <v>40357</v>
      </c>
      <c r="B876" s="5">
        <f>Sheet1!B876</f>
        <v>0.58333333333333337</v>
      </c>
      <c r="C876" s="6">
        <f>Sheet1!C876</f>
        <v>205.9</v>
      </c>
      <c r="D876" s="6">
        <f>Sheet1!D876</f>
        <v>208.55</v>
      </c>
      <c r="E876" s="6">
        <f>Sheet1!E876</f>
        <v>205.3</v>
      </c>
      <c r="F876" s="6">
        <f>Sheet1!F876</f>
        <v>206</v>
      </c>
      <c r="H876" s="6">
        <f ca="1">IF(ROW($H876)-1&lt;$I$1,$F876,AVERAGE($F876:OFFSET($F876,(($I$1-1)*-1),0)))</f>
        <v>202.53333333333333</v>
      </c>
      <c r="J876" s="6">
        <f ca="1">IF(ROW($J876)-1&lt;$K$1,$F876,AVERAGE($F876:OFFSET($F876,(($K$1-1)*-1),0)))</f>
        <v>184.0928571428571</v>
      </c>
      <c r="L876" s="7">
        <f t="shared" ca="1" si="78"/>
        <v>1</v>
      </c>
      <c r="M876" s="7" t="str">
        <f t="shared" ca="1" si="79"/>
        <v/>
      </c>
      <c r="N876" s="6" t="str">
        <f t="shared" ca="1" si="80"/>
        <v/>
      </c>
      <c r="O876" s="6">
        <f t="shared" si="81"/>
        <v>-0.80000000000001137</v>
      </c>
      <c r="Q876" s="6">
        <v>22</v>
      </c>
      <c r="R876" s="9">
        <f t="shared" si="82"/>
        <v>8250</v>
      </c>
      <c r="S876" s="7">
        <f t="shared" si="83"/>
        <v>-18750.000000000018</v>
      </c>
    </row>
    <row r="877" spans="1:19" x14ac:dyDescent="0.25">
      <c r="A877" s="4">
        <f>Sheet1!A877</f>
        <v>40358</v>
      </c>
      <c r="B877" s="5">
        <f>Sheet1!B877</f>
        <v>0.58333333333333337</v>
      </c>
      <c r="C877" s="6">
        <f>Sheet1!C877</f>
        <v>205.4</v>
      </c>
      <c r="D877" s="6">
        <f>Sheet1!D877</f>
        <v>205.9</v>
      </c>
      <c r="E877" s="6">
        <f>Sheet1!E877</f>
        <v>198</v>
      </c>
      <c r="F877" s="6">
        <f>Sheet1!F877</f>
        <v>201.05</v>
      </c>
      <c r="H877" s="6">
        <f ca="1">IF(ROW($H877)-1&lt;$I$1,$F877,AVERAGE($F877:OFFSET($F877,(($I$1-1)*-1),0)))</f>
        <v>202.92499999999998</v>
      </c>
      <c r="J877" s="6">
        <f ca="1">IF(ROW($J877)-1&lt;$K$1,$F877,AVERAGE($F877:OFFSET($F877,(($K$1-1)*-1),0)))</f>
        <v>185.13214285714281</v>
      </c>
      <c r="L877" s="7">
        <f t="shared" ca="1" si="78"/>
        <v>1</v>
      </c>
      <c r="M877" s="7" t="str">
        <f t="shared" ca="1" si="79"/>
        <v/>
      </c>
      <c r="N877" s="6" t="str">
        <f t="shared" ca="1" si="80"/>
        <v/>
      </c>
      <c r="O877" s="6">
        <f t="shared" si="81"/>
        <v>-4.9499999999999886</v>
      </c>
      <c r="Q877" s="6">
        <v>17.050000000000011</v>
      </c>
      <c r="R877" s="9">
        <f t="shared" si="82"/>
        <v>6393.7500000000045</v>
      </c>
      <c r="S877" s="7">
        <f t="shared" si="83"/>
        <v>-18750.000000000018</v>
      </c>
    </row>
    <row r="878" spans="1:19" x14ac:dyDescent="0.25">
      <c r="A878" s="4">
        <f>Sheet1!A878</f>
        <v>40359</v>
      </c>
      <c r="B878" s="5">
        <f>Sheet1!B878</f>
        <v>0.58333333333333337</v>
      </c>
      <c r="C878" s="6">
        <f>Sheet1!C878</f>
        <v>201.05</v>
      </c>
      <c r="D878" s="6">
        <f>Sheet1!D878</f>
        <v>204.5</v>
      </c>
      <c r="E878" s="6">
        <f>Sheet1!E878</f>
        <v>198.45</v>
      </c>
      <c r="F878" s="6">
        <f>Sheet1!F878</f>
        <v>203.75</v>
      </c>
      <c r="H878" s="6">
        <f ca="1">IF(ROW($H878)-1&lt;$I$1,$F878,AVERAGE($F878:OFFSET($F878,(($I$1-1)*-1),0)))</f>
        <v>203.77500000000001</v>
      </c>
      <c r="J878" s="6">
        <f ca="1">IF(ROW($J878)-1&lt;$K$1,$F878,AVERAGE($F878:OFFSET($F878,(($K$1-1)*-1),0)))</f>
        <v>186.29821428571427</v>
      </c>
      <c r="L878" s="7">
        <f t="shared" ca="1" si="78"/>
        <v>1</v>
      </c>
      <c r="M878" s="7" t="str">
        <f t="shared" ca="1" si="79"/>
        <v/>
      </c>
      <c r="N878" s="6" t="str">
        <f t="shared" ca="1" si="80"/>
        <v/>
      </c>
      <c r="O878" s="6">
        <f t="shared" si="81"/>
        <v>2.6999999999999886</v>
      </c>
      <c r="Q878" s="6">
        <v>19.75</v>
      </c>
      <c r="R878" s="9">
        <f t="shared" si="82"/>
        <v>7406.25</v>
      </c>
      <c r="S878" s="7">
        <f t="shared" si="83"/>
        <v>-18750.000000000018</v>
      </c>
    </row>
    <row r="879" spans="1:19" x14ac:dyDescent="0.25">
      <c r="A879" s="4">
        <f>Sheet1!A879</f>
        <v>40360</v>
      </c>
      <c r="B879" s="5">
        <f>Sheet1!B879</f>
        <v>0.58333333333333337</v>
      </c>
      <c r="C879" s="6">
        <f>Sheet1!C879</f>
        <v>203.35</v>
      </c>
      <c r="D879" s="6">
        <f>Sheet1!D879</f>
        <v>207.15</v>
      </c>
      <c r="E879" s="6">
        <f>Sheet1!E879</f>
        <v>202.1</v>
      </c>
      <c r="F879" s="6">
        <f>Sheet1!F879</f>
        <v>206.15</v>
      </c>
      <c r="H879" s="6">
        <f ca="1">IF(ROW($H879)-1&lt;$I$1,$F879,AVERAGE($F879:OFFSET($F879,(($I$1-1)*-1),0)))</f>
        <v>205.06666666666669</v>
      </c>
      <c r="J879" s="6">
        <f ca="1">IF(ROW($J879)-1&lt;$K$1,$F879,AVERAGE($F879:OFFSET($F879,(($K$1-1)*-1),0)))</f>
        <v>187.52321428571426</v>
      </c>
      <c r="L879" s="7">
        <f t="shared" ca="1" si="78"/>
        <v>1</v>
      </c>
      <c r="M879" s="7" t="str">
        <f t="shared" ca="1" si="79"/>
        <v/>
      </c>
      <c r="N879" s="6" t="str">
        <f t="shared" ca="1" si="80"/>
        <v/>
      </c>
      <c r="O879" s="6">
        <f t="shared" si="81"/>
        <v>2.4000000000000057</v>
      </c>
      <c r="Q879" s="6">
        <v>22.150000000000006</v>
      </c>
      <c r="R879" s="9">
        <f t="shared" si="82"/>
        <v>8306.2500000000018</v>
      </c>
      <c r="S879" s="7">
        <f t="shared" si="83"/>
        <v>-18750.000000000018</v>
      </c>
    </row>
    <row r="880" spans="1:19" x14ac:dyDescent="0.25">
      <c r="A880" s="4">
        <f>Sheet1!A880</f>
        <v>40361</v>
      </c>
      <c r="B880" s="5">
        <f>Sheet1!B880</f>
        <v>0.58333333333333337</v>
      </c>
      <c r="C880" s="6">
        <f>Sheet1!C880</f>
        <v>205.7</v>
      </c>
      <c r="D880" s="6">
        <f>Sheet1!D880</f>
        <v>206.1</v>
      </c>
      <c r="E880" s="6">
        <f>Sheet1!E880</f>
        <v>201.65</v>
      </c>
      <c r="F880" s="6">
        <f>Sheet1!F880</f>
        <v>202.2</v>
      </c>
      <c r="H880" s="6">
        <f ca="1">IF(ROW($H880)-1&lt;$I$1,$F880,AVERAGE($F880:OFFSET($F880,(($I$1-1)*-1),0)))</f>
        <v>204.32500000000002</v>
      </c>
      <c r="J880" s="6">
        <f ca="1">IF(ROW($J880)-1&lt;$K$1,$F880,AVERAGE($F880:OFFSET($F880,(($K$1-1)*-1),0)))</f>
        <v>188.61249999999998</v>
      </c>
      <c r="L880" s="7">
        <f t="shared" ca="1" si="78"/>
        <v>1</v>
      </c>
      <c r="M880" s="7" t="str">
        <f t="shared" ca="1" si="79"/>
        <v/>
      </c>
      <c r="N880" s="6" t="str">
        <f t="shared" ca="1" si="80"/>
        <v/>
      </c>
      <c r="O880" s="6">
        <f t="shared" si="81"/>
        <v>-3.9500000000000171</v>
      </c>
      <c r="Q880" s="6">
        <v>18.199999999999989</v>
      </c>
      <c r="R880" s="9">
        <f t="shared" si="82"/>
        <v>6824.9999999999955</v>
      </c>
      <c r="S880" s="7">
        <f t="shared" si="83"/>
        <v>-18750.000000000018</v>
      </c>
    </row>
    <row r="881" spans="1:19" x14ac:dyDescent="0.25">
      <c r="A881" s="4">
        <f>Sheet1!A881</f>
        <v>40365</v>
      </c>
      <c r="B881" s="5">
        <f>Sheet1!B881</f>
        <v>0.58333333333333337</v>
      </c>
      <c r="C881" s="6">
        <f>Sheet1!C881</f>
        <v>201.35</v>
      </c>
      <c r="D881" s="6">
        <f>Sheet1!D881</f>
        <v>201.4</v>
      </c>
      <c r="E881" s="6">
        <f>Sheet1!E881</f>
        <v>194.75</v>
      </c>
      <c r="F881" s="6">
        <f>Sheet1!F881</f>
        <v>195.55</v>
      </c>
      <c r="H881" s="6">
        <f ca="1">IF(ROW($H881)-1&lt;$I$1,$F881,AVERAGE($F881:OFFSET($F881,(($I$1-1)*-1),0)))</f>
        <v>202.44999999999996</v>
      </c>
      <c r="J881" s="6">
        <f ca="1">IF(ROW($J881)-1&lt;$K$1,$F881,AVERAGE($F881:OFFSET($F881,(($K$1-1)*-1),0)))</f>
        <v>189.44642857142858</v>
      </c>
      <c r="L881" s="7">
        <f t="shared" ca="1" si="78"/>
        <v>1</v>
      </c>
      <c r="M881" s="7" t="str">
        <f t="shared" ca="1" si="79"/>
        <v/>
      </c>
      <c r="N881" s="6" t="str">
        <f t="shared" ca="1" si="80"/>
        <v/>
      </c>
      <c r="O881" s="6">
        <f t="shared" si="81"/>
        <v>-6.6499999999999773</v>
      </c>
      <c r="Q881" s="6">
        <v>11.550000000000011</v>
      </c>
      <c r="R881" s="9">
        <f t="shared" si="82"/>
        <v>4331.2500000000045</v>
      </c>
      <c r="S881" s="7">
        <f t="shared" si="83"/>
        <v>-18750.000000000018</v>
      </c>
    </row>
    <row r="882" spans="1:19" x14ac:dyDescent="0.25">
      <c r="A882" s="4">
        <f>Sheet1!A882</f>
        <v>40366</v>
      </c>
      <c r="B882" s="5">
        <f>Sheet1!B882</f>
        <v>0.58333333333333337</v>
      </c>
      <c r="C882" s="6">
        <f>Sheet1!C882</f>
        <v>195.55</v>
      </c>
      <c r="D882" s="6">
        <f>Sheet1!D882</f>
        <v>201.85</v>
      </c>
      <c r="E882" s="6">
        <f>Sheet1!E882</f>
        <v>194.95</v>
      </c>
      <c r="F882" s="6">
        <f>Sheet1!F882</f>
        <v>200.95</v>
      </c>
      <c r="H882" s="6">
        <f ca="1">IF(ROW($H882)-1&lt;$I$1,$F882,AVERAGE($F882:OFFSET($F882,(($I$1-1)*-1),0)))</f>
        <v>201.60833333333335</v>
      </c>
      <c r="J882" s="6">
        <f ca="1">IF(ROW($J882)-1&lt;$K$1,$F882,AVERAGE($F882:OFFSET($F882,(($K$1-1)*-1),0)))</f>
        <v>190.43928571428569</v>
      </c>
      <c r="L882" s="7">
        <f t="shared" ca="1" si="78"/>
        <v>1</v>
      </c>
      <c r="M882" s="7" t="str">
        <f t="shared" ca="1" si="79"/>
        <v/>
      </c>
      <c r="N882" s="6" t="str">
        <f t="shared" ca="1" si="80"/>
        <v/>
      </c>
      <c r="O882" s="6">
        <f t="shared" si="81"/>
        <v>5.3999999999999773</v>
      </c>
      <c r="Q882" s="6">
        <v>16.949999999999989</v>
      </c>
      <c r="R882" s="9">
        <f t="shared" si="82"/>
        <v>6356.2499999999955</v>
      </c>
      <c r="S882" s="7">
        <f t="shared" si="83"/>
        <v>-18750.000000000018</v>
      </c>
    </row>
    <row r="883" spans="1:19" x14ac:dyDescent="0.25">
      <c r="A883" s="4">
        <f>Sheet1!A883</f>
        <v>40367</v>
      </c>
      <c r="B883" s="5">
        <f>Sheet1!B883</f>
        <v>0.58333333333333337</v>
      </c>
      <c r="C883" s="6">
        <f>Sheet1!C883</f>
        <v>200.95</v>
      </c>
      <c r="D883" s="6">
        <f>Sheet1!D883</f>
        <v>201.7</v>
      </c>
      <c r="E883" s="6">
        <f>Sheet1!E883</f>
        <v>198.75</v>
      </c>
      <c r="F883" s="6">
        <f>Sheet1!F883</f>
        <v>200</v>
      </c>
      <c r="H883" s="6">
        <f ca="1">IF(ROW($H883)-1&lt;$I$1,$F883,AVERAGE($F883:OFFSET($F883,(($I$1-1)*-1),0)))</f>
        <v>201.43333333333331</v>
      </c>
      <c r="J883" s="6">
        <f ca="1">IF(ROW($J883)-1&lt;$K$1,$F883,AVERAGE($F883:OFFSET($F883,(($K$1-1)*-1),0)))</f>
        <v>191.36071428571427</v>
      </c>
      <c r="L883" s="7">
        <f t="shared" ca="1" si="78"/>
        <v>1</v>
      </c>
      <c r="M883" s="7" t="str">
        <f t="shared" ca="1" si="79"/>
        <v/>
      </c>
      <c r="N883" s="6" t="str">
        <f t="shared" ca="1" si="80"/>
        <v/>
      </c>
      <c r="O883" s="6">
        <f t="shared" si="81"/>
        <v>-0.94999999999998863</v>
      </c>
      <c r="Q883" s="6">
        <v>16</v>
      </c>
      <c r="R883" s="9">
        <f t="shared" si="82"/>
        <v>6000</v>
      </c>
      <c r="S883" s="7">
        <f t="shared" si="83"/>
        <v>-18750.000000000018</v>
      </c>
    </row>
    <row r="884" spans="1:19" x14ac:dyDescent="0.25">
      <c r="A884" s="4">
        <f>Sheet1!A884</f>
        <v>40368</v>
      </c>
      <c r="B884" s="5">
        <f>Sheet1!B884</f>
        <v>0.58333333333333337</v>
      </c>
      <c r="C884" s="6">
        <f>Sheet1!C884</f>
        <v>200.15</v>
      </c>
      <c r="D884" s="6">
        <f>Sheet1!D884</f>
        <v>205.1</v>
      </c>
      <c r="E884" s="6">
        <f>Sheet1!E884</f>
        <v>199.95</v>
      </c>
      <c r="F884" s="6">
        <f>Sheet1!F884</f>
        <v>201.75</v>
      </c>
      <c r="H884" s="6">
        <f ca="1">IF(ROW($H884)-1&lt;$I$1,$F884,AVERAGE($F884:OFFSET($F884,(($I$1-1)*-1),0)))</f>
        <v>201.10000000000002</v>
      </c>
      <c r="J884" s="6">
        <f ca="1">IF(ROW($J884)-1&lt;$K$1,$F884,AVERAGE($F884:OFFSET($F884,(($K$1-1)*-1),0)))</f>
        <v>192.36250000000001</v>
      </c>
      <c r="L884" s="7">
        <f t="shared" ca="1" si="78"/>
        <v>1</v>
      </c>
      <c r="M884" s="7" t="str">
        <f t="shared" ca="1" si="79"/>
        <v/>
      </c>
      <c r="N884" s="6" t="str">
        <f t="shared" ca="1" si="80"/>
        <v/>
      </c>
      <c r="O884" s="6">
        <f t="shared" si="81"/>
        <v>1.75</v>
      </c>
      <c r="Q884" s="6">
        <v>17.75</v>
      </c>
      <c r="R884" s="9">
        <f t="shared" si="82"/>
        <v>6656.25</v>
      </c>
      <c r="S884" s="7">
        <f t="shared" si="83"/>
        <v>-18750.000000000018</v>
      </c>
    </row>
    <row r="885" spans="1:19" x14ac:dyDescent="0.25">
      <c r="A885" s="4">
        <f>Sheet1!A885</f>
        <v>40371</v>
      </c>
      <c r="B885" s="5">
        <f>Sheet1!B885</f>
        <v>0.58333333333333337</v>
      </c>
      <c r="C885" s="6">
        <f>Sheet1!C885</f>
        <v>200.65</v>
      </c>
      <c r="D885" s="6">
        <f>Sheet1!D885</f>
        <v>202.3</v>
      </c>
      <c r="E885" s="6">
        <f>Sheet1!E885</f>
        <v>196.9</v>
      </c>
      <c r="F885" s="6">
        <f>Sheet1!F885</f>
        <v>201.45</v>
      </c>
      <c r="H885" s="6">
        <f ca="1">IF(ROW($H885)-1&lt;$I$1,$F885,AVERAGE($F885:OFFSET($F885,(($I$1-1)*-1),0)))</f>
        <v>200.31666666666669</v>
      </c>
      <c r="J885" s="6">
        <f ca="1">IF(ROW($J885)-1&lt;$K$1,$F885,AVERAGE($F885:OFFSET($F885,(($K$1-1)*-1),0)))</f>
        <v>193.27142857142854</v>
      </c>
      <c r="L885" s="7">
        <f t="shared" ca="1" si="78"/>
        <v>1</v>
      </c>
      <c r="M885" s="7" t="str">
        <f t="shared" ca="1" si="79"/>
        <v/>
      </c>
      <c r="N885" s="6" t="str">
        <f t="shared" ca="1" si="80"/>
        <v/>
      </c>
      <c r="O885" s="6">
        <f t="shared" si="81"/>
        <v>-0.30000000000001137</v>
      </c>
      <c r="Q885" s="6">
        <v>17.449999999999989</v>
      </c>
      <c r="R885" s="9">
        <f t="shared" si="82"/>
        <v>6543.7499999999955</v>
      </c>
      <c r="S885" s="7">
        <f t="shared" si="83"/>
        <v>-18750.000000000018</v>
      </c>
    </row>
    <row r="886" spans="1:19" x14ac:dyDescent="0.25">
      <c r="A886" s="4">
        <f>Sheet1!A886</f>
        <v>40372</v>
      </c>
      <c r="B886" s="5">
        <f>Sheet1!B886</f>
        <v>0.58333333333333337</v>
      </c>
      <c r="C886" s="6">
        <f>Sheet1!C886</f>
        <v>200.4</v>
      </c>
      <c r="D886" s="6">
        <f>Sheet1!D886</f>
        <v>204.9</v>
      </c>
      <c r="E886" s="6">
        <f>Sheet1!E886</f>
        <v>200</v>
      </c>
      <c r="F886" s="6">
        <f>Sheet1!F886</f>
        <v>203.55</v>
      </c>
      <c r="H886" s="6">
        <f ca="1">IF(ROW($H886)-1&lt;$I$1,$F886,AVERAGE($F886:OFFSET($F886,(($I$1-1)*-1),0)))</f>
        <v>200.54166666666666</v>
      </c>
      <c r="J886" s="6">
        <f ca="1">IF(ROW($J886)-1&lt;$K$1,$F886,AVERAGE($F886:OFFSET($F886,(($K$1-1)*-1),0)))</f>
        <v>194.29642857142858</v>
      </c>
      <c r="L886" s="7">
        <f t="shared" ca="1" si="78"/>
        <v>1</v>
      </c>
      <c r="M886" s="7" t="str">
        <f t="shared" ca="1" si="79"/>
        <v/>
      </c>
      <c r="N886" s="6" t="str">
        <f t="shared" ca="1" si="80"/>
        <v/>
      </c>
      <c r="O886" s="6">
        <f t="shared" si="81"/>
        <v>2.1000000000000227</v>
      </c>
      <c r="Q886" s="6">
        <v>19.550000000000011</v>
      </c>
      <c r="R886" s="9">
        <f t="shared" si="82"/>
        <v>7331.2500000000045</v>
      </c>
      <c r="S886" s="7">
        <f t="shared" si="83"/>
        <v>-18750.000000000018</v>
      </c>
    </row>
    <row r="887" spans="1:19" x14ac:dyDescent="0.25">
      <c r="A887" s="4">
        <f>Sheet1!A887</f>
        <v>40373</v>
      </c>
      <c r="B887" s="5">
        <f>Sheet1!B887</f>
        <v>0.58333333333333337</v>
      </c>
      <c r="C887" s="6">
        <f>Sheet1!C887</f>
        <v>203.15</v>
      </c>
      <c r="D887" s="6">
        <f>Sheet1!D887</f>
        <v>204.45</v>
      </c>
      <c r="E887" s="6">
        <f>Sheet1!E887</f>
        <v>201.9</v>
      </c>
      <c r="F887" s="6">
        <f>Sheet1!F887</f>
        <v>202.8</v>
      </c>
      <c r="H887" s="6">
        <f ca="1">IF(ROW($H887)-1&lt;$I$1,$F887,AVERAGE($F887:OFFSET($F887,(($I$1-1)*-1),0)))</f>
        <v>201.75</v>
      </c>
      <c r="J887" s="6">
        <f ca="1">IF(ROW($J887)-1&lt;$K$1,$F887,AVERAGE($F887:OFFSET($F887,(($K$1-1)*-1),0)))</f>
        <v>195.28749999999999</v>
      </c>
      <c r="L887" s="7">
        <f t="shared" ca="1" si="78"/>
        <v>1</v>
      </c>
      <c r="M887" s="7" t="str">
        <f t="shared" ca="1" si="79"/>
        <v/>
      </c>
      <c r="N887" s="6" t="str">
        <f t="shared" ca="1" si="80"/>
        <v/>
      </c>
      <c r="O887" s="6">
        <f t="shared" si="81"/>
        <v>-0.75</v>
      </c>
      <c r="Q887" s="6">
        <v>18.800000000000011</v>
      </c>
      <c r="R887" s="9">
        <f t="shared" si="82"/>
        <v>7050.0000000000045</v>
      </c>
      <c r="S887" s="7">
        <f t="shared" si="83"/>
        <v>-18750.000000000018</v>
      </c>
    </row>
    <row r="888" spans="1:19" x14ac:dyDescent="0.25">
      <c r="A888" s="4">
        <f>Sheet1!A888</f>
        <v>40374</v>
      </c>
      <c r="B888" s="5">
        <f>Sheet1!B888</f>
        <v>0.58333333333333337</v>
      </c>
      <c r="C888" s="6">
        <f>Sheet1!C888</f>
        <v>202.5</v>
      </c>
      <c r="D888" s="6">
        <f>Sheet1!D888</f>
        <v>207.35</v>
      </c>
      <c r="E888" s="6">
        <f>Sheet1!E888</f>
        <v>202.2</v>
      </c>
      <c r="F888" s="6">
        <f>Sheet1!F888</f>
        <v>205</v>
      </c>
      <c r="H888" s="6">
        <f ca="1">IF(ROW($H888)-1&lt;$I$1,$F888,AVERAGE($F888:OFFSET($F888,(($I$1-1)*-1),0)))</f>
        <v>202.42499999999998</v>
      </c>
      <c r="J888" s="6">
        <f ca="1">IF(ROW($J888)-1&lt;$K$1,$F888,AVERAGE($F888:OFFSET($F888,(($K$1-1)*-1),0)))</f>
        <v>196.42321428571432</v>
      </c>
      <c r="L888" s="7">
        <f t="shared" ca="1" si="78"/>
        <v>1</v>
      </c>
      <c r="M888" s="7" t="str">
        <f t="shared" ca="1" si="79"/>
        <v/>
      </c>
      <c r="N888" s="6" t="str">
        <f t="shared" ca="1" si="80"/>
        <v/>
      </c>
      <c r="O888" s="6">
        <f t="shared" si="81"/>
        <v>2.1999999999999886</v>
      </c>
      <c r="Q888" s="6">
        <v>21</v>
      </c>
      <c r="R888" s="9">
        <f t="shared" si="82"/>
        <v>7875</v>
      </c>
      <c r="S888" s="7">
        <f t="shared" si="83"/>
        <v>-18750.000000000018</v>
      </c>
    </row>
    <row r="889" spans="1:19" x14ac:dyDescent="0.25">
      <c r="A889" s="4">
        <f>Sheet1!A889</f>
        <v>40375</v>
      </c>
      <c r="B889" s="5">
        <f>Sheet1!B889</f>
        <v>0.58333333333333337</v>
      </c>
      <c r="C889" s="6">
        <f>Sheet1!C889</f>
        <v>205.35</v>
      </c>
      <c r="D889" s="6">
        <f>Sheet1!D889</f>
        <v>207.7</v>
      </c>
      <c r="E889" s="6">
        <f>Sheet1!E889</f>
        <v>202.95</v>
      </c>
      <c r="F889" s="6">
        <f>Sheet1!F889</f>
        <v>204.95</v>
      </c>
      <c r="H889" s="6">
        <f ca="1">IF(ROW($H889)-1&lt;$I$1,$F889,AVERAGE($F889:OFFSET($F889,(($I$1-1)*-1),0)))</f>
        <v>203.25</v>
      </c>
      <c r="J889" s="6">
        <f ca="1">IF(ROW($J889)-1&lt;$K$1,$F889,AVERAGE($F889:OFFSET($F889,(($K$1-1)*-1),0)))</f>
        <v>197.58035714285717</v>
      </c>
      <c r="L889" s="7">
        <f t="shared" ca="1" si="78"/>
        <v>1</v>
      </c>
      <c r="M889" s="7" t="str">
        <f t="shared" ca="1" si="79"/>
        <v/>
      </c>
      <c r="N889" s="6" t="str">
        <f t="shared" ca="1" si="80"/>
        <v/>
      </c>
      <c r="O889" s="6">
        <f t="shared" si="81"/>
        <v>-5.0000000000011369E-2</v>
      </c>
      <c r="Q889" s="6">
        <v>20.949999999999989</v>
      </c>
      <c r="R889" s="9">
        <f t="shared" si="82"/>
        <v>7856.2499999999955</v>
      </c>
      <c r="S889" s="7">
        <f t="shared" si="83"/>
        <v>-18750.000000000018</v>
      </c>
    </row>
    <row r="890" spans="1:19" x14ac:dyDescent="0.25">
      <c r="A890" s="4">
        <f>Sheet1!A890</f>
        <v>40378</v>
      </c>
      <c r="B890" s="5">
        <f>Sheet1!B890</f>
        <v>0.58333333333333337</v>
      </c>
      <c r="C890" s="6">
        <f>Sheet1!C890</f>
        <v>204.55</v>
      </c>
      <c r="D890" s="6">
        <f>Sheet1!D890</f>
        <v>204.8</v>
      </c>
      <c r="E890" s="6">
        <f>Sheet1!E890</f>
        <v>199.15</v>
      </c>
      <c r="F890" s="6">
        <f>Sheet1!F890</f>
        <v>201.7</v>
      </c>
      <c r="H890" s="6">
        <f ca="1">IF(ROW($H890)-1&lt;$I$1,$F890,AVERAGE($F890:OFFSET($F890,(($I$1-1)*-1),0)))</f>
        <v>203.24166666666667</v>
      </c>
      <c r="J890" s="6">
        <f ca="1">IF(ROW($J890)-1&lt;$K$1,$F890,AVERAGE($F890:OFFSET($F890,(($K$1-1)*-1),0)))</f>
        <v>198.60535714285714</v>
      </c>
      <c r="L890" s="7">
        <f t="shared" ca="1" si="78"/>
        <v>1</v>
      </c>
      <c r="M890" s="7" t="str">
        <f t="shared" ca="1" si="79"/>
        <v/>
      </c>
      <c r="N890" s="6" t="str">
        <f t="shared" ca="1" si="80"/>
        <v/>
      </c>
      <c r="O890" s="6">
        <f t="shared" si="81"/>
        <v>-3.25</v>
      </c>
      <c r="Q890" s="6">
        <v>17.699999999999989</v>
      </c>
      <c r="R890" s="9">
        <f t="shared" si="82"/>
        <v>6637.4999999999955</v>
      </c>
      <c r="S890" s="7">
        <f t="shared" si="83"/>
        <v>-18750.000000000018</v>
      </c>
    </row>
    <row r="891" spans="1:19" x14ac:dyDescent="0.25">
      <c r="A891" s="4">
        <f>Sheet1!A891</f>
        <v>40379</v>
      </c>
      <c r="B891" s="5">
        <f>Sheet1!B891</f>
        <v>0.58333333333333337</v>
      </c>
      <c r="C891" s="6">
        <f>Sheet1!C891</f>
        <v>201.95</v>
      </c>
      <c r="D891" s="6">
        <f>Sheet1!D891</f>
        <v>202.1</v>
      </c>
      <c r="E891" s="6">
        <f>Sheet1!E891</f>
        <v>196.15</v>
      </c>
      <c r="F891" s="6">
        <f>Sheet1!F891</f>
        <v>196.45</v>
      </c>
      <c r="H891" s="6">
        <f ca="1">IF(ROW($H891)-1&lt;$I$1,$F891,AVERAGE($F891:OFFSET($F891,(($I$1-1)*-1),0)))</f>
        <v>202.40833333333333</v>
      </c>
      <c r="J891" s="6">
        <f ca="1">IF(ROW($J891)-1&lt;$K$1,$F891,AVERAGE($F891:OFFSET($F891,(($K$1-1)*-1),0)))</f>
        <v>199.41071428571428</v>
      </c>
      <c r="L891" s="7">
        <f t="shared" ca="1" si="78"/>
        <v>1</v>
      </c>
      <c r="M891" s="7" t="str">
        <f t="shared" ca="1" si="79"/>
        <v/>
      </c>
      <c r="N891" s="6" t="str">
        <f t="shared" ca="1" si="80"/>
        <v/>
      </c>
      <c r="O891" s="6">
        <f t="shared" si="81"/>
        <v>-5.25</v>
      </c>
      <c r="Q891" s="6">
        <v>12.449999999999989</v>
      </c>
      <c r="R891" s="9">
        <f t="shared" si="82"/>
        <v>4668.7499999999955</v>
      </c>
      <c r="S891" s="7">
        <f t="shared" si="83"/>
        <v>-18750.000000000018</v>
      </c>
    </row>
    <row r="892" spans="1:19" x14ac:dyDescent="0.25">
      <c r="A892" s="4">
        <f>Sheet1!A892</f>
        <v>40380</v>
      </c>
      <c r="B892" s="5">
        <f>Sheet1!B892</f>
        <v>0.58333333333333337</v>
      </c>
      <c r="C892" s="6">
        <f>Sheet1!C892</f>
        <v>197</v>
      </c>
      <c r="D892" s="6">
        <f>Sheet1!D892</f>
        <v>198.65</v>
      </c>
      <c r="E892" s="6">
        <f>Sheet1!E892</f>
        <v>193.7</v>
      </c>
      <c r="F892" s="6">
        <f>Sheet1!F892</f>
        <v>195.2</v>
      </c>
      <c r="H892" s="6">
        <f ca="1">IF(ROW($H892)-1&lt;$I$1,$F892,AVERAGE($F892:OFFSET($F892,(($I$1-1)*-1),0)))</f>
        <v>201.01666666666668</v>
      </c>
      <c r="J892" s="6">
        <f ca="1">IF(ROW($J892)-1&lt;$K$1,$F892,AVERAGE($F892:OFFSET($F892,(($K$1-1)*-1),0)))</f>
        <v>200.08035714285714</v>
      </c>
      <c r="L892" s="7">
        <f t="shared" ca="1" si="78"/>
        <v>1</v>
      </c>
      <c r="M892" s="7" t="str">
        <f t="shared" ca="1" si="79"/>
        <v/>
      </c>
      <c r="N892" s="6" t="str">
        <f t="shared" ca="1" si="80"/>
        <v/>
      </c>
      <c r="O892" s="6">
        <f t="shared" si="81"/>
        <v>-1.25</v>
      </c>
      <c r="Q892" s="6">
        <v>11.199999999999989</v>
      </c>
      <c r="R892" s="9">
        <f t="shared" si="82"/>
        <v>4199.9999999999955</v>
      </c>
      <c r="S892" s="7">
        <f t="shared" si="83"/>
        <v>-18750.000000000018</v>
      </c>
    </row>
    <row r="893" spans="1:19" x14ac:dyDescent="0.25">
      <c r="A893" s="4">
        <f>Sheet1!A893</f>
        <v>40381</v>
      </c>
      <c r="B893" s="5">
        <f>Sheet1!B893</f>
        <v>0.58333333333333337</v>
      </c>
      <c r="C893" s="6">
        <f>Sheet1!C893</f>
        <v>195.5</v>
      </c>
      <c r="D893" s="6">
        <f>Sheet1!D893</f>
        <v>199.85</v>
      </c>
      <c r="E893" s="6">
        <f>Sheet1!E893</f>
        <v>195.5</v>
      </c>
      <c r="F893" s="6">
        <f>Sheet1!F893</f>
        <v>199.6</v>
      </c>
      <c r="H893" s="6">
        <f ca="1">IF(ROW($H893)-1&lt;$I$1,$F893,AVERAGE($F893:OFFSET($F893,(($I$1-1)*-1),0)))</f>
        <v>200.48333333333332</v>
      </c>
      <c r="J893" s="6">
        <f ca="1">IF(ROW($J893)-1&lt;$K$1,$F893,AVERAGE($F893:OFFSET($F893,(($K$1-1)*-1),0)))</f>
        <v>200.63749999999999</v>
      </c>
      <c r="L893" s="7">
        <f t="shared" ca="1" si="78"/>
        <v>-1</v>
      </c>
      <c r="M893" s="7">
        <f t="shared" ca="1" si="79"/>
        <v>-1</v>
      </c>
      <c r="N893" s="6" t="str">
        <f t="shared" ca="1" si="80"/>
        <v/>
      </c>
      <c r="O893" s="6">
        <f t="shared" si="81"/>
        <v>4.4000000000000057</v>
      </c>
      <c r="Q893" s="6">
        <v>15.599999999999994</v>
      </c>
      <c r="R893" s="9">
        <f t="shared" si="82"/>
        <v>5849.9999999999982</v>
      </c>
      <c r="S893" s="7">
        <f t="shared" si="83"/>
        <v>-18750.000000000018</v>
      </c>
    </row>
    <row r="894" spans="1:19" x14ac:dyDescent="0.25">
      <c r="A894" s="4">
        <f>Sheet1!A894</f>
        <v>40382</v>
      </c>
      <c r="B894" s="5">
        <f>Sheet1!B894</f>
        <v>0.58333333333333337</v>
      </c>
      <c r="C894" s="6">
        <f>Sheet1!C894</f>
        <v>199.6</v>
      </c>
      <c r="D894" s="6">
        <f>Sheet1!D894</f>
        <v>205.5</v>
      </c>
      <c r="E894" s="6">
        <f>Sheet1!E894</f>
        <v>198.35</v>
      </c>
      <c r="F894" s="6">
        <f>Sheet1!F894</f>
        <v>203.9</v>
      </c>
      <c r="H894" s="6">
        <f ca="1">IF(ROW($H894)-1&lt;$I$1,$F894,AVERAGE($F894:OFFSET($F894,(($I$1-1)*-1),0)))</f>
        <v>200.29999999999998</v>
      </c>
      <c r="J894" s="6">
        <f ca="1">IF(ROW($J894)-1&lt;$K$1,$F894,AVERAGE($F894:OFFSET($F894,(($K$1-1)*-1),0)))</f>
        <v>201.15178571428569</v>
      </c>
      <c r="L894" s="7">
        <f t="shared" ca="1" si="78"/>
        <v>-1</v>
      </c>
      <c r="M894" s="7" t="str">
        <f t="shared" ca="1" si="79"/>
        <v/>
      </c>
      <c r="N894" s="6">
        <f t="shared" ca="1" si="80"/>
        <v>199.6</v>
      </c>
      <c r="O894" s="6">
        <f t="shared" si="81"/>
        <v>4.3000000000000114</v>
      </c>
      <c r="P894" s="6">
        <v>15.599999999999994</v>
      </c>
      <c r="Q894" s="6">
        <v>-4.3000000000000114</v>
      </c>
      <c r="R894" s="9">
        <f t="shared" si="82"/>
        <v>-1612.5000000000043</v>
      </c>
      <c r="S894" s="7">
        <f t="shared" si="83"/>
        <v>-12900.00000000002</v>
      </c>
    </row>
    <row r="895" spans="1:19" x14ac:dyDescent="0.25">
      <c r="A895" s="4">
        <f>Sheet1!A895</f>
        <v>40385</v>
      </c>
      <c r="B895" s="5">
        <f>Sheet1!B895</f>
        <v>0.58333333333333337</v>
      </c>
      <c r="C895" s="6">
        <f>Sheet1!C895</f>
        <v>203.7</v>
      </c>
      <c r="D895" s="6">
        <f>Sheet1!D895</f>
        <v>205.1</v>
      </c>
      <c r="E895" s="6">
        <f>Sheet1!E895</f>
        <v>202.15</v>
      </c>
      <c r="F895" s="6">
        <f>Sheet1!F895</f>
        <v>203.5</v>
      </c>
      <c r="H895" s="6">
        <f ca="1">IF(ROW($H895)-1&lt;$I$1,$F895,AVERAGE($F895:OFFSET($F895,(($I$1-1)*-1),0)))</f>
        <v>200.05833333333331</v>
      </c>
      <c r="J895" s="6">
        <f ca="1">IF(ROW($J895)-1&lt;$K$1,$F895,AVERAGE($F895:OFFSET($F895,(($K$1-1)*-1),0)))</f>
        <v>201.35357142857143</v>
      </c>
      <c r="L895" s="7">
        <f t="shared" ca="1" si="78"/>
        <v>-1</v>
      </c>
      <c r="M895" s="7" t="str">
        <f t="shared" ca="1" si="79"/>
        <v/>
      </c>
      <c r="N895" s="6" t="str">
        <f t="shared" ca="1" si="80"/>
        <v/>
      </c>
      <c r="O895" s="6">
        <f t="shared" si="81"/>
        <v>-0.40000000000000568</v>
      </c>
      <c r="Q895" s="6">
        <v>-3.9000000000000057</v>
      </c>
      <c r="R895" s="9">
        <f t="shared" si="82"/>
        <v>-1462.500000000002</v>
      </c>
      <c r="S895" s="7">
        <f t="shared" si="83"/>
        <v>-12900.00000000002</v>
      </c>
    </row>
    <row r="896" spans="1:19" x14ac:dyDescent="0.25">
      <c r="A896" s="4">
        <f>Sheet1!A896</f>
        <v>40386</v>
      </c>
      <c r="B896" s="5">
        <f>Sheet1!B896</f>
        <v>0.58333333333333337</v>
      </c>
      <c r="C896" s="6">
        <f>Sheet1!C896</f>
        <v>202.5</v>
      </c>
      <c r="D896" s="6">
        <f>Sheet1!D896</f>
        <v>204.45</v>
      </c>
      <c r="E896" s="6">
        <f>Sheet1!E896</f>
        <v>201.1</v>
      </c>
      <c r="F896" s="6">
        <f>Sheet1!F896</f>
        <v>201.65</v>
      </c>
      <c r="H896" s="6">
        <f ca="1">IF(ROW($H896)-1&lt;$I$1,$F896,AVERAGE($F896:OFFSET($F896,(($I$1-1)*-1),0)))</f>
        <v>200.04999999999998</v>
      </c>
      <c r="J896" s="6">
        <f ca="1">IF(ROW($J896)-1&lt;$K$1,$F896,AVERAGE($F896:OFFSET($F896,(($K$1-1)*-1),0)))</f>
        <v>201.50178571428569</v>
      </c>
      <c r="L896" s="7">
        <f t="shared" ca="1" si="78"/>
        <v>-1</v>
      </c>
      <c r="M896" s="7" t="str">
        <f t="shared" ca="1" si="79"/>
        <v/>
      </c>
      <c r="N896" s="6" t="str">
        <f t="shared" ca="1" si="80"/>
        <v/>
      </c>
      <c r="O896" s="6">
        <f t="shared" si="81"/>
        <v>-1.8499999999999943</v>
      </c>
      <c r="Q896" s="6">
        <v>-2.0500000000000114</v>
      </c>
      <c r="R896" s="9">
        <f t="shared" si="82"/>
        <v>-768.75000000000432</v>
      </c>
      <c r="S896" s="7">
        <f t="shared" si="83"/>
        <v>-12900.00000000002</v>
      </c>
    </row>
    <row r="897" spans="1:19" x14ac:dyDescent="0.25">
      <c r="A897" s="4">
        <f>Sheet1!A897</f>
        <v>40387</v>
      </c>
      <c r="B897" s="5">
        <f>Sheet1!B897</f>
        <v>0.58333333333333337</v>
      </c>
      <c r="C897" s="6">
        <f>Sheet1!C897</f>
        <v>202</v>
      </c>
      <c r="D897" s="6">
        <f>Sheet1!D897</f>
        <v>206</v>
      </c>
      <c r="E897" s="6">
        <f>Sheet1!E897</f>
        <v>201.55</v>
      </c>
      <c r="F897" s="6">
        <f>Sheet1!F897</f>
        <v>205.3</v>
      </c>
      <c r="H897" s="6">
        <f ca="1">IF(ROW($H897)-1&lt;$I$1,$F897,AVERAGE($F897:OFFSET($F897,(($I$1-1)*-1),0)))</f>
        <v>201.52499999999998</v>
      </c>
      <c r="J897" s="6">
        <f ca="1">IF(ROW($J897)-1&lt;$K$1,$F897,AVERAGE($F897:OFFSET($F897,(($K$1-1)*-1),0)))</f>
        <v>201.84464285714284</v>
      </c>
      <c r="L897" s="7">
        <f t="shared" ca="1" si="78"/>
        <v>-1</v>
      </c>
      <c r="M897" s="7" t="str">
        <f t="shared" ca="1" si="79"/>
        <v/>
      </c>
      <c r="N897" s="6" t="str">
        <f t="shared" ca="1" si="80"/>
        <v/>
      </c>
      <c r="O897" s="6">
        <f t="shared" si="81"/>
        <v>3.6500000000000057</v>
      </c>
      <c r="Q897" s="6">
        <v>-5.7000000000000171</v>
      </c>
      <c r="R897" s="9">
        <f t="shared" si="82"/>
        <v>-2137.5000000000064</v>
      </c>
      <c r="S897" s="7">
        <f t="shared" si="83"/>
        <v>-12900.00000000002</v>
      </c>
    </row>
    <row r="898" spans="1:19" x14ac:dyDescent="0.25">
      <c r="A898" s="4">
        <f>Sheet1!A898</f>
        <v>40388</v>
      </c>
      <c r="B898" s="5">
        <f>Sheet1!B898</f>
        <v>0.58333333333333337</v>
      </c>
      <c r="C898" s="6">
        <f>Sheet1!C898</f>
        <v>205.3</v>
      </c>
      <c r="D898" s="6">
        <f>Sheet1!D898</f>
        <v>212.5</v>
      </c>
      <c r="E898" s="6">
        <f>Sheet1!E898</f>
        <v>204.35</v>
      </c>
      <c r="F898" s="6">
        <f>Sheet1!F898</f>
        <v>210.95</v>
      </c>
      <c r="H898" s="6">
        <f ca="1">IF(ROW($H898)-1&lt;$I$1,$F898,AVERAGE($F898:OFFSET($F898,(($I$1-1)*-1),0)))</f>
        <v>204.15</v>
      </c>
      <c r="J898" s="6">
        <f ca="1">IF(ROW($J898)-1&lt;$K$1,$F898,AVERAGE($F898:OFFSET($F898,(($K$1-1)*-1),0)))</f>
        <v>202.23571428571427</v>
      </c>
      <c r="L898" s="7">
        <f t="shared" ca="1" si="78"/>
        <v>1</v>
      </c>
      <c r="M898" s="7">
        <f t="shared" ca="1" si="79"/>
        <v>1</v>
      </c>
      <c r="N898" s="6" t="str">
        <f t="shared" ca="1" si="80"/>
        <v/>
      </c>
      <c r="O898" s="6">
        <f t="shared" si="81"/>
        <v>5.6499999999999773</v>
      </c>
      <c r="Q898" s="6">
        <v>-11.349999999999994</v>
      </c>
      <c r="R898" s="9">
        <f t="shared" si="82"/>
        <v>-4256.2499999999982</v>
      </c>
      <c r="S898" s="7">
        <f t="shared" si="83"/>
        <v>-12900.00000000002</v>
      </c>
    </row>
    <row r="899" spans="1:19" x14ac:dyDescent="0.25">
      <c r="A899" s="4">
        <f>Sheet1!A899</f>
        <v>40389</v>
      </c>
      <c r="B899" s="5">
        <f>Sheet1!B899</f>
        <v>0.58333333333333337</v>
      </c>
      <c r="C899" s="6">
        <f>Sheet1!C899</f>
        <v>210.95</v>
      </c>
      <c r="D899" s="6">
        <f>Sheet1!D899</f>
        <v>216.65</v>
      </c>
      <c r="E899" s="6">
        <f>Sheet1!E899</f>
        <v>210.55</v>
      </c>
      <c r="F899" s="6">
        <f>Sheet1!F899</f>
        <v>214.2</v>
      </c>
      <c r="H899" s="6">
        <f ca="1">IF(ROW($H899)-1&lt;$I$1,$F899,AVERAGE($F899:OFFSET($F899,(($I$1-1)*-1),0)))</f>
        <v>206.58333333333334</v>
      </c>
      <c r="J899" s="6">
        <f ca="1">IF(ROW($J899)-1&lt;$K$1,$F899,AVERAGE($F899:OFFSET($F899,(($K$1-1)*-1),0)))</f>
        <v>202.78928571428568</v>
      </c>
      <c r="L899" s="7">
        <f t="shared" ref="L899:L962" ca="1" si="84">IF(ROW($L899)&gt;($K$1),IF($H899&gt;$J899,1,IF($H899&lt;$J899,-1,$L898*-1)),0)</f>
        <v>1</v>
      </c>
      <c r="M899" s="7" t="str">
        <f t="shared" ca="1" si="79"/>
        <v/>
      </c>
      <c r="N899" s="6">
        <f t="shared" ca="1" si="80"/>
        <v>210.95</v>
      </c>
      <c r="O899" s="6">
        <f t="shared" si="81"/>
        <v>3.25</v>
      </c>
      <c r="P899" s="6">
        <v>-11.349999999999994</v>
      </c>
      <c r="Q899" s="6">
        <v>3.25</v>
      </c>
      <c r="R899" s="9">
        <f t="shared" si="82"/>
        <v>1218.75</v>
      </c>
      <c r="S899" s="7">
        <f t="shared" si="83"/>
        <v>-17156.250000000018</v>
      </c>
    </row>
    <row r="900" spans="1:19" x14ac:dyDescent="0.25">
      <c r="A900" s="4">
        <f>Sheet1!A900</f>
        <v>40392</v>
      </c>
      <c r="B900" s="5">
        <f>Sheet1!B900</f>
        <v>0.58333333333333337</v>
      </c>
      <c r="C900" s="6">
        <f>Sheet1!C900</f>
        <v>213.5</v>
      </c>
      <c r="D900" s="6">
        <f>Sheet1!D900</f>
        <v>219.4</v>
      </c>
      <c r="E900" s="6">
        <f>Sheet1!E900</f>
        <v>209.95</v>
      </c>
      <c r="F900" s="6">
        <f>Sheet1!F900</f>
        <v>210.4</v>
      </c>
      <c r="H900" s="6">
        <f ca="1">IF(ROW($H900)-1&lt;$I$1,$F900,AVERAGE($F900:OFFSET($F900,(($I$1-1)*-1),0)))</f>
        <v>207.66666666666671</v>
      </c>
      <c r="J900" s="6">
        <f ca="1">IF(ROW($J900)-1&lt;$K$1,$F900,AVERAGE($F900:OFFSET($F900,(($K$1-1)*-1),0)))</f>
        <v>203.20892857142852</v>
      </c>
      <c r="L900" s="7">
        <f t="shared" ca="1" si="84"/>
        <v>1</v>
      </c>
      <c r="M900" s="7" t="str">
        <f t="shared" ref="M900:M963" ca="1" si="85">IF(L900&lt;&gt;L899,L900,"")</f>
        <v/>
      </c>
      <c r="N900" s="6" t="str">
        <f t="shared" ref="N900:N963" ca="1" si="86">IF(M899&lt;&gt;"",C900,"")</f>
        <v/>
      </c>
      <c r="O900" s="6">
        <f t="shared" ref="O900:O963" si="87">F900-F899</f>
        <v>-3.7999999999999829</v>
      </c>
      <c r="Q900" s="6">
        <v>-0.54999999999998295</v>
      </c>
      <c r="R900" s="9">
        <f t="shared" ref="R900:R963" si="88">IF(Q900="","",Q900*375)</f>
        <v>-206.24999999999361</v>
      </c>
      <c r="S900" s="7">
        <f t="shared" si="83"/>
        <v>-17156.250000000018</v>
      </c>
    </row>
    <row r="901" spans="1:19" x14ac:dyDescent="0.25">
      <c r="A901" s="4">
        <f>Sheet1!A901</f>
        <v>40393</v>
      </c>
      <c r="B901" s="5">
        <f>Sheet1!B901</f>
        <v>0.58333333333333337</v>
      </c>
      <c r="C901" s="6">
        <f>Sheet1!C901</f>
        <v>210.7</v>
      </c>
      <c r="D901" s="6">
        <f>Sheet1!D901</f>
        <v>212.35</v>
      </c>
      <c r="E901" s="6">
        <f>Sheet1!E901</f>
        <v>203.05</v>
      </c>
      <c r="F901" s="6">
        <f>Sheet1!F901</f>
        <v>204.55</v>
      </c>
      <c r="H901" s="6">
        <f ca="1">IF(ROW($H901)-1&lt;$I$1,$F901,AVERAGE($F901:OFFSET($F901,(($I$1-1)*-1),0)))</f>
        <v>207.8416666666667</v>
      </c>
      <c r="J901" s="6">
        <f ca="1">IF(ROW($J901)-1&lt;$K$1,$F901,AVERAGE($F901:OFFSET($F901,(($K$1-1)*-1),0)))</f>
        <v>203.42857142857139</v>
      </c>
      <c r="L901" s="7">
        <f t="shared" ca="1" si="84"/>
        <v>1</v>
      </c>
      <c r="M901" s="7" t="str">
        <f t="shared" ca="1" si="85"/>
        <v/>
      </c>
      <c r="N901" s="6" t="str">
        <f t="shared" ca="1" si="86"/>
        <v/>
      </c>
      <c r="O901" s="6">
        <f t="shared" si="87"/>
        <v>-5.8499999999999943</v>
      </c>
      <c r="Q901" s="6">
        <v>-6.3999999999999773</v>
      </c>
      <c r="R901" s="9">
        <f t="shared" si="88"/>
        <v>-2399.9999999999914</v>
      </c>
      <c r="S901" s="7">
        <f t="shared" si="83"/>
        <v>-17156.250000000018</v>
      </c>
    </row>
    <row r="902" spans="1:19" x14ac:dyDescent="0.25">
      <c r="A902" s="4">
        <f>Sheet1!A902</f>
        <v>40394</v>
      </c>
      <c r="B902" s="5">
        <f>Sheet1!B902</f>
        <v>0.58333333333333337</v>
      </c>
      <c r="C902" s="6">
        <f>Sheet1!C902</f>
        <v>205.5</v>
      </c>
      <c r="D902" s="6">
        <f>Sheet1!D902</f>
        <v>209.6</v>
      </c>
      <c r="E902" s="6">
        <f>Sheet1!E902</f>
        <v>205.5</v>
      </c>
      <c r="F902" s="6">
        <f>Sheet1!F902</f>
        <v>207.65</v>
      </c>
      <c r="H902" s="6">
        <f ca="1">IF(ROW($H902)-1&lt;$I$1,$F902,AVERAGE($F902:OFFSET($F902,(($I$1-1)*-1),0)))</f>
        <v>208.8416666666667</v>
      </c>
      <c r="J902" s="6">
        <f ca="1">IF(ROW($J902)-1&lt;$K$1,$F902,AVERAGE($F902:OFFSET($F902,(($K$1-1)*-1),0)))</f>
        <v>203.46428571428564</v>
      </c>
      <c r="L902" s="7">
        <f t="shared" ca="1" si="84"/>
        <v>1</v>
      </c>
      <c r="M902" s="7" t="str">
        <f t="shared" ca="1" si="85"/>
        <v/>
      </c>
      <c r="N902" s="6" t="str">
        <f t="shared" ca="1" si="86"/>
        <v/>
      </c>
      <c r="O902" s="6">
        <f t="shared" si="87"/>
        <v>3.0999999999999943</v>
      </c>
      <c r="Q902" s="6">
        <v>-3.2999999999999829</v>
      </c>
      <c r="R902" s="9">
        <f t="shared" si="88"/>
        <v>-1237.4999999999936</v>
      </c>
      <c r="S902" s="7">
        <f t="shared" si="83"/>
        <v>-17156.250000000018</v>
      </c>
    </row>
    <row r="903" spans="1:19" x14ac:dyDescent="0.25">
      <c r="A903" s="4">
        <f>Sheet1!A903</f>
        <v>40395</v>
      </c>
      <c r="B903" s="5">
        <f>Sheet1!B903</f>
        <v>0.58333333333333337</v>
      </c>
      <c r="C903" s="6">
        <f>Sheet1!C903</f>
        <v>207.4</v>
      </c>
      <c r="D903" s="6">
        <f>Sheet1!D903</f>
        <v>210.55</v>
      </c>
      <c r="E903" s="6">
        <f>Sheet1!E903</f>
        <v>207</v>
      </c>
      <c r="F903" s="6">
        <f>Sheet1!F903</f>
        <v>207.75</v>
      </c>
      <c r="H903" s="6">
        <f ca="1">IF(ROW($H903)-1&lt;$I$1,$F903,AVERAGE($F903:OFFSET($F903,(($I$1-1)*-1),0)))</f>
        <v>209.25</v>
      </c>
      <c r="J903" s="6">
        <f ca="1">IF(ROW($J903)-1&lt;$K$1,$F903,AVERAGE($F903:OFFSET($F903,(($K$1-1)*-1),0)))</f>
        <v>203.49821428571425</v>
      </c>
      <c r="L903" s="7">
        <f t="shared" ca="1" si="84"/>
        <v>1</v>
      </c>
      <c r="M903" s="7" t="str">
        <f t="shared" ca="1" si="85"/>
        <v/>
      </c>
      <c r="N903" s="6" t="str">
        <f t="shared" ca="1" si="86"/>
        <v/>
      </c>
      <c r="O903" s="6">
        <f t="shared" si="87"/>
        <v>9.9999999999994316E-2</v>
      </c>
      <c r="Q903" s="6">
        <v>-3.1999999999999886</v>
      </c>
      <c r="R903" s="9">
        <f t="shared" si="88"/>
        <v>-1199.9999999999957</v>
      </c>
      <c r="S903" s="7">
        <f t="shared" si="83"/>
        <v>-17156.250000000018</v>
      </c>
    </row>
    <row r="904" spans="1:19" x14ac:dyDescent="0.25">
      <c r="A904" s="4">
        <f>Sheet1!A904</f>
        <v>40396</v>
      </c>
      <c r="B904" s="5">
        <f>Sheet1!B904</f>
        <v>0.58333333333333337</v>
      </c>
      <c r="C904" s="6">
        <f>Sheet1!C904</f>
        <v>208.2</v>
      </c>
      <c r="D904" s="6">
        <f>Sheet1!D904</f>
        <v>209.25</v>
      </c>
      <c r="E904" s="6">
        <f>Sheet1!E904</f>
        <v>203.15</v>
      </c>
      <c r="F904" s="6">
        <f>Sheet1!F904</f>
        <v>205.3</v>
      </c>
      <c r="H904" s="6">
        <f ca="1">IF(ROW($H904)-1&lt;$I$1,$F904,AVERAGE($F904:OFFSET($F904,(($I$1-1)*-1),0)))</f>
        <v>208.30833333333337</v>
      </c>
      <c r="J904" s="6">
        <f ca="1">IF(ROW($J904)-1&lt;$K$1,$F904,AVERAGE($F904:OFFSET($F904,(($K$1-1)*-1),0)))</f>
        <v>203.47321428571425</v>
      </c>
      <c r="L904" s="7">
        <f t="shared" ca="1" si="84"/>
        <v>1</v>
      </c>
      <c r="M904" s="7" t="str">
        <f t="shared" ca="1" si="85"/>
        <v/>
      </c>
      <c r="N904" s="6" t="str">
        <f t="shared" ca="1" si="86"/>
        <v/>
      </c>
      <c r="O904" s="6">
        <f t="shared" si="87"/>
        <v>-2.4499999999999886</v>
      </c>
      <c r="Q904" s="6">
        <v>-5.6499999999999773</v>
      </c>
      <c r="R904" s="9">
        <f t="shared" si="88"/>
        <v>-2118.7499999999914</v>
      </c>
      <c r="S904" s="7">
        <f t="shared" si="83"/>
        <v>-17156.250000000018</v>
      </c>
    </row>
    <row r="905" spans="1:19" x14ac:dyDescent="0.25">
      <c r="A905" s="4">
        <f>Sheet1!A905</f>
        <v>40399</v>
      </c>
      <c r="B905" s="5">
        <f>Sheet1!B905</f>
        <v>0.58333333333333337</v>
      </c>
      <c r="C905" s="6">
        <f>Sheet1!C905</f>
        <v>205.4</v>
      </c>
      <c r="D905" s="6">
        <f>Sheet1!D905</f>
        <v>208.7</v>
      </c>
      <c r="E905" s="6">
        <f>Sheet1!E905</f>
        <v>204.15</v>
      </c>
      <c r="F905" s="6">
        <f>Sheet1!F905</f>
        <v>207.5</v>
      </c>
      <c r="H905" s="6">
        <f ca="1">IF(ROW($H905)-1&lt;$I$1,$F905,AVERAGE($F905:OFFSET($F905,(($I$1-1)*-1),0)))</f>
        <v>207.19166666666669</v>
      </c>
      <c r="J905" s="6">
        <f ca="1">IF(ROW($J905)-1&lt;$K$1,$F905,AVERAGE($F905:OFFSET($F905,(($K$1-1)*-1),0)))</f>
        <v>203.70357142857139</v>
      </c>
      <c r="L905" s="7">
        <f t="shared" ca="1" si="84"/>
        <v>1</v>
      </c>
      <c r="M905" s="7" t="str">
        <f t="shared" ca="1" si="85"/>
        <v/>
      </c>
      <c r="N905" s="6" t="str">
        <f t="shared" ca="1" si="86"/>
        <v/>
      </c>
      <c r="O905" s="6">
        <f t="shared" si="87"/>
        <v>2.1999999999999886</v>
      </c>
      <c r="Q905" s="6">
        <v>-3.4499999999999886</v>
      </c>
      <c r="R905" s="9">
        <f t="shared" si="88"/>
        <v>-1293.7499999999957</v>
      </c>
      <c r="S905" s="7">
        <f t="shared" si="83"/>
        <v>-17156.250000000018</v>
      </c>
    </row>
    <row r="906" spans="1:19" x14ac:dyDescent="0.25">
      <c r="A906" s="4">
        <f>Sheet1!A906</f>
        <v>40400</v>
      </c>
      <c r="B906" s="5">
        <f>Sheet1!B906</f>
        <v>0.58333333333333337</v>
      </c>
      <c r="C906" s="6">
        <f>Sheet1!C906</f>
        <v>206.95</v>
      </c>
      <c r="D906" s="6">
        <f>Sheet1!D906</f>
        <v>209.9</v>
      </c>
      <c r="E906" s="6">
        <f>Sheet1!E906</f>
        <v>205.2</v>
      </c>
      <c r="F906" s="6">
        <f>Sheet1!F906</f>
        <v>207.55</v>
      </c>
      <c r="H906" s="6">
        <f ca="1">IF(ROW($H906)-1&lt;$I$1,$F906,AVERAGE($F906:OFFSET($F906,(($I$1-1)*-1),0)))</f>
        <v>206.71666666666667</v>
      </c>
      <c r="J906" s="6">
        <f ca="1">IF(ROW($J906)-1&lt;$K$1,$F906,AVERAGE($F906:OFFSET($F906,(($K$1-1)*-1),0)))</f>
        <v>203.83928571428569</v>
      </c>
      <c r="L906" s="7">
        <f t="shared" ca="1" si="84"/>
        <v>1</v>
      </c>
      <c r="M906" s="7" t="str">
        <f t="shared" ca="1" si="85"/>
        <v/>
      </c>
      <c r="N906" s="6" t="str">
        <f t="shared" ca="1" si="86"/>
        <v/>
      </c>
      <c r="O906" s="6">
        <f t="shared" si="87"/>
        <v>5.0000000000011369E-2</v>
      </c>
      <c r="Q906" s="6">
        <v>-3.3999999999999773</v>
      </c>
      <c r="R906" s="9">
        <f t="shared" si="88"/>
        <v>-1274.9999999999914</v>
      </c>
      <c r="S906" s="7">
        <f t="shared" si="83"/>
        <v>-17156.250000000018</v>
      </c>
    </row>
    <row r="907" spans="1:19" x14ac:dyDescent="0.25">
      <c r="A907" s="4">
        <f>Sheet1!A907</f>
        <v>40401</v>
      </c>
      <c r="B907" s="5">
        <f>Sheet1!B907</f>
        <v>0.58333333333333337</v>
      </c>
      <c r="C907" s="6">
        <f>Sheet1!C907</f>
        <v>207.55</v>
      </c>
      <c r="D907" s="6">
        <f>Sheet1!D907</f>
        <v>209.75</v>
      </c>
      <c r="E907" s="6">
        <f>Sheet1!E907</f>
        <v>207</v>
      </c>
      <c r="F907" s="6">
        <f>Sheet1!F907</f>
        <v>208.6</v>
      </c>
      <c r="H907" s="6">
        <f ca="1">IF(ROW($H907)-1&lt;$I$1,$F907,AVERAGE($F907:OFFSET($F907,(($I$1-1)*-1),0)))</f>
        <v>207.39166666666665</v>
      </c>
      <c r="J907" s="6">
        <f ca="1">IF(ROW($J907)-1&lt;$K$1,$F907,AVERAGE($F907:OFFSET($F907,(($K$1-1)*-1),0)))</f>
        <v>203.9267857142857</v>
      </c>
      <c r="L907" s="7">
        <f t="shared" ca="1" si="84"/>
        <v>1</v>
      </c>
      <c r="M907" s="7" t="str">
        <f t="shared" ca="1" si="85"/>
        <v/>
      </c>
      <c r="N907" s="6" t="str">
        <f t="shared" ca="1" si="86"/>
        <v/>
      </c>
      <c r="O907" s="6">
        <f t="shared" si="87"/>
        <v>1.0499999999999829</v>
      </c>
      <c r="Q907" s="6">
        <v>-2.3499999999999943</v>
      </c>
      <c r="R907" s="9">
        <f t="shared" si="88"/>
        <v>-881.24999999999784</v>
      </c>
      <c r="S907" s="7">
        <f t="shared" si="83"/>
        <v>-17156.250000000018</v>
      </c>
    </row>
    <row r="908" spans="1:19" x14ac:dyDescent="0.25">
      <c r="A908" s="4">
        <f>Sheet1!A908</f>
        <v>40402</v>
      </c>
      <c r="B908" s="5">
        <f>Sheet1!B908</f>
        <v>0.58333333333333337</v>
      </c>
      <c r="C908" s="6">
        <f>Sheet1!C908</f>
        <v>208.45</v>
      </c>
      <c r="D908" s="6">
        <f>Sheet1!D908</f>
        <v>215.75</v>
      </c>
      <c r="E908" s="6">
        <f>Sheet1!E908</f>
        <v>208.05</v>
      </c>
      <c r="F908" s="6">
        <f>Sheet1!F908</f>
        <v>213.8</v>
      </c>
      <c r="H908" s="6">
        <f ca="1">IF(ROW($H908)-1&lt;$I$1,$F908,AVERAGE($F908:OFFSET($F908,(($I$1-1)*-1),0)))</f>
        <v>208.41666666666663</v>
      </c>
      <c r="J908" s="6">
        <f ca="1">IF(ROW($J908)-1&lt;$K$1,$F908,AVERAGE($F908:OFFSET($F908,(($K$1-1)*-1),0)))</f>
        <v>204.34107142857144</v>
      </c>
      <c r="L908" s="7">
        <f t="shared" ca="1" si="84"/>
        <v>1</v>
      </c>
      <c r="M908" s="7" t="str">
        <f t="shared" ca="1" si="85"/>
        <v/>
      </c>
      <c r="N908" s="6" t="str">
        <f t="shared" ca="1" si="86"/>
        <v/>
      </c>
      <c r="O908" s="6">
        <f t="shared" si="87"/>
        <v>5.2000000000000171</v>
      </c>
      <c r="Q908" s="6">
        <v>2.8500000000000227</v>
      </c>
      <c r="R908" s="9">
        <f t="shared" si="88"/>
        <v>1068.7500000000086</v>
      </c>
      <c r="S908" s="7">
        <f t="shared" si="83"/>
        <v>-17156.250000000018</v>
      </c>
    </row>
    <row r="909" spans="1:19" x14ac:dyDescent="0.25">
      <c r="A909" s="4">
        <f>Sheet1!A909</f>
        <v>40403</v>
      </c>
      <c r="B909" s="5">
        <f>Sheet1!B909</f>
        <v>0.58333333333333337</v>
      </c>
      <c r="C909" s="6">
        <f>Sheet1!C909</f>
        <v>213.75</v>
      </c>
      <c r="D909" s="6">
        <f>Sheet1!D909</f>
        <v>216.7</v>
      </c>
      <c r="E909" s="6">
        <f>Sheet1!E909</f>
        <v>211.65</v>
      </c>
      <c r="F909" s="6">
        <f>Sheet1!F909</f>
        <v>213.85</v>
      </c>
      <c r="H909" s="6">
        <f ca="1">IF(ROW($H909)-1&lt;$I$1,$F909,AVERAGE($F909:OFFSET($F909,(($I$1-1)*-1),0)))</f>
        <v>209.43333333333331</v>
      </c>
      <c r="J909" s="6">
        <f ca="1">IF(ROW($J909)-1&lt;$K$1,$F909,AVERAGE($F909:OFFSET($F909,(($K$1-1)*-1),0)))</f>
        <v>204.99464285714291</v>
      </c>
      <c r="L909" s="7">
        <f t="shared" ca="1" si="84"/>
        <v>1</v>
      </c>
      <c r="M909" s="7" t="str">
        <f t="shared" ca="1" si="85"/>
        <v/>
      </c>
      <c r="N909" s="6" t="str">
        <f t="shared" ca="1" si="86"/>
        <v/>
      </c>
      <c r="O909" s="6">
        <f t="shared" si="87"/>
        <v>4.9999999999982947E-2</v>
      </c>
      <c r="Q909" s="6">
        <v>2.9000000000000057</v>
      </c>
      <c r="R909" s="9">
        <f t="shared" si="88"/>
        <v>1087.500000000002</v>
      </c>
      <c r="S909" s="7">
        <f t="shared" si="83"/>
        <v>-17156.250000000018</v>
      </c>
    </row>
    <row r="910" spans="1:19" x14ac:dyDescent="0.25">
      <c r="A910" s="4">
        <f>Sheet1!A910</f>
        <v>40406</v>
      </c>
      <c r="B910" s="5">
        <f>Sheet1!B910</f>
        <v>0.58333333333333337</v>
      </c>
      <c r="C910" s="6">
        <f>Sheet1!C910</f>
        <v>212.85</v>
      </c>
      <c r="D910" s="6">
        <f>Sheet1!D910</f>
        <v>219.15</v>
      </c>
      <c r="E910" s="6">
        <f>Sheet1!E910</f>
        <v>211.85</v>
      </c>
      <c r="F910" s="6">
        <f>Sheet1!F910</f>
        <v>217.35</v>
      </c>
      <c r="H910" s="6">
        <f ca="1">IF(ROW($H910)-1&lt;$I$1,$F910,AVERAGE($F910:OFFSET($F910,(($I$1-1)*-1),0)))</f>
        <v>211.44166666666663</v>
      </c>
      <c r="J910" s="6">
        <f ca="1">IF(ROW($J910)-1&lt;$K$1,$F910,AVERAGE($F910:OFFSET($F910,(($K$1-1)*-1),0)))</f>
        <v>205.58035714285725</v>
      </c>
      <c r="L910" s="7">
        <f t="shared" ca="1" si="84"/>
        <v>1</v>
      </c>
      <c r="M910" s="7" t="str">
        <f t="shared" ca="1" si="85"/>
        <v/>
      </c>
      <c r="N910" s="6" t="str">
        <f t="shared" ca="1" si="86"/>
        <v/>
      </c>
      <c r="O910" s="6">
        <f t="shared" si="87"/>
        <v>3.5</v>
      </c>
      <c r="Q910" s="6">
        <v>6.4000000000000057</v>
      </c>
      <c r="R910" s="9">
        <f t="shared" si="88"/>
        <v>2400.0000000000023</v>
      </c>
      <c r="S910" s="7">
        <f t="shared" si="83"/>
        <v>-17156.250000000018</v>
      </c>
    </row>
    <row r="911" spans="1:19" x14ac:dyDescent="0.25">
      <c r="A911" s="4">
        <f>Sheet1!A911</f>
        <v>40407</v>
      </c>
      <c r="B911" s="5">
        <f>Sheet1!B911</f>
        <v>0.58333333333333337</v>
      </c>
      <c r="C911" s="6">
        <f>Sheet1!C911</f>
        <v>216.75</v>
      </c>
      <c r="D911" s="6">
        <f>Sheet1!D911</f>
        <v>219.05</v>
      </c>
      <c r="E911" s="6">
        <f>Sheet1!E911</f>
        <v>213.85</v>
      </c>
      <c r="F911" s="6">
        <f>Sheet1!F911</f>
        <v>214.55</v>
      </c>
      <c r="H911" s="6">
        <f ca="1">IF(ROW($H911)-1&lt;$I$1,$F911,AVERAGE($F911:OFFSET($F911,(($I$1-1)*-1),0)))</f>
        <v>212.61666666666667</v>
      </c>
      <c r="J911" s="6">
        <f ca="1">IF(ROW($J911)-1&lt;$K$1,$F911,AVERAGE($F911:OFFSET($F911,(($K$1-1)*-1),0)))</f>
        <v>206.10000000000008</v>
      </c>
      <c r="L911" s="7">
        <f t="shared" ca="1" si="84"/>
        <v>1</v>
      </c>
      <c r="M911" s="7" t="str">
        <f t="shared" ca="1" si="85"/>
        <v/>
      </c>
      <c r="N911" s="6" t="str">
        <f t="shared" ca="1" si="86"/>
        <v/>
      </c>
      <c r="O911" s="6">
        <f t="shared" si="87"/>
        <v>-2.7999999999999829</v>
      </c>
      <c r="Q911" s="6">
        <v>3.6000000000000227</v>
      </c>
      <c r="R911" s="9">
        <f t="shared" si="88"/>
        <v>1350.0000000000086</v>
      </c>
      <c r="S911" s="7">
        <f t="shared" si="83"/>
        <v>-17156.250000000018</v>
      </c>
    </row>
    <row r="912" spans="1:19" x14ac:dyDescent="0.25">
      <c r="A912" s="4">
        <f>Sheet1!A912</f>
        <v>40408</v>
      </c>
      <c r="B912" s="5">
        <f>Sheet1!B912</f>
        <v>0.58333333333333337</v>
      </c>
      <c r="C912" s="6">
        <f>Sheet1!C912</f>
        <v>214.2</v>
      </c>
      <c r="D912" s="6">
        <f>Sheet1!D912</f>
        <v>215.95</v>
      </c>
      <c r="E912" s="6">
        <f>Sheet1!E912</f>
        <v>213.45</v>
      </c>
      <c r="F912" s="6">
        <f>Sheet1!F912</f>
        <v>214.05</v>
      </c>
      <c r="H912" s="6">
        <f ca="1">IF(ROW($H912)-1&lt;$I$1,$F912,AVERAGE($F912:OFFSET($F912,(($I$1-1)*-1),0)))</f>
        <v>213.70000000000002</v>
      </c>
      <c r="J912" s="6">
        <f ca="1">IF(ROW($J912)-1&lt;$K$1,$F912,AVERAGE($F912:OFFSET($F912,(($K$1-1)*-1),0)))</f>
        <v>206.5392857142858</v>
      </c>
      <c r="L912" s="7">
        <f t="shared" ca="1" si="84"/>
        <v>1</v>
      </c>
      <c r="M912" s="7" t="str">
        <f t="shared" ca="1" si="85"/>
        <v/>
      </c>
      <c r="N912" s="6" t="str">
        <f t="shared" ca="1" si="86"/>
        <v/>
      </c>
      <c r="O912" s="6">
        <f t="shared" si="87"/>
        <v>-0.5</v>
      </c>
      <c r="Q912" s="6">
        <v>3.1000000000000227</v>
      </c>
      <c r="R912" s="9">
        <f t="shared" si="88"/>
        <v>1162.5000000000086</v>
      </c>
      <c r="S912" s="7">
        <f t="shared" ref="S912:S975" si="89">S911+(P912*375)</f>
        <v>-17156.250000000018</v>
      </c>
    </row>
    <row r="913" spans="1:19" x14ac:dyDescent="0.25">
      <c r="A913" s="4">
        <f>Sheet1!A913</f>
        <v>40409</v>
      </c>
      <c r="B913" s="5">
        <f>Sheet1!B913</f>
        <v>0.58333333333333337</v>
      </c>
      <c r="C913" s="6">
        <f>Sheet1!C913</f>
        <v>214.05</v>
      </c>
      <c r="D913" s="6">
        <f>Sheet1!D913</f>
        <v>217.45</v>
      </c>
      <c r="E913" s="6">
        <f>Sheet1!E913</f>
        <v>213.8</v>
      </c>
      <c r="F913" s="6">
        <f>Sheet1!F913</f>
        <v>216.1</v>
      </c>
      <c r="H913" s="6">
        <f ca="1">IF(ROW($H913)-1&lt;$I$1,$F913,AVERAGE($F913:OFFSET($F913,(($I$1-1)*-1),0)))</f>
        <v>214.94999999999996</v>
      </c>
      <c r="J913" s="6">
        <f ca="1">IF(ROW($J913)-1&lt;$K$1,$F913,AVERAGE($F913:OFFSET($F913,(($K$1-1)*-1),0)))</f>
        <v>207.06250000000009</v>
      </c>
      <c r="L913" s="7">
        <f t="shared" ca="1" si="84"/>
        <v>1</v>
      </c>
      <c r="M913" s="7" t="str">
        <f t="shared" ca="1" si="85"/>
        <v/>
      </c>
      <c r="N913" s="6" t="str">
        <f t="shared" ca="1" si="86"/>
        <v/>
      </c>
      <c r="O913" s="6">
        <f t="shared" si="87"/>
        <v>2.0499999999999829</v>
      </c>
      <c r="Q913" s="6">
        <v>5.1500000000000057</v>
      </c>
      <c r="R913" s="9">
        <f t="shared" si="88"/>
        <v>1931.250000000002</v>
      </c>
      <c r="S913" s="7">
        <f t="shared" si="89"/>
        <v>-17156.250000000018</v>
      </c>
    </row>
    <row r="914" spans="1:19" x14ac:dyDescent="0.25">
      <c r="A914" s="4">
        <f>Sheet1!A914</f>
        <v>40410</v>
      </c>
      <c r="B914" s="5">
        <f>Sheet1!B914</f>
        <v>0.58333333333333337</v>
      </c>
      <c r="C914" s="6">
        <f>Sheet1!C914</f>
        <v>215.8</v>
      </c>
      <c r="D914" s="6">
        <f>Sheet1!D914</f>
        <v>222.75</v>
      </c>
      <c r="E914" s="6">
        <f>Sheet1!E914</f>
        <v>215.8</v>
      </c>
      <c r="F914" s="6">
        <f>Sheet1!F914</f>
        <v>221.3</v>
      </c>
      <c r="H914" s="6">
        <f ca="1">IF(ROW($H914)-1&lt;$I$1,$F914,AVERAGE($F914:OFFSET($F914,(($I$1-1)*-1),0)))</f>
        <v>216.19999999999996</v>
      </c>
      <c r="J914" s="6">
        <f ca="1">IF(ROW($J914)-1&lt;$K$1,$F914,AVERAGE($F914:OFFSET($F914,(($K$1-1)*-1),0)))</f>
        <v>207.69642857142867</v>
      </c>
      <c r="L914" s="7">
        <f t="shared" ca="1" si="84"/>
        <v>1</v>
      </c>
      <c r="M914" s="7" t="str">
        <f t="shared" ca="1" si="85"/>
        <v/>
      </c>
      <c r="N914" s="6" t="str">
        <f t="shared" ca="1" si="86"/>
        <v/>
      </c>
      <c r="O914" s="6">
        <f t="shared" si="87"/>
        <v>5.2000000000000171</v>
      </c>
      <c r="Q914" s="6">
        <v>10.350000000000023</v>
      </c>
      <c r="R914" s="9">
        <f t="shared" si="88"/>
        <v>3881.2500000000086</v>
      </c>
      <c r="S914" s="7">
        <f t="shared" si="89"/>
        <v>-17156.250000000018</v>
      </c>
    </row>
    <row r="915" spans="1:19" x14ac:dyDescent="0.25">
      <c r="A915" s="4">
        <f>Sheet1!A915</f>
        <v>40413</v>
      </c>
      <c r="B915" s="5">
        <f>Sheet1!B915</f>
        <v>0.58333333333333337</v>
      </c>
      <c r="C915" s="6">
        <f>Sheet1!C915</f>
        <v>221.35</v>
      </c>
      <c r="D915" s="6">
        <f>Sheet1!D915</f>
        <v>224.9</v>
      </c>
      <c r="E915" s="6">
        <f>Sheet1!E915</f>
        <v>218.7</v>
      </c>
      <c r="F915" s="6">
        <f>Sheet1!F915</f>
        <v>219.5</v>
      </c>
      <c r="H915" s="6">
        <f ca="1">IF(ROW($H915)-1&lt;$I$1,$F915,AVERAGE($F915:OFFSET($F915,(($I$1-1)*-1),0)))</f>
        <v>217.14166666666668</v>
      </c>
      <c r="J915" s="6">
        <f ca="1">IF(ROW($J915)-1&lt;$K$1,$F915,AVERAGE($F915:OFFSET($F915,(($K$1-1)*-1),0)))</f>
        <v>208.29285714285723</v>
      </c>
      <c r="L915" s="7">
        <f t="shared" ca="1" si="84"/>
        <v>1</v>
      </c>
      <c r="M915" s="7" t="str">
        <f t="shared" ca="1" si="85"/>
        <v/>
      </c>
      <c r="N915" s="6" t="str">
        <f t="shared" ca="1" si="86"/>
        <v/>
      </c>
      <c r="O915" s="6">
        <f t="shared" si="87"/>
        <v>-1.8000000000000114</v>
      </c>
      <c r="Q915" s="6">
        <v>8.5500000000000114</v>
      </c>
      <c r="R915" s="9">
        <f t="shared" si="88"/>
        <v>3206.2500000000041</v>
      </c>
      <c r="S915" s="7">
        <f t="shared" si="89"/>
        <v>-17156.250000000018</v>
      </c>
    </row>
    <row r="916" spans="1:19" x14ac:dyDescent="0.25">
      <c r="A916" s="4">
        <f>Sheet1!A916</f>
        <v>40414</v>
      </c>
      <c r="B916" s="5">
        <f>Sheet1!B916</f>
        <v>0.58333333333333337</v>
      </c>
      <c r="C916" s="6">
        <f>Sheet1!C916</f>
        <v>219</v>
      </c>
      <c r="D916" s="6">
        <f>Sheet1!D916</f>
        <v>219.4</v>
      </c>
      <c r="E916" s="6">
        <f>Sheet1!E916</f>
        <v>203.95</v>
      </c>
      <c r="F916" s="6">
        <f>Sheet1!F916</f>
        <v>204.7</v>
      </c>
      <c r="H916" s="6">
        <f ca="1">IF(ROW($H916)-1&lt;$I$1,$F916,AVERAGE($F916:OFFSET($F916,(($I$1-1)*-1),0)))</f>
        <v>215.03333333333333</v>
      </c>
      <c r="J916" s="6">
        <f ca="1">IF(ROW($J916)-1&lt;$K$1,$F916,AVERAGE($F916:OFFSET($F916,(($K$1-1)*-1),0)))</f>
        <v>208.28214285714293</v>
      </c>
      <c r="L916" s="7">
        <f t="shared" ca="1" si="84"/>
        <v>1</v>
      </c>
      <c r="M916" s="7" t="str">
        <f t="shared" ca="1" si="85"/>
        <v/>
      </c>
      <c r="N916" s="6" t="str">
        <f t="shared" ca="1" si="86"/>
        <v/>
      </c>
      <c r="O916" s="6">
        <f t="shared" si="87"/>
        <v>-14.800000000000011</v>
      </c>
      <c r="Q916" s="6">
        <v>-6.25</v>
      </c>
      <c r="R916" s="9">
        <f t="shared" si="88"/>
        <v>-2343.75</v>
      </c>
      <c r="S916" s="7">
        <f t="shared" si="89"/>
        <v>-17156.250000000018</v>
      </c>
    </row>
    <row r="917" spans="1:19" x14ac:dyDescent="0.25">
      <c r="A917" s="4">
        <f>Sheet1!A917</f>
        <v>40415</v>
      </c>
      <c r="B917" s="5">
        <f>Sheet1!B917</f>
        <v>0.58333333333333337</v>
      </c>
      <c r="C917" s="6">
        <f>Sheet1!C917</f>
        <v>204.7</v>
      </c>
      <c r="D917" s="6">
        <f>Sheet1!D917</f>
        <v>206.15</v>
      </c>
      <c r="E917" s="6">
        <f>Sheet1!E917</f>
        <v>201.6</v>
      </c>
      <c r="F917" s="6">
        <f>Sheet1!F917</f>
        <v>202.85</v>
      </c>
      <c r="H917" s="6">
        <f ca="1">IF(ROW($H917)-1&lt;$I$1,$F917,AVERAGE($F917:OFFSET($F917,(($I$1-1)*-1),0)))</f>
        <v>213.08333333333334</v>
      </c>
      <c r="J917" s="6">
        <f ca="1">IF(ROW($J917)-1&lt;$K$1,$F917,AVERAGE($F917:OFFSET($F917,(($K$1-1)*-1),0)))</f>
        <v>208.20714285714294</v>
      </c>
      <c r="L917" s="7">
        <f t="shared" ca="1" si="84"/>
        <v>1</v>
      </c>
      <c r="M917" s="7" t="str">
        <f t="shared" ca="1" si="85"/>
        <v/>
      </c>
      <c r="N917" s="6" t="str">
        <f t="shared" ca="1" si="86"/>
        <v/>
      </c>
      <c r="O917" s="6">
        <f t="shared" si="87"/>
        <v>-1.8499999999999943</v>
      </c>
      <c r="Q917" s="6">
        <v>-8.0999999999999943</v>
      </c>
      <c r="R917" s="9">
        <f t="shared" si="88"/>
        <v>-3037.4999999999977</v>
      </c>
      <c r="S917" s="7">
        <f t="shared" si="89"/>
        <v>-17156.250000000018</v>
      </c>
    </row>
    <row r="918" spans="1:19" x14ac:dyDescent="0.25">
      <c r="A918" s="4">
        <f>Sheet1!A918</f>
        <v>40416</v>
      </c>
      <c r="B918" s="5">
        <f>Sheet1!B918</f>
        <v>0.58333333333333337</v>
      </c>
      <c r="C918" s="6">
        <f>Sheet1!C918</f>
        <v>204.25</v>
      </c>
      <c r="D918" s="6">
        <f>Sheet1!D918</f>
        <v>210.05</v>
      </c>
      <c r="E918" s="6">
        <f>Sheet1!E918</f>
        <v>203.5</v>
      </c>
      <c r="F918" s="6">
        <f>Sheet1!F918</f>
        <v>208.65</v>
      </c>
      <c r="H918" s="6">
        <f ca="1">IF(ROW($H918)-1&lt;$I$1,$F918,AVERAGE($F918:OFFSET($F918,(($I$1-1)*-1),0)))</f>
        <v>212.18333333333331</v>
      </c>
      <c r="J918" s="6">
        <f ca="1">IF(ROW($J918)-1&lt;$K$1,$F918,AVERAGE($F918:OFFSET($F918,(($K$1-1)*-1),0)))</f>
        <v>208.4553571428572</v>
      </c>
      <c r="L918" s="7">
        <f t="shared" ca="1" si="84"/>
        <v>1</v>
      </c>
      <c r="M918" s="7" t="str">
        <f t="shared" ca="1" si="85"/>
        <v/>
      </c>
      <c r="N918" s="6" t="str">
        <f t="shared" ca="1" si="86"/>
        <v/>
      </c>
      <c r="O918" s="6">
        <f t="shared" si="87"/>
        <v>5.8000000000000114</v>
      </c>
      <c r="Q918" s="6">
        <v>-2.2999999999999829</v>
      </c>
      <c r="R918" s="9">
        <f t="shared" si="88"/>
        <v>-862.49999999999363</v>
      </c>
      <c r="S918" s="7">
        <f t="shared" si="89"/>
        <v>-17156.250000000018</v>
      </c>
    </row>
    <row r="919" spans="1:19" x14ac:dyDescent="0.25">
      <c r="A919" s="4">
        <f>Sheet1!A919</f>
        <v>40417</v>
      </c>
      <c r="B919" s="5">
        <f>Sheet1!B919</f>
        <v>0.58333333333333337</v>
      </c>
      <c r="C919" s="6">
        <f>Sheet1!C919</f>
        <v>208.65</v>
      </c>
      <c r="D919" s="6">
        <f>Sheet1!D919</f>
        <v>217.8</v>
      </c>
      <c r="E919" s="6">
        <f>Sheet1!E919</f>
        <v>206.55</v>
      </c>
      <c r="F919" s="6">
        <f>Sheet1!F919</f>
        <v>215.1</v>
      </c>
      <c r="H919" s="6">
        <f ca="1">IF(ROW($H919)-1&lt;$I$1,$F919,AVERAGE($F919:OFFSET($F919,(($I$1-1)*-1),0)))</f>
        <v>212.01666666666665</v>
      </c>
      <c r="J919" s="6">
        <f ca="1">IF(ROW($J919)-1&lt;$K$1,$F919,AVERAGE($F919:OFFSET($F919,(($K$1-1)*-1),0)))</f>
        <v>209.12142857142862</v>
      </c>
      <c r="L919" s="7">
        <f t="shared" ca="1" si="84"/>
        <v>1</v>
      </c>
      <c r="M919" s="7" t="str">
        <f t="shared" ca="1" si="85"/>
        <v/>
      </c>
      <c r="N919" s="6" t="str">
        <f t="shared" ca="1" si="86"/>
        <v/>
      </c>
      <c r="O919" s="6">
        <f t="shared" si="87"/>
        <v>6.4499999999999886</v>
      </c>
      <c r="Q919" s="6">
        <v>4.1500000000000057</v>
      </c>
      <c r="R919" s="9">
        <f t="shared" si="88"/>
        <v>1556.250000000002</v>
      </c>
      <c r="S919" s="7">
        <f t="shared" si="89"/>
        <v>-17156.250000000018</v>
      </c>
    </row>
    <row r="920" spans="1:19" x14ac:dyDescent="0.25">
      <c r="A920" s="4">
        <f>Sheet1!A920</f>
        <v>40420</v>
      </c>
      <c r="B920" s="5">
        <f>Sheet1!B920</f>
        <v>0.58333333333333337</v>
      </c>
      <c r="C920" s="6">
        <f>Sheet1!C920</f>
        <v>215.95</v>
      </c>
      <c r="D920" s="6">
        <f>Sheet1!D920</f>
        <v>220.55</v>
      </c>
      <c r="E920" s="6">
        <f>Sheet1!E920</f>
        <v>213.05</v>
      </c>
      <c r="F920" s="6">
        <f>Sheet1!F920</f>
        <v>217.65</v>
      </c>
      <c r="H920" s="6">
        <f ca="1">IF(ROW($H920)-1&lt;$I$1,$F920,AVERAGE($F920:OFFSET($F920,(($I$1-1)*-1),0)))</f>
        <v>211.40833333333333</v>
      </c>
      <c r="J920" s="6">
        <f ca="1">IF(ROW($J920)-1&lt;$K$1,$F920,AVERAGE($F920:OFFSET($F920,(($K$1-1)*-1),0)))</f>
        <v>209.92321428571432</v>
      </c>
      <c r="L920" s="7">
        <f t="shared" ca="1" si="84"/>
        <v>1</v>
      </c>
      <c r="M920" s="7" t="str">
        <f t="shared" ca="1" si="85"/>
        <v/>
      </c>
      <c r="N920" s="6" t="str">
        <f t="shared" ca="1" si="86"/>
        <v/>
      </c>
      <c r="O920" s="6">
        <f t="shared" si="87"/>
        <v>2.5500000000000114</v>
      </c>
      <c r="Q920" s="6">
        <v>6.7000000000000171</v>
      </c>
      <c r="R920" s="9">
        <f t="shared" si="88"/>
        <v>2512.5000000000064</v>
      </c>
      <c r="S920" s="7">
        <f t="shared" si="89"/>
        <v>-17156.250000000018</v>
      </c>
    </row>
    <row r="921" spans="1:19" x14ac:dyDescent="0.25">
      <c r="A921" s="4">
        <f>Sheet1!A921</f>
        <v>40421</v>
      </c>
      <c r="B921" s="5">
        <f>Sheet1!B921</f>
        <v>0.58333333333333337</v>
      </c>
      <c r="C921" s="6">
        <f>Sheet1!C921</f>
        <v>216.25</v>
      </c>
      <c r="D921" s="6">
        <f>Sheet1!D921</f>
        <v>219.45</v>
      </c>
      <c r="E921" s="6">
        <f>Sheet1!E921</f>
        <v>213.45</v>
      </c>
      <c r="F921" s="6">
        <f>Sheet1!F921</f>
        <v>214.7</v>
      </c>
      <c r="H921" s="6">
        <f ca="1">IF(ROW($H921)-1&lt;$I$1,$F921,AVERAGE($F921:OFFSET($F921,(($I$1-1)*-1),0)))</f>
        <v>210.60833333333335</v>
      </c>
      <c r="J921" s="6">
        <f ca="1">IF(ROW($J921)-1&lt;$K$1,$F921,AVERAGE($F921:OFFSET($F921,(($K$1-1)*-1),0)))</f>
        <v>210.46250000000003</v>
      </c>
      <c r="L921" s="7">
        <f t="shared" ca="1" si="84"/>
        <v>1</v>
      </c>
      <c r="M921" s="7" t="str">
        <f t="shared" ca="1" si="85"/>
        <v/>
      </c>
      <c r="N921" s="6" t="str">
        <f t="shared" ca="1" si="86"/>
        <v/>
      </c>
      <c r="O921" s="6">
        <f t="shared" si="87"/>
        <v>-2.9500000000000171</v>
      </c>
      <c r="Q921" s="6">
        <v>3.75</v>
      </c>
      <c r="R921" s="9">
        <f t="shared" si="88"/>
        <v>1406.25</v>
      </c>
      <c r="S921" s="7">
        <f t="shared" si="89"/>
        <v>-17156.250000000018</v>
      </c>
    </row>
    <row r="922" spans="1:19" x14ac:dyDescent="0.25">
      <c r="A922" s="4">
        <f>Sheet1!A922</f>
        <v>40422</v>
      </c>
      <c r="B922" s="5">
        <f>Sheet1!B922</f>
        <v>0.58333333333333337</v>
      </c>
      <c r="C922" s="6">
        <f>Sheet1!C922</f>
        <v>215.9</v>
      </c>
      <c r="D922" s="6">
        <f>Sheet1!D922</f>
        <v>220.45</v>
      </c>
      <c r="E922" s="6">
        <f>Sheet1!E922</f>
        <v>215.55</v>
      </c>
      <c r="F922" s="6">
        <f>Sheet1!F922</f>
        <v>218.6</v>
      </c>
      <c r="H922" s="6">
        <f ca="1">IF(ROW($H922)-1&lt;$I$1,$F922,AVERAGE($F922:OFFSET($F922,(($I$1-1)*-1),0)))</f>
        <v>212.92499999999998</v>
      </c>
      <c r="J922" s="6">
        <f ca="1">IF(ROW($J922)-1&lt;$K$1,$F922,AVERAGE($F922:OFFSET($F922,(($K$1-1)*-1),0)))</f>
        <v>210.98750000000001</v>
      </c>
      <c r="L922" s="7">
        <f t="shared" ca="1" si="84"/>
        <v>1</v>
      </c>
      <c r="M922" s="7" t="str">
        <f t="shared" ca="1" si="85"/>
        <v/>
      </c>
      <c r="N922" s="6" t="str">
        <f t="shared" ca="1" si="86"/>
        <v/>
      </c>
      <c r="O922" s="6">
        <f t="shared" si="87"/>
        <v>3.9000000000000057</v>
      </c>
      <c r="Q922" s="6">
        <v>7.6500000000000057</v>
      </c>
      <c r="R922" s="9">
        <f t="shared" si="88"/>
        <v>2868.7500000000023</v>
      </c>
      <c r="S922" s="7">
        <f t="shared" si="89"/>
        <v>-17156.250000000018</v>
      </c>
    </row>
    <row r="923" spans="1:19" x14ac:dyDescent="0.25">
      <c r="A923" s="4">
        <f>Sheet1!A923</f>
        <v>40423</v>
      </c>
      <c r="B923" s="5">
        <f>Sheet1!B923</f>
        <v>0.58333333333333337</v>
      </c>
      <c r="C923" s="6">
        <f>Sheet1!C923</f>
        <v>218.25</v>
      </c>
      <c r="D923" s="6">
        <f>Sheet1!D923</f>
        <v>222.9</v>
      </c>
      <c r="E923" s="6">
        <f>Sheet1!E923</f>
        <v>217.6</v>
      </c>
      <c r="F923" s="6">
        <f>Sheet1!F923</f>
        <v>221.1</v>
      </c>
      <c r="H923" s="6">
        <f ca="1">IF(ROW($H923)-1&lt;$I$1,$F923,AVERAGE($F923:OFFSET($F923,(($I$1-1)*-1),0)))</f>
        <v>215.96666666666661</v>
      </c>
      <c r="J923" s="6">
        <f ca="1">IF(ROW($J923)-1&lt;$K$1,$F923,AVERAGE($F923:OFFSET($F923,(($K$1-1)*-1),0)))</f>
        <v>211.61607142857147</v>
      </c>
      <c r="L923" s="7">
        <f t="shared" ca="1" si="84"/>
        <v>1</v>
      </c>
      <c r="M923" s="7" t="str">
        <f t="shared" ca="1" si="85"/>
        <v/>
      </c>
      <c r="N923" s="6" t="str">
        <f t="shared" ca="1" si="86"/>
        <v/>
      </c>
      <c r="O923" s="6">
        <f t="shared" si="87"/>
        <v>2.5</v>
      </c>
      <c r="Q923" s="6">
        <v>10.150000000000006</v>
      </c>
      <c r="R923" s="9">
        <f t="shared" si="88"/>
        <v>3806.2500000000023</v>
      </c>
      <c r="S923" s="7">
        <f t="shared" si="89"/>
        <v>-17156.250000000018</v>
      </c>
    </row>
    <row r="924" spans="1:19" x14ac:dyDescent="0.25">
      <c r="A924" s="4">
        <f>Sheet1!A924</f>
        <v>40424</v>
      </c>
      <c r="B924" s="5">
        <f>Sheet1!B924</f>
        <v>0.58333333333333337</v>
      </c>
      <c r="C924" s="6">
        <f>Sheet1!C924</f>
        <v>220.95</v>
      </c>
      <c r="D924" s="6">
        <f>Sheet1!D924</f>
        <v>224.6</v>
      </c>
      <c r="E924" s="6">
        <f>Sheet1!E924</f>
        <v>220.25</v>
      </c>
      <c r="F924" s="6">
        <f>Sheet1!F924</f>
        <v>223.2</v>
      </c>
      <c r="H924" s="6">
        <f ca="1">IF(ROW($H924)-1&lt;$I$1,$F924,AVERAGE($F924:OFFSET($F924,(($I$1-1)*-1),0)))</f>
        <v>218.39166666666668</v>
      </c>
      <c r="J924" s="6">
        <f ca="1">IF(ROW($J924)-1&lt;$K$1,$F924,AVERAGE($F924:OFFSET($F924,(($K$1-1)*-1),0)))</f>
        <v>212.38571428571433</v>
      </c>
      <c r="L924" s="7">
        <f t="shared" ca="1" si="84"/>
        <v>1</v>
      </c>
      <c r="M924" s="7" t="str">
        <f t="shared" ca="1" si="85"/>
        <v/>
      </c>
      <c r="N924" s="6" t="str">
        <f t="shared" ca="1" si="86"/>
        <v/>
      </c>
      <c r="O924" s="6">
        <f t="shared" si="87"/>
        <v>2.0999999999999943</v>
      </c>
      <c r="Q924" s="6">
        <v>12.25</v>
      </c>
      <c r="R924" s="9">
        <f t="shared" si="88"/>
        <v>4593.75</v>
      </c>
      <c r="S924" s="7">
        <f t="shared" si="89"/>
        <v>-17156.250000000018</v>
      </c>
    </row>
    <row r="925" spans="1:19" x14ac:dyDescent="0.25">
      <c r="A925" s="4">
        <f>Sheet1!A925</f>
        <v>40428</v>
      </c>
      <c r="B925" s="5">
        <f>Sheet1!B925</f>
        <v>0.58333333333333337</v>
      </c>
      <c r="C925" s="6">
        <f>Sheet1!C925</f>
        <v>222.45</v>
      </c>
      <c r="D925" s="6">
        <f>Sheet1!D925</f>
        <v>229.8</v>
      </c>
      <c r="E925" s="6">
        <f>Sheet1!E925</f>
        <v>218.85</v>
      </c>
      <c r="F925" s="6">
        <f>Sheet1!F925</f>
        <v>228.55</v>
      </c>
      <c r="H925" s="6">
        <f ca="1">IF(ROW($H925)-1&lt;$I$1,$F925,AVERAGE($F925:OFFSET($F925,(($I$1-1)*-1),0)))</f>
        <v>220.63333333333333</v>
      </c>
      <c r="J925" s="6">
        <f ca="1">IF(ROW($J925)-1&lt;$K$1,$F925,AVERAGE($F925:OFFSET($F925,(($K$1-1)*-1),0)))</f>
        <v>213.21607142857144</v>
      </c>
      <c r="L925" s="7">
        <f t="shared" ca="1" si="84"/>
        <v>1</v>
      </c>
      <c r="M925" s="7" t="str">
        <f t="shared" ca="1" si="85"/>
        <v/>
      </c>
      <c r="N925" s="6" t="str">
        <f t="shared" ca="1" si="86"/>
        <v/>
      </c>
      <c r="O925" s="6">
        <f t="shared" si="87"/>
        <v>5.3500000000000227</v>
      </c>
      <c r="Q925" s="6">
        <v>17.600000000000023</v>
      </c>
      <c r="R925" s="9">
        <f t="shared" si="88"/>
        <v>6600.0000000000082</v>
      </c>
      <c r="S925" s="7">
        <f t="shared" si="89"/>
        <v>-17156.250000000018</v>
      </c>
    </row>
    <row r="926" spans="1:19" x14ac:dyDescent="0.25">
      <c r="A926" s="4">
        <f>Sheet1!A926</f>
        <v>40429</v>
      </c>
      <c r="B926" s="5">
        <f>Sheet1!B926</f>
        <v>0.58333333333333337</v>
      </c>
      <c r="C926" s="6">
        <f>Sheet1!C926</f>
        <v>229.25</v>
      </c>
      <c r="D926" s="6">
        <f>Sheet1!D926</f>
        <v>234.9</v>
      </c>
      <c r="E926" s="6">
        <f>Sheet1!E926</f>
        <v>225.85</v>
      </c>
      <c r="F926" s="6">
        <f>Sheet1!F926</f>
        <v>230.8</v>
      </c>
      <c r="H926" s="6">
        <f ca="1">IF(ROW($H926)-1&lt;$I$1,$F926,AVERAGE($F926:OFFSET($F926,(($I$1-1)*-1),0)))</f>
        <v>222.82499999999996</v>
      </c>
      <c r="J926" s="6">
        <f ca="1">IF(ROW($J926)-1&lt;$K$1,$F926,AVERAGE($F926:OFFSET($F926,(($K$1-1)*-1),0)))</f>
        <v>213.92500000000001</v>
      </c>
      <c r="L926" s="7">
        <f t="shared" ca="1" si="84"/>
        <v>1</v>
      </c>
      <c r="M926" s="7" t="str">
        <f t="shared" ca="1" si="85"/>
        <v/>
      </c>
      <c r="N926" s="6" t="str">
        <f t="shared" ca="1" si="86"/>
        <v/>
      </c>
      <c r="O926" s="6">
        <f t="shared" si="87"/>
        <v>2.25</v>
      </c>
      <c r="Q926" s="6">
        <v>19.850000000000023</v>
      </c>
      <c r="R926" s="9">
        <f t="shared" si="88"/>
        <v>7443.7500000000082</v>
      </c>
      <c r="S926" s="7">
        <f t="shared" si="89"/>
        <v>-17156.250000000018</v>
      </c>
    </row>
    <row r="927" spans="1:19" x14ac:dyDescent="0.25">
      <c r="A927" s="4">
        <f>Sheet1!A927</f>
        <v>40430</v>
      </c>
      <c r="B927" s="5">
        <f>Sheet1!B927</f>
        <v>0.58333333333333337</v>
      </c>
      <c r="C927" s="6">
        <f>Sheet1!C927</f>
        <v>227.7</v>
      </c>
      <c r="D927" s="6">
        <f>Sheet1!D927</f>
        <v>230.25</v>
      </c>
      <c r="E927" s="6">
        <f>Sheet1!E927</f>
        <v>225.55</v>
      </c>
      <c r="F927" s="6">
        <f>Sheet1!F927</f>
        <v>226.95</v>
      </c>
      <c r="H927" s="6">
        <f ca="1">IF(ROW($H927)-1&lt;$I$1,$F927,AVERAGE($F927:OFFSET($F927,(($I$1-1)*-1),0)))</f>
        <v>224.86666666666667</v>
      </c>
      <c r="J927" s="6">
        <f ca="1">IF(ROW($J927)-1&lt;$K$1,$F927,AVERAGE($F927:OFFSET($F927,(($K$1-1)*-1),0)))</f>
        <v>214.38035714285715</v>
      </c>
      <c r="L927" s="7">
        <f t="shared" ca="1" si="84"/>
        <v>1</v>
      </c>
      <c r="M927" s="7" t="str">
        <f t="shared" ca="1" si="85"/>
        <v/>
      </c>
      <c r="N927" s="6" t="str">
        <f t="shared" ca="1" si="86"/>
        <v/>
      </c>
      <c r="O927" s="6">
        <f t="shared" si="87"/>
        <v>-3.8500000000000227</v>
      </c>
      <c r="Q927" s="6">
        <v>16</v>
      </c>
      <c r="R927" s="9">
        <f t="shared" si="88"/>
        <v>6000</v>
      </c>
      <c r="S927" s="7">
        <f t="shared" si="89"/>
        <v>-17156.250000000018</v>
      </c>
    </row>
    <row r="928" spans="1:19" x14ac:dyDescent="0.25">
      <c r="A928" s="4">
        <f>Sheet1!A928</f>
        <v>40431</v>
      </c>
      <c r="B928" s="5">
        <f>Sheet1!B928</f>
        <v>0.58333333333333337</v>
      </c>
      <c r="C928" s="6">
        <f>Sheet1!C928</f>
        <v>226.2</v>
      </c>
      <c r="D928" s="6">
        <f>Sheet1!D928</f>
        <v>230.5</v>
      </c>
      <c r="E928" s="6">
        <f>Sheet1!E928</f>
        <v>223.15</v>
      </c>
      <c r="F928" s="6">
        <f>Sheet1!F928</f>
        <v>226.05</v>
      </c>
      <c r="H928" s="6">
        <f ca="1">IF(ROW($H928)-1&lt;$I$1,$F928,AVERAGE($F928:OFFSET($F928,(($I$1-1)*-1),0)))</f>
        <v>226.10833333333332</v>
      </c>
      <c r="J928" s="6">
        <f ca="1">IF(ROW($J928)-1&lt;$K$1,$F928,AVERAGE($F928:OFFSET($F928,(($K$1-1)*-1),0)))</f>
        <v>214.93928571428572</v>
      </c>
      <c r="L928" s="7">
        <f t="shared" ca="1" si="84"/>
        <v>1</v>
      </c>
      <c r="M928" s="7" t="str">
        <f t="shared" ca="1" si="85"/>
        <v/>
      </c>
      <c r="N928" s="6" t="str">
        <f t="shared" ca="1" si="86"/>
        <v/>
      </c>
      <c r="O928" s="6">
        <f t="shared" si="87"/>
        <v>-0.89999999999997726</v>
      </c>
      <c r="Q928" s="6">
        <v>15.100000000000023</v>
      </c>
      <c r="R928" s="9">
        <f t="shared" si="88"/>
        <v>5662.5000000000082</v>
      </c>
      <c r="S928" s="7">
        <f t="shared" si="89"/>
        <v>-17156.250000000018</v>
      </c>
    </row>
    <row r="929" spans="1:19" x14ac:dyDescent="0.25">
      <c r="A929" s="4">
        <f>Sheet1!A929</f>
        <v>40434</v>
      </c>
      <c r="B929" s="5">
        <f>Sheet1!B929</f>
        <v>0.58333333333333337</v>
      </c>
      <c r="C929" s="6">
        <f>Sheet1!C929</f>
        <v>226.2</v>
      </c>
      <c r="D929" s="6">
        <f>Sheet1!D929</f>
        <v>228.95</v>
      </c>
      <c r="E929" s="6">
        <f>Sheet1!E929</f>
        <v>224.45</v>
      </c>
      <c r="F929" s="6">
        <f>Sheet1!F929</f>
        <v>225.4</v>
      </c>
      <c r="H929" s="6">
        <f ca="1">IF(ROW($H929)-1&lt;$I$1,$F929,AVERAGE($F929:OFFSET($F929,(($I$1-1)*-1),0)))</f>
        <v>226.82500000000002</v>
      </c>
      <c r="J929" s="6">
        <f ca="1">IF(ROW($J929)-1&lt;$K$1,$F929,AVERAGE($F929:OFFSET($F929,(($K$1-1)*-1),0)))</f>
        <v>215.68392857142859</v>
      </c>
      <c r="L929" s="7">
        <f t="shared" ca="1" si="84"/>
        <v>1</v>
      </c>
      <c r="M929" s="7" t="str">
        <f t="shared" ca="1" si="85"/>
        <v/>
      </c>
      <c r="N929" s="6" t="str">
        <f t="shared" ca="1" si="86"/>
        <v/>
      </c>
      <c r="O929" s="6">
        <f t="shared" si="87"/>
        <v>-0.65000000000000568</v>
      </c>
      <c r="Q929" s="6">
        <v>14.450000000000017</v>
      </c>
      <c r="R929" s="9">
        <f t="shared" si="88"/>
        <v>5418.7500000000064</v>
      </c>
      <c r="S929" s="7">
        <f t="shared" si="89"/>
        <v>-17156.250000000018</v>
      </c>
    </row>
    <row r="930" spans="1:19" x14ac:dyDescent="0.25">
      <c r="A930" s="4">
        <f>Sheet1!A930</f>
        <v>40435</v>
      </c>
      <c r="B930" s="5">
        <f>Sheet1!B930</f>
        <v>0.58333333333333337</v>
      </c>
      <c r="C930" s="6">
        <f>Sheet1!C930</f>
        <v>227.4</v>
      </c>
      <c r="D930" s="6">
        <f>Sheet1!D930</f>
        <v>233.05</v>
      </c>
      <c r="E930" s="6">
        <f>Sheet1!E930</f>
        <v>226.7</v>
      </c>
      <c r="F930" s="6">
        <f>Sheet1!F930</f>
        <v>231.55</v>
      </c>
      <c r="H930" s="6">
        <f ca="1">IF(ROW($H930)-1&lt;$I$1,$F930,AVERAGE($F930:OFFSET($F930,(($I$1-1)*-1),0)))</f>
        <v>228.21666666666667</v>
      </c>
      <c r="J930" s="6">
        <f ca="1">IF(ROW($J930)-1&lt;$K$1,$F930,AVERAGE($F930:OFFSET($F930,(($K$1-1)*-1),0)))</f>
        <v>216.53749999999999</v>
      </c>
      <c r="L930" s="7">
        <f t="shared" ca="1" si="84"/>
        <v>1</v>
      </c>
      <c r="M930" s="7" t="str">
        <f t="shared" ca="1" si="85"/>
        <v/>
      </c>
      <c r="N930" s="6" t="str">
        <f t="shared" ca="1" si="86"/>
        <v/>
      </c>
      <c r="O930" s="6">
        <f t="shared" si="87"/>
        <v>6.1500000000000057</v>
      </c>
      <c r="Q930" s="6">
        <v>20.600000000000023</v>
      </c>
      <c r="R930" s="9">
        <f t="shared" si="88"/>
        <v>7725.0000000000082</v>
      </c>
      <c r="S930" s="7">
        <f t="shared" si="89"/>
        <v>-17156.250000000018</v>
      </c>
    </row>
    <row r="931" spans="1:19" x14ac:dyDescent="0.25">
      <c r="A931" s="4">
        <f>Sheet1!A931</f>
        <v>40436</v>
      </c>
      <c r="B931" s="5">
        <f>Sheet1!B931</f>
        <v>0.58333333333333337</v>
      </c>
      <c r="C931" s="6">
        <f>Sheet1!C931</f>
        <v>230.8</v>
      </c>
      <c r="D931" s="6">
        <f>Sheet1!D931</f>
        <v>232.35</v>
      </c>
      <c r="E931" s="6">
        <f>Sheet1!E931</f>
        <v>225.4</v>
      </c>
      <c r="F931" s="6">
        <f>Sheet1!F931</f>
        <v>230.4</v>
      </c>
      <c r="H931" s="6">
        <f ca="1">IF(ROW($H931)-1&lt;$I$1,$F931,AVERAGE($F931:OFFSET($F931,(($I$1-1)*-1),0)))</f>
        <v>228.52500000000001</v>
      </c>
      <c r="J931" s="6">
        <f ca="1">IF(ROW($J931)-1&lt;$K$1,$F931,AVERAGE($F931:OFFSET($F931,(($K$1-1)*-1),0)))</f>
        <v>217.34642857142853</v>
      </c>
      <c r="L931" s="7">
        <f t="shared" ca="1" si="84"/>
        <v>1</v>
      </c>
      <c r="M931" s="7" t="str">
        <f t="shared" ca="1" si="85"/>
        <v/>
      </c>
      <c r="N931" s="6" t="str">
        <f t="shared" ca="1" si="86"/>
        <v/>
      </c>
      <c r="O931" s="6">
        <f t="shared" si="87"/>
        <v>-1.1500000000000057</v>
      </c>
      <c r="Q931" s="6">
        <v>19.450000000000017</v>
      </c>
      <c r="R931" s="9">
        <f t="shared" si="88"/>
        <v>7293.7500000000064</v>
      </c>
      <c r="S931" s="7">
        <f t="shared" si="89"/>
        <v>-17156.250000000018</v>
      </c>
    </row>
    <row r="932" spans="1:19" x14ac:dyDescent="0.25">
      <c r="A932" s="4">
        <f>Sheet1!A932</f>
        <v>40437</v>
      </c>
      <c r="B932" s="5">
        <f>Sheet1!B932</f>
        <v>0.58333333333333337</v>
      </c>
      <c r="C932" s="6">
        <f>Sheet1!C932</f>
        <v>228.85</v>
      </c>
      <c r="D932" s="6">
        <f>Sheet1!D932</f>
        <v>233.85</v>
      </c>
      <c r="E932" s="6">
        <f>Sheet1!E932</f>
        <v>226.85</v>
      </c>
      <c r="F932" s="6">
        <f>Sheet1!F932</f>
        <v>228.05</v>
      </c>
      <c r="H932" s="6">
        <f ca="1">IF(ROW($H932)-1&lt;$I$1,$F932,AVERAGE($F932:OFFSET($F932,(($I$1-1)*-1),0)))</f>
        <v>228.06666666666669</v>
      </c>
      <c r="J932" s="6">
        <f ca="1">IF(ROW($J932)-1&lt;$K$1,$F932,AVERAGE($F932:OFFSET($F932,(($K$1-1)*-1),0)))</f>
        <v>218.15892857142853</v>
      </c>
      <c r="L932" s="7">
        <f t="shared" ca="1" si="84"/>
        <v>1</v>
      </c>
      <c r="M932" s="7" t="str">
        <f t="shared" ca="1" si="85"/>
        <v/>
      </c>
      <c r="N932" s="6" t="str">
        <f t="shared" ca="1" si="86"/>
        <v/>
      </c>
      <c r="O932" s="6">
        <f t="shared" si="87"/>
        <v>-2.3499999999999943</v>
      </c>
      <c r="Q932" s="6">
        <v>17.100000000000023</v>
      </c>
      <c r="R932" s="9">
        <f t="shared" si="88"/>
        <v>6412.5000000000082</v>
      </c>
      <c r="S932" s="7">
        <f t="shared" si="89"/>
        <v>-17156.250000000018</v>
      </c>
    </row>
    <row r="933" spans="1:19" x14ac:dyDescent="0.25">
      <c r="A933" s="4">
        <f>Sheet1!A933</f>
        <v>40438</v>
      </c>
      <c r="B933" s="5">
        <f>Sheet1!B933</f>
        <v>0.58333333333333337</v>
      </c>
      <c r="C933" s="6">
        <f>Sheet1!C933</f>
        <v>228.2</v>
      </c>
      <c r="D933" s="6">
        <f>Sheet1!D933</f>
        <v>230.3</v>
      </c>
      <c r="E933" s="6">
        <f>Sheet1!E933</f>
        <v>223.95</v>
      </c>
      <c r="F933" s="6">
        <f>Sheet1!F933</f>
        <v>225.55</v>
      </c>
      <c r="H933" s="6">
        <f ca="1">IF(ROW($H933)-1&lt;$I$1,$F933,AVERAGE($F933:OFFSET($F933,(($I$1-1)*-1),0)))</f>
        <v>227.83333333333334</v>
      </c>
      <c r="J933" s="6">
        <f ca="1">IF(ROW($J933)-1&lt;$K$1,$F933,AVERAGE($F933:OFFSET($F933,(($K$1-1)*-1),0)))</f>
        <v>218.80357142857139</v>
      </c>
      <c r="L933" s="7">
        <f t="shared" ca="1" si="84"/>
        <v>1</v>
      </c>
      <c r="M933" s="7" t="str">
        <f t="shared" ca="1" si="85"/>
        <v/>
      </c>
      <c r="N933" s="6" t="str">
        <f t="shared" ca="1" si="86"/>
        <v/>
      </c>
      <c r="O933" s="6">
        <f t="shared" si="87"/>
        <v>-2.5</v>
      </c>
      <c r="Q933" s="6">
        <v>14.600000000000023</v>
      </c>
      <c r="R933" s="9">
        <f t="shared" si="88"/>
        <v>5475.0000000000082</v>
      </c>
      <c r="S933" s="7">
        <f t="shared" si="89"/>
        <v>-17156.250000000018</v>
      </c>
    </row>
    <row r="934" spans="1:19" x14ac:dyDescent="0.25">
      <c r="A934" s="4">
        <f>Sheet1!A934</f>
        <v>40441</v>
      </c>
      <c r="B934" s="5">
        <f>Sheet1!B934</f>
        <v>0.58333333333333337</v>
      </c>
      <c r="C934" s="6">
        <f>Sheet1!C934</f>
        <v>226.25</v>
      </c>
      <c r="D934" s="6">
        <f>Sheet1!D934</f>
        <v>227</v>
      </c>
      <c r="E934" s="6">
        <f>Sheet1!E934</f>
        <v>217.2</v>
      </c>
      <c r="F934" s="6">
        <f>Sheet1!F934</f>
        <v>218.2</v>
      </c>
      <c r="H934" s="6">
        <f ca="1">IF(ROW($H934)-1&lt;$I$1,$F934,AVERAGE($F934:OFFSET($F934,(($I$1-1)*-1),0)))</f>
        <v>226.52500000000001</v>
      </c>
      <c r="J934" s="6">
        <f ca="1">IF(ROW($J934)-1&lt;$K$1,$F934,AVERAGE($F934:OFFSET($F934,(($K$1-1)*-1),0)))</f>
        <v>219.18392857142854</v>
      </c>
      <c r="L934" s="7">
        <f t="shared" ca="1" si="84"/>
        <v>1</v>
      </c>
      <c r="M934" s="7" t="str">
        <f t="shared" ca="1" si="85"/>
        <v/>
      </c>
      <c r="N934" s="6" t="str">
        <f t="shared" ca="1" si="86"/>
        <v/>
      </c>
      <c r="O934" s="6">
        <f t="shared" si="87"/>
        <v>-7.3500000000000227</v>
      </c>
      <c r="Q934" s="6">
        <v>7.25</v>
      </c>
      <c r="R934" s="9">
        <f t="shared" si="88"/>
        <v>2718.75</v>
      </c>
      <c r="S934" s="7">
        <f t="shared" si="89"/>
        <v>-17156.250000000018</v>
      </c>
    </row>
    <row r="935" spans="1:19" x14ac:dyDescent="0.25">
      <c r="A935" s="4">
        <f>Sheet1!A935</f>
        <v>40442</v>
      </c>
      <c r="B935" s="5">
        <f>Sheet1!B935</f>
        <v>0.58333333333333337</v>
      </c>
      <c r="C935" s="6">
        <f>Sheet1!C935</f>
        <v>219.1</v>
      </c>
      <c r="D935" s="6">
        <f>Sheet1!D935</f>
        <v>222.15</v>
      </c>
      <c r="E935" s="6">
        <f>Sheet1!E935</f>
        <v>217.45</v>
      </c>
      <c r="F935" s="6">
        <f>Sheet1!F935</f>
        <v>219.15</v>
      </c>
      <c r="H935" s="6">
        <f ca="1">IF(ROW($H935)-1&lt;$I$1,$F935,AVERAGE($F935:OFFSET($F935,(($I$1-1)*-1),0)))</f>
        <v>225.48333333333335</v>
      </c>
      <c r="J935" s="6">
        <f ca="1">IF(ROW($J935)-1&lt;$K$1,$F935,AVERAGE($F935:OFFSET($F935,(($K$1-1)*-1),0)))</f>
        <v>219.56071428571425</v>
      </c>
      <c r="L935" s="7">
        <f t="shared" ca="1" si="84"/>
        <v>1</v>
      </c>
      <c r="M935" s="7" t="str">
        <f t="shared" ca="1" si="85"/>
        <v/>
      </c>
      <c r="N935" s="6" t="str">
        <f t="shared" ca="1" si="86"/>
        <v/>
      </c>
      <c r="O935" s="6">
        <f t="shared" si="87"/>
        <v>0.95000000000001705</v>
      </c>
      <c r="Q935" s="6">
        <v>8.2000000000000171</v>
      </c>
      <c r="R935" s="9">
        <f t="shared" si="88"/>
        <v>3075.0000000000064</v>
      </c>
      <c r="S935" s="7">
        <f t="shared" si="89"/>
        <v>-17156.250000000018</v>
      </c>
    </row>
    <row r="936" spans="1:19" x14ac:dyDescent="0.25">
      <c r="A936" s="4">
        <f>Sheet1!A936</f>
        <v>40443</v>
      </c>
      <c r="B936" s="5">
        <f>Sheet1!B936</f>
        <v>0.58333333333333337</v>
      </c>
      <c r="C936" s="6">
        <f>Sheet1!C936</f>
        <v>219.9</v>
      </c>
      <c r="D936" s="6">
        <f>Sheet1!D936</f>
        <v>223.65</v>
      </c>
      <c r="E936" s="6">
        <f>Sheet1!E936</f>
        <v>215.6</v>
      </c>
      <c r="F936" s="6">
        <f>Sheet1!F936</f>
        <v>216.2</v>
      </c>
      <c r="H936" s="6">
        <f ca="1">IF(ROW($H936)-1&lt;$I$1,$F936,AVERAGE($F936:OFFSET($F936,(($I$1-1)*-1),0)))</f>
        <v>222.92500000000004</v>
      </c>
      <c r="J936" s="6">
        <f ca="1">IF(ROW($J936)-1&lt;$K$1,$F936,AVERAGE($F936:OFFSET($F936,(($K$1-1)*-1),0)))</f>
        <v>219.64642857142852</v>
      </c>
      <c r="L936" s="7">
        <f t="shared" ca="1" si="84"/>
        <v>1</v>
      </c>
      <c r="M936" s="7" t="str">
        <f t="shared" ca="1" si="85"/>
        <v/>
      </c>
      <c r="N936" s="6" t="str">
        <f t="shared" ca="1" si="86"/>
        <v/>
      </c>
      <c r="O936" s="6">
        <f t="shared" si="87"/>
        <v>-2.9500000000000171</v>
      </c>
      <c r="Q936" s="6">
        <v>5.25</v>
      </c>
      <c r="R936" s="9">
        <f t="shared" si="88"/>
        <v>1968.75</v>
      </c>
      <c r="S936" s="7">
        <f t="shared" si="89"/>
        <v>-17156.250000000018</v>
      </c>
    </row>
    <row r="937" spans="1:19" x14ac:dyDescent="0.25">
      <c r="A937" s="4">
        <f>Sheet1!A937</f>
        <v>40444</v>
      </c>
      <c r="B937" s="5">
        <f>Sheet1!B937</f>
        <v>0.58333333333333337</v>
      </c>
      <c r="C937" s="6">
        <f>Sheet1!C937</f>
        <v>217.25</v>
      </c>
      <c r="D937" s="6">
        <f>Sheet1!D937</f>
        <v>219.5</v>
      </c>
      <c r="E937" s="6">
        <f>Sheet1!E937</f>
        <v>215.85</v>
      </c>
      <c r="F937" s="6">
        <f>Sheet1!F937</f>
        <v>217.9</v>
      </c>
      <c r="H937" s="6">
        <f ca="1">IF(ROW($H937)-1&lt;$I$1,$F937,AVERAGE($F937:OFFSET($F937,(($I$1-1)*-1),0)))</f>
        <v>220.84166666666667</v>
      </c>
      <c r="J937" s="6">
        <f ca="1">IF(ROW($J937)-1&lt;$K$1,$F937,AVERAGE($F937:OFFSET($F937,(($K$1-1)*-1),0)))</f>
        <v>219.79107142857137</v>
      </c>
      <c r="L937" s="7">
        <f t="shared" ca="1" si="84"/>
        <v>1</v>
      </c>
      <c r="M937" s="7" t="str">
        <f t="shared" ca="1" si="85"/>
        <v/>
      </c>
      <c r="N937" s="6" t="str">
        <f t="shared" ca="1" si="86"/>
        <v/>
      </c>
      <c r="O937" s="6">
        <f t="shared" si="87"/>
        <v>1.7000000000000171</v>
      </c>
      <c r="Q937" s="6">
        <v>6.9500000000000171</v>
      </c>
      <c r="R937" s="9">
        <f t="shared" si="88"/>
        <v>2606.2500000000064</v>
      </c>
      <c r="S937" s="7">
        <f t="shared" si="89"/>
        <v>-17156.250000000018</v>
      </c>
    </row>
    <row r="938" spans="1:19" x14ac:dyDescent="0.25">
      <c r="A938" s="4">
        <f>Sheet1!A938</f>
        <v>40445</v>
      </c>
      <c r="B938" s="5">
        <f>Sheet1!B938</f>
        <v>0.58333333333333337</v>
      </c>
      <c r="C938" s="6">
        <f>Sheet1!C938</f>
        <v>218.2</v>
      </c>
      <c r="D938" s="6">
        <f>Sheet1!D938</f>
        <v>219.95</v>
      </c>
      <c r="E938" s="6">
        <f>Sheet1!E938</f>
        <v>214.5</v>
      </c>
      <c r="F938" s="6">
        <f>Sheet1!F938</f>
        <v>216.85</v>
      </c>
      <c r="H938" s="6">
        <f ca="1">IF(ROW($H938)-1&lt;$I$1,$F938,AVERAGE($F938:OFFSET($F938,(($I$1-1)*-1),0)))</f>
        <v>218.97499999999999</v>
      </c>
      <c r="J938" s="6">
        <f ca="1">IF(ROW($J938)-1&lt;$K$1,$F938,AVERAGE($F938:OFFSET($F938,(($K$1-1)*-1),0)))</f>
        <v>219.77321428571423</v>
      </c>
      <c r="L938" s="7">
        <f t="shared" ca="1" si="84"/>
        <v>-1</v>
      </c>
      <c r="M938" s="7">
        <f t="shared" ca="1" si="85"/>
        <v>-1</v>
      </c>
      <c r="N938" s="6" t="str">
        <f t="shared" ca="1" si="86"/>
        <v/>
      </c>
      <c r="O938" s="6">
        <f t="shared" si="87"/>
        <v>-1.0500000000000114</v>
      </c>
      <c r="Q938" s="6">
        <v>5.9000000000000057</v>
      </c>
      <c r="R938" s="9">
        <f t="shared" si="88"/>
        <v>2212.5000000000023</v>
      </c>
      <c r="S938" s="7">
        <f t="shared" si="89"/>
        <v>-17156.250000000018</v>
      </c>
    </row>
    <row r="939" spans="1:19" x14ac:dyDescent="0.25">
      <c r="A939" s="4">
        <f>Sheet1!A939</f>
        <v>40448</v>
      </c>
      <c r="B939" s="5">
        <f>Sheet1!B939</f>
        <v>0.58333333333333337</v>
      </c>
      <c r="C939" s="6">
        <f>Sheet1!C939</f>
        <v>216.95</v>
      </c>
      <c r="D939" s="6">
        <f>Sheet1!D939</f>
        <v>221.25</v>
      </c>
      <c r="E939" s="6">
        <f>Sheet1!E939</f>
        <v>215.8</v>
      </c>
      <c r="F939" s="6">
        <f>Sheet1!F939</f>
        <v>218.5</v>
      </c>
      <c r="H939" s="6">
        <f ca="1">IF(ROW($H939)-1&lt;$I$1,$F939,AVERAGE($F939:OFFSET($F939,(($I$1-1)*-1),0)))</f>
        <v>217.79999999999998</v>
      </c>
      <c r="J939" s="6">
        <f ca="1">IF(ROW($J939)-1&lt;$K$1,$F939,AVERAGE($F939:OFFSET($F939,(($K$1-1)*-1),0)))</f>
        <v>219.91428571428568</v>
      </c>
      <c r="L939" s="7">
        <f t="shared" ca="1" si="84"/>
        <v>-1</v>
      </c>
      <c r="M939" s="7" t="str">
        <f t="shared" ca="1" si="85"/>
        <v/>
      </c>
      <c r="N939" s="6">
        <f t="shared" ca="1" si="86"/>
        <v>216.95</v>
      </c>
      <c r="O939" s="6">
        <f t="shared" si="87"/>
        <v>1.6500000000000057</v>
      </c>
      <c r="P939" s="6">
        <v>6</v>
      </c>
      <c r="Q939" s="6">
        <v>-1.5500000000000114</v>
      </c>
      <c r="R939" s="9">
        <f t="shared" si="88"/>
        <v>-581.25000000000432</v>
      </c>
      <c r="S939" s="7">
        <f t="shared" si="89"/>
        <v>-14906.250000000018</v>
      </c>
    </row>
    <row r="940" spans="1:19" x14ac:dyDescent="0.25">
      <c r="A940" s="4">
        <f>Sheet1!A940</f>
        <v>40449</v>
      </c>
      <c r="B940" s="5">
        <f>Sheet1!B940</f>
        <v>0.58333333333333337</v>
      </c>
      <c r="C940" s="6">
        <f>Sheet1!C940</f>
        <v>217.8</v>
      </c>
      <c r="D940" s="6">
        <f>Sheet1!D940</f>
        <v>227.15</v>
      </c>
      <c r="E940" s="6">
        <f>Sheet1!E940</f>
        <v>217.8</v>
      </c>
      <c r="F940" s="6">
        <f>Sheet1!F940</f>
        <v>225.2</v>
      </c>
      <c r="H940" s="6">
        <f ca="1">IF(ROW($H940)-1&lt;$I$1,$F940,AVERAGE($F940:OFFSET($F940,(($I$1-1)*-1),0)))</f>
        <v>218.96666666666667</v>
      </c>
      <c r="J940" s="6">
        <f ca="1">IF(ROW($J940)-1&lt;$K$1,$F940,AVERAGE($F940:OFFSET($F940,(($K$1-1)*-1),0)))</f>
        <v>220.3125</v>
      </c>
      <c r="L940" s="7">
        <f t="shared" ca="1" si="84"/>
        <v>-1</v>
      </c>
      <c r="M940" s="7" t="str">
        <f t="shared" ca="1" si="85"/>
        <v/>
      </c>
      <c r="N940" s="6" t="str">
        <f t="shared" ca="1" si="86"/>
        <v/>
      </c>
      <c r="O940" s="6">
        <f t="shared" si="87"/>
        <v>6.6999999999999886</v>
      </c>
      <c r="Q940" s="6">
        <v>-8.25</v>
      </c>
      <c r="R940" s="9">
        <f t="shared" si="88"/>
        <v>-3093.75</v>
      </c>
      <c r="S940" s="7">
        <f t="shared" si="89"/>
        <v>-14906.250000000018</v>
      </c>
    </row>
    <row r="941" spans="1:19" x14ac:dyDescent="0.25">
      <c r="A941" s="4">
        <f>Sheet1!A941</f>
        <v>40450</v>
      </c>
      <c r="B941" s="5">
        <f>Sheet1!B941</f>
        <v>0.58333333333333337</v>
      </c>
      <c r="C941" s="6">
        <f>Sheet1!C941</f>
        <v>225.2</v>
      </c>
      <c r="D941" s="6">
        <f>Sheet1!D941</f>
        <v>225.7</v>
      </c>
      <c r="E941" s="6">
        <f>Sheet1!E941</f>
        <v>219.5</v>
      </c>
      <c r="F941" s="6">
        <f>Sheet1!F941</f>
        <v>222</v>
      </c>
      <c r="H941" s="6">
        <f ca="1">IF(ROW($H941)-1&lt;$I$1,$F941,AVERAGE($F941:OFFSET($F941,(($I$1-1)*-1),0)))</f>
        <v>219.44166666666669</v>
      </c>
      <c r="J941" s="6">
        <f ca="1">IF(ROW($J941)-1&lt;$K$1,$F941,AVERAGE($F941:OFFSET($F941,(($K$1-1)*-1),0)))</f>
        <v>220.52321428571426</v>
      </c>
      <c r="L941" s="7">
        <f t="shared" ca="1" si="84"/>
        <v>-1</v>
      </c>
      <c r="M941" s="7" t="str">
        <f t="shared" ca="1" si="85"/>
        <v/>
      </c>
      <c r="N941" s="6" t="str">
        <f t="shared" ca="1" si="86"/>
        <v/>
      </c>
      <c r="O941" s="6">
        <f t="shared" si="87"/>
        <v>-3.1999999999999886</v>
      </c>
      <c r="Q941" s="6">
        <v>-5.0500000000000114</v>
      </c>
      <c r="R941" s="9">
        <f t="shared" si="88"/>
        <v>-1893.7500000000043</v>
      </c>
      <c r="S941" s="7">
        <f t="shared" si="89"/>
        <v>-14906.250000000018</v>
      </c>
    </row>
    <row r="942" spans="1:19" x14ac:dyDescent="0.25">
      <c r="A942" s="4">
        <f>Sheet1!A942</f>
        <v>40451</v>
      </c>
      <c r="B942" s="5">
        <f>Sheet1!B942</f>
        <v>0.58333333333333337</v>
      </c>
      <c r="C942" s="6">
        <f>Sheet1!C942</f>
        <v>222</v>
      </c>
      <c r="D942" s="6">
        <f>Sheet1!D942</f>
        <v>223.7</v>
      </c>
      <c r="E942" s="6">
        <f>Sheet1!E942</f>
        <v>216.35</v>
      </c>
      <c r="F942" s="6">
        <f>Sheet1!F942</f>
        <v>219.3</v>
      </c>
      <c r="H942" s="6">
        <f ca="1">IF(ROW($H942)-1&lt;$I$1,$F942,AVERAGE($F942:OFFSET($F942,(($I$1-1)*-1),0)))</f>
        <v>219.95833333333334</v>
      </c>
      <c r="J942" s="6">
        <f ca="1">IF(ROW($J942)-1&lt;$K$1,$F942,AVERAGE($F942:OFFSET($F942,(($K$1-1)*-1),0)))</f>
        <v>220.45178571428571</v>
      </c>
      <c r="L942" s="7">
        <f t="shared" ca="1" si="84"/>
        <v>-1</v>
      </c>
      <c r="M942" s="7" t="str">
        <f t="shared" ca="1" si="85"/>
        <v/>
      </c>
      <c r="N942" s="6" t="str">
        <f t="shared" ca="1" si="86"/>
        <v/>
      </c>
      <c r="O942" s="6">
        <f t="shared" si="87"/>
        <v>-2.6999999999999886</v>
      </c>
      <c r="Q942" s="6">
        <v>-2.3500000000000227</v>
      </c>
      <c r="R942" s="9">
        <f t="shared" si="88"/>
        <v>-881.25000000000853</v>
      </c>
      <c r="S942" s="7">
        <f t="shared" si="89"/>
        <v>-14906.250000000018</v>
      </c>
    </row>
    <row r="943" spans="1:19" x14ac:dyDescent="0.25">
      <c r="A943" s="4">
        <f>Sheet1!A943</f>
        <v>40452</v>
      </c>
      <c r="B943" s="5">
        <f>Sheet1!B943</f>
        <v>0.58333333333333337</v>
      </c>
      <c r="C943" s="6">
        <f>Sheet1!C943</f>
        <v>219.9</v>
      </c>
      <c r="D943" s="6">
        <f>Sheet1!D943</f>
        <v>222.45</v>
      </c>
      <c r="E943" s="6">
        <f>Sheet1!E943</f>
        <v>216.75</v>
      </c>
      <c r="F943" s="6">
        <f>Sheet1!F943</f>
        <v>217.35</v>
      </c>
      <c r="H943" s="6">
        <f ca="1">IF(ROW($H943)-1&lt;$I$1,$F943,AVERAGE($F943:OFFSET($F943,(($I$1-1)*-1),0)))</f>
        <v>219.86666666666665</v>
      </c>
      <c r="J943" s="6">
        <f ca="1">IF(ROW($J943)-1&lt;$K$1,$F943,AVERAGE($F943:OFFSET($F943,(($K$1-1)*-1),0)))</f>
        <v>220.37500000000003</v>
      </c>
      <c r="L943" s="7">
        <f t="shared" ca="1" si="84"/>
        <v>-1</v>
      </c>
      <c r="M943" s="7" t="str">
        <f t="shared" ca="1" si="85"/>
        <v/>
      </c>
      <c r="N943" s="6" t="str">
        <f t="shared" ca="1" si="86"/>
        <v/>
      </c>
      <c r="O943" s="6">
        <f t="shared" si="87"/>
        <v>-1.9500000000000171</v>
      </c>
      <c r="Q943" s="6">
        <v>-0.40000000000000568</v>
      </c>
      <c r="R943" s="9">
        <f t="shared" si="88"/>
        <v>-150.00000000000213</v>
      </c>
      <c r="S943" s="7">
        <f t="shared" si="89"/>
        <v>-14906.250000000018</v>
      </c>
    </row>
    <row r="944" spans="1:19" x14ac:dyDescent="0.25">
      <c r="A944" s="4">
        <f>Sheet1!A944</f>
        <v>40455</v>
      </c>
      <c r="B944" s="5">
        <f>Sheet1!B944</f>
        <v>0.58333333333333337</v>
      </c>
      <c r="C944" s="6">
        <f>Sheet1!C944</f>
        <v>217.1</v>
      </c>
      <c r="D944" s="6">
        <f>Sheet1!D944</f>
        <v>217.35</v>
      </c>
      <c r="E944" s="6">
        <f>Sheet1!E944</f>
        <v>208.05</v>
      </c>
      <c r="F944" s="6">
        <f>Sheet1!F944</f>
        <v>208.75</v>
      </c>
      <c r="H944" s="6">
        <f ca="1">IF(ROW($H944)-1&lt;$I$1,$F944,AVERAGE($F944:OFFSET($F944,(($I$1-1)*-1),0)))</f>
        <v>218.51666666666665</v>
      </c>
      <c r="J944" s="6">
        <f ca="1">IF(ROW($J944)-1&lt;$K$1,$F944,AVERAGE($F944:OFFSET($F944,(($K$1-1)*-1),0)))</f>
        <v>220.51964285714286</v>
      </c>
      <c r="L944" s="7">
        <f t="shared" ca="1" si="84"/>
        <v>-1</v>
      </c>
      <c r="M944" s="7" t="str">
        <f t="shared" ca="1" si="85"/>
        <v/>
      </c>
      <c r="N944" s="6" t="str">
        <f t="shared" ca="1" si="86"/>
        <v/>
      </c>
      <c r="O944" s="6">
        <f t="shared" si="87"/>
        <v>-8.5999999999999943</v>
      </c>
      <c r="Q944" s="6">
        <v>8.1999999999999886</v>
      </c>
      <c r="R944" s="9">
        <f t="shared" si="88"/>
        <v>3074.9999999999959</v>
      </c>
      <c r="S944" s="7">
        <f t="shared" si="89"/>
        <v>-14906.250000000018</v>
      </c>
    </row>
    <row r="945" spans="1:19" x14ac:dyDescent="0.25">
      <c r="A945" s="4">
        <f>Sheet1!A945</f>
        <v>40456</v>
      </c>
      <c r="B945" s="5">
        <f>Sheet1!B945</f>
        <v>0.58333333333333337</v>
      </c>
      <c r="C945" s="6">
        <f>Sheet1!C945</f>
        <v>209.5</v>
      </c>
      <c r="D945" s="6">
        <f>Sheet1!D945</f>
        <v>214.05</v>
      </c>
      <c r="E945" s="6">
        <f>Sheet1!E945</f>
        <v>207.85</v>
      </c>
      <c r="F945" s="6">
        <f>Sheet1!F945</f>
        <v>213.25</v>
      </c>
      <c r="H945" s="6">
        <f ca="1">IF(ROW($H945)-1&lt;$I$1,$F945,AVERAGE($F945:OFFSET($F945,(($I$1-1)*-1),0)))</f>
        <v>217.64166666666665</v>
      </c>
      <c r="J945" s="6">
        <f ca="1">IF(ROW($J945)-1&lt;$K$1,$F945,AVERAGE($F945:OFFSET($F945,(($K$1-1)*-1),0)))</f>
        <v>220.89107142857145</v>
      </c>
      <c r="L945" s="7">
        <f t="shared" ca="1" si="84"/>
        <v>-1</v>
      </c>
      <c r="M945" s="7" t="str">
        <f t="shared" ca="1" si="85"/>
        <v/>
      </c>
      <c r="N945" s="6" t="str">
        <f t="shared" ca="1" si="86"/>
        <v/>
      </c>
      <c r="O945" s="6">
        <f t="shared" si="87"/>
        <v>4.5</v>
      </c>
      <c r="Q945" s="6">
        <v>3.6999999999999886</v>
      </c>
      <c r="R945" s="9">
        <f t="shared" si="88"/>
        <v>1387.4999999999957</v>
      </c>
      <c r="S945" s="7">
        <f t="shared" si="89"/>
        <v>-14906.250000000018</v>
      </c>
    </row>
    <row r="946" spans="1:19" x14ac:dyDescent="0.25">
      <c r="A946" s="4">
        <f>Sheet1!A946</f>
        <v>40457</v>
      </c>
      <c r="B946" s="5">
        <f>Sheet1!B946</f>
        <v>0.58333333333333337</v>
      </c>
      <c r="C946" s="6">
        <f>Sheet1!C946</f>
        <v>213</v>
      </c>
      <c r="D946" s="6">
        <f>Sheet1!D946</f>
        <v>213.95</v>
      </c>
      <c r="E946" s="6">
        <f>Sheet1!E946</f>
        <v>211.3</v>
      </c>
      <c r="F946" s="6">
        <f>Sheet1!F946</f>
        <v>211.8</v>
      </c>
      <c r="H946" s="6">
        <f ca="1">IF(ROW($H946)-1&lt;$I$1,$F946,AVERAGE($F946:OFFSET($F946,(($I$1-1)*-1),0)))</f>
        <v>215.40833333333333</v>
      </c>
      <c r="J946" s="6">
        <f ca="1">IF(ROW($J946)-1&lt;$K$1,$F946,AVERAGE($F946:OFFSET($F946,(($K$1-1)*-1),0)))</f>
        <v>221.00357142857146</v>
      </c>
      <c r="L946" s="7">
        <f t="shared" ca="1" si="84"/>
        <v>-1</v>
      </c>
      <c r="M946" s="7" t="str">
        <f t="shared" ca="1" si="85"/>
        <v/>
      </c>
      <c r="N946" s="6" t="str">
        <f t="shared" ca="1" si="86"/>
        <v/>
      </c>
      <c r="O946" s="6">
        <f t="shared" si="87"/>
        <v>-1.4499999999999886</v>
      </c>
      <c r="Q946" s="6">
        <v>5.1499999999999773</v>
      </c>
      <c r="R946" s="9">
        <f t="shared" si="88"/>
        <v>1931.2499999999914</v>
      </c>
      <c r="S946" s="7">
        <f t="shared" si="89"/>
        <v>-14906.250000000018</v>
      </c>
    </row>
    <row r="947" spans="1:19" x14ac:dyDescent="0.25">
      <c r="A947" s="4">
        <f>Sheet1!A947</f>
        <v>40458</v>
      </c>
      <c r="B947" s="5">
        <f>Sheet1!B947</f>
        <v>0.58333333333333337</v>
      </c>
      <c r="C947" s="6">
        <f>Sheet1!C947</f>
        <v>212.35</v>
      </c>
      <c r="D947" s="6">
        <f>Sheet1!D947</f>
        <v>214.45</v>
      </c>
      <c r="E947" s="6">
        <f>Sheet1!E947</f>
        <v>209.5</v>
      </c>
      <c r="F947" s="6">
        <f>Sheet1!F947</f>
        <v>209.7</v>
      </c>
      <c r="H947" s="6">
        <f ca="1">IF(ROW($H947)-1&lt;$I$1,$F947,AVERAGE($F947:OFFSET($F947,(($I$1-1)*-1),0)))</f>
        <v>213.35833333333335</v>
      </c>
      <c r="J947" s="6">
        <f ca="1">IF(ROW($J947)-1&lt;$K$1,$F947,AVERAGE($F947:OFFSET($F947,(($K$1-1)*-1),0)))</f>
        <v>220.81071428571431</v>
      </c>
      <c r="L947" s="7">
        <f t="shared" ca="1" si="84"/>
        <v>-1</v>
      </c>
      <c r="M947" s="7" t="str">
        <f t="shared" ca="1" si="85"/>
        <v/>
      </c>
      <c r="N947" s="6" t="str">
        <f t="shared" ca="1" si="86"/>
        <v/>
      </c>
      <c r="O947" s="6">
        <f t="shared" si="87"/>
        <v>-2.1000000000000227</v>
      </c>
      <c r="Q947" s="6">
        <v>7.25</v>
      </c>
      <c r="R947" s="9">
        <f t="shared" si="88"/>
        <v>2718.75</v>
      </c>
      <c r="S947" s="7">
        <f t="shared" si="89"/>
        <v>-14906.250000000018</v>
      </c>
    </row>
    <row r="948" spans="1:19" x14ac:dyDescent="0.25">
      <c r="A948" s="4">
        <f>Sheet1!A948</f>
        <v>40459</v>
      </c>
      <c r="B948" s="5">
        <f>Sheet1!B948</f>
        <v>0.58333333333333337</v>
      </c>
      <c r="C948" s="6">
        <f>Sheet1!C948</f>
        <v>210</v>
      </c>
      <c r="D948" s="6">
        <f>Sheet1!D948</f>
        <v>219.2</v>
      </c>
      <c r="E948" s="6">
        <f>Sheet1!E948</f>
        <v>208.15</v>
      </c>
      <c r="F948" s="6">
        <f>Sheet1!F948</f>
        <v>218.4</v>
      </c>
      <c r="H948" s="6">
        <f ca="1">IF(ROW($H948)-1&lt;$I$1,$F948,AVERAGE($F948:OFFSET($F948,(($I$1-1)*-1),0)))</f>
        <v>213.20833333333337</v>
      </c>
      <c r="J948" s="6">
        <f ca="1">IF(ROW($J948)-1&lt;$K$1,$F948,AVERAGE($F948:OFFSET($F948,(($K$1-1)*-1),0)))</f>
        <v>220.83750000000003</v>
      </c>
      <c r="L948" s="7">
        <f t="shared" ca="1" si="84"/>
        <v>-1</v>
      </c>
      <c r="M948" s="7" t="str">
        <f t="shared" ca="1" si="85"/>
        <v/>
      </c>
      <c r="N948" s="6" t="str">
        <f t="shared" ca="1" si="86"/>
        <v/>
      </c>
      <c r="O948" s="6">
        <f t="shared" si="87"/>
        <v>8.7000000000000171</v>
      </c>
      <c r="Q948" s="6">
        <v>-1.4500000000000171</v>
      </c>
      <c r="R948" s="9">
        <f t="shared" si="88"/>
        <v>-543.75000000000637</v>
      </c>
      <c r="S948" s="7">
        <f t="shared" si="89"/>
        <v>-14906.250000000018</v>
      </c>
    </row>
    <row r="949" spans="1:19" x14ac:dyDescent="0.25">
      <c r="A949" s="4">
        <f>Sheet1!A949</f>
        <v>40462</v>
      </c>
      <c r="B949" s="5">
        <f>Sheet1!B949</f>
        <v>0.58333333333333337</v>
      </c>
      <c r="C949" s="6">
        <f>Sheet1!C949</f>
        <v>217.75</v>
      </c>
      <c r="D949" s="6">
        <f>Sheet1!D949</f>
        <v>218.65</v>
      </c>
      <c r="E949" s="6">
        <f>Sheet1!E949</f>
        <v>212.6</v>
      </c>
      <c r="F949" s="6">
        <f>Sheet1!F949</f>
        <v>214.9</v>
      </c>
      <c r="H949" s="6">
        <f ca="1">IF(ROW($H949)-1&lt;$I$1,$F949,AVERAGE($F949:OFFSET($F949,(($I$1-1)*-1),0)))</f>
        <v>212.80000000000004</v>
      </c>
      <c r="J949" s="6">
        <f ca="1">IF(ROW($J949)-1&lt;$K$1,$F949,AVERAGE($F949:OFFSET($F949,(($K$1-1)*-1),0)))</f>
        <v>220.84464285714284</v>
      </c>
      <c r="L949" s="7">
        <f t="shared" ca="1" si="84"/>
        <v>-1</v>
      </c>
      <c r="M949" s="7" t="str">
        <f t="shared" ca="1" si="85"/>
        <v/>
      </c>
      <c r="N949" s="6" t="str">
        <f t="shared" ca="1" si="86"/>
        <v/>
      </c>
      <c r="O949" s="6">
        <f t="shared" si="87"/>
        <v>-3.5</v>
      </c>
      <c r="Q949" s="6">
        <v>2.0499999999999829</v>
      </c>
      <c r="R949" s="9">
        <f t="shared" si="88"/>
        <v>768.74999999999363</v>
      </c>
      <c r="S949" s="7">
        <f t="shared" si="89"/>
        <v>-14906.250000000018</v>
      </c>
    </row>
    <row r="950" spans="1:19" x14ac:dyDescent="0.25">
      <c r="A950" s="4">
        <f>Sheet1!A950</f>
        <v>40463</v>
      </c>
      <c r="B950" s="5">
        <f>Sheet1!B950</f>
        <v>0.58333333333333337</v>
      </c>
      <c r="C950" s="6">
        <f>Sheet1!C950</f>
        <v>215.8</v>
      </c>
      <c r="D950" s="6">
        <f>Sheet1!D950</f>
        <v>224.25</v>
      </c>
      <c r="E950" s="6">
        <f>Sheet1!E950</f>
        <v>214.8</v>
      </c>
      <c r="F950" s="6">
        <f>Sheet1!F950</f>
        <v>221.95</v>
      </c>
      <c r="H950" s="6">
        <f ca="1">IF(ROW($H950)-1&lt;$I$1,$F950,AVERAGE($F950:OFFSET($F950,(($I$1-1)*-1),0)))</f>
        <v>215</v>
      </c>
      <c r="J950" s="6">
        <f ca="1">IF(ROW($J950)-1&lt;$K$1,$F950,AVERAGE($F950:OFFSET($F950,(($K$1-1)*-1),0)))</f>
        <v>220.96428571428572</v>
      </c>
      <c r="L950" s="7">
        <f t="shared" ca="1" si="84"/>
        <v>-1</v>
      </c>
      <c r="M950" s="7" t="str">
        <f t="shared" ca="1" si="85"/>
        <v/>
      </c>
      <c r="N950" s="6" t="str">
        <f t="shared" ca="1" si="86"/>
        <v/>
      </c>
      <c r="O950" s="6">
        <f t="shared" si="87"/>
        <v>7.0499999999999829</v>
      </c>
      <c r="Q950" s="6">
        <v>-5</v>
      </c>
      <c r="R950" s="9">
        <f t="shared" si="88"/>
        <v>-1875</v>
      </c>
      <c r="S950" s="7">
        <f t="shared" si="89"/>
        <v>-14906.250000000018</v>
      </c>
    </row>
    <row r="951" spans="1:19" x14ac:dyDescent="0.25">
      <c r="A951" s="4">
        <f>Sheet1!A951</f>
        <v>40464</v>
      </c>
      <c r="B951" s="5">
        <f>Sheet1!B951</f>
        <v>0.58333333333333337</v>
      </c>
      <c r="C951" s="6">
        <f>Sheet1!C951</f>
        <v>222.65</v>
      </c>
      <c r="D951" s="6">
        <f>Sheet1!D951</f>
        <v>226.7</v>
      </c>
      <c r="E951" s="6">
        <f>Sheet1!E951</f>
        <v>220.85</v>
      </c>
      <c r="F951" s="6">
        <f>Sheet1!F951</f>
        <v>222.4</v>
      </c>
      <c r="H951" s="6">
        <f ca="1">IF(ROW($H951)-1&lt;$I$1,$F951,AVERAGE($F951:OFFSET($F951,(($I$1-1)*-1),0)))</f>
        <v>216.52500000000001</v>
      </c>
      <c r="J951" s="6">
        <f ca="1">IF(ROW($J951)-1&lt;$K$1,$F951,AVERAGE($F951:OFFSET($F951,(($K$1-1)*-1),0)))</f>
        <v>221.01071428571427</v>
      </c>
      <c r="L951" s="7">
        <f t="shared" ca="1" si="84"/>
        <v>-1</v>
      </c>
      <c r="M951" s="7" t="str">
        <f t="shared" ca="1" si="85"/>
        <v/>
      </c>
      <c r="N951" s="6" t="str">
        <f t="shared" ca="1" si="86"/>
        <v/>
      </c>
      <c r="O951" s="6">
        <f t="shared" si="87"/>
        <v>0.45000000000001705</v>
      </c>
      <c r="Q951" s="6">
        <v>-5.4500000000000171</v>
      </c>
      <c r="R951" s="9">
        <f t="shared" si="88"/>
        <v>-2043.7500000000064</v>
      </c>
      <c r="S951" s="7">
        <f t="shared" si="89"/>
        <v>-14906.250000000018</v>
      </c>
    </row>
    <row r="952" spans="1:19" x14ac:dyDescent="0.25">
      <c r="A952" s="4">
        <f>Sheet1!A952</f>
        <v>40465</v>
      </c>
      <c r="B952" s="5">
        <f>Sheet1!B952</f>
        <v>0.58333333333333337</v>
      </c>
      <c r="C952" s="6">
        <f>Sheet1!C952</f>
        <v>222.6</v>
      </c>
      <c r="D952" s="6">
        <f>Sheet1!D952</f>
        <v>225.35</v>
      </c>
      <c r="E952" s="6">
        <f>Sheet1!E952</f>
        <v>221.55</v>
      </c>
      <c r="F952" s="6">
        <f>Sheet1!F952</f>
        <v>223.85</v>
      </c>
      <c r="H952" s="6">
        <f ca="1">IF(ROW($H952)-1&lt;$I$1,$F952,AVERAGE($F952:OFFSET($F952,(($I$1-1)*-1),0)))</f>
        <v>218.53333333333333</v>
      </c>
      <c r="J952" s="6">
        <f ca="1">IF(ROW($J952)-1&lt;$K$1,$F952,AVERAGE($F952:OFFSET($F952,(($K$1-1)*-1),0)))</f>
        <v>221.03392857142853</v>
      </c>
      <c r="L952" s="7">
        <f t="shared" ca="1" si="84"/>
        <v>-1</v>
      </c>
      <c r="M952" s="7" t="str">
        <f t="shared" ca="1" si="85"/>
        <v/>
      </c>
      <c r="N952" s="6" t="str">
        <f t="shared" ca="1" si="86"/>
        <v/>
      </c>
      <c r="O952" s="6">
        <f t="shared" si="87"/>
        <v>1.4499999999999886</v>
      </c>
      <c r="Q952" s="6">
        <v>-6.9000000000000057</v>
      </c>
      <c r="R952" s="9">
        <f t="shared" si="88"/>
        <v>-2587.5000000000023</v>
      </c>
      <c r="S952" s="7">
        <f t="shared" si="89"/>
        <v>-14906.250000000018</v>
      </c>
    </row>
    <row r="953" spans="1:19" x14ac:dyDescent="0.25">
      <c r="A953" s="4">
        <f>Sheet1!A953</f>
        <v>40466</v>
      </c>
      <c r="B953" s="5">
        <f>Sheet1!B953</f>
        <v>0.58333333333333337</v>
      </c>
      <c r="C953" s="6">
        <f>Sheet1!C953</f>
        <v>223.95</v>
      </c>
      <c r="D953" s="6">
        <f>Sheet1!D953</f>
        <v>225.6</v>
      </c>
      <c r="E953" s="6">
        <f>Sheet1!E953</f>
        <v>219.5</v>
      </c>
      <c r="F953" s="6">
        <f>Sheet1!F953</f>
        <v>222.65</v>
      </c>
      <c r="H953" s="6">
        <f ca="1">IF(ROW($H953)-1&lt;$I$1,$F953,AVERAGE($F953:OFFSET($F953,(($I$1-1)*-1),0)))</f>
        <v>220.69166666666669</v>
      </c>
      <c r="J953" s="6">
        <f ca="1">IF(ROW($J953)-1&lt;$K$1,$F953,AVERAGE($F953:OFFSET($F953,(($K$1-1)*-1),0)))</f>
        <v>220.82321428571422</v>
      </c>
      <c r="L953" s="7">
        <f t="shared" ca="1" si="84"/>
        <v>-1</v>
      </c>
      <c r="M953" s="7" t="str">
        <f t="shared" ca="1" si="85"/>
        <v/>
      </c>
      <c r="N953" s="6" t="str">
        <f t="shared" ca="1" si="86"/>
        <v/>
      </c>
      <c r="O953" s="6">
        <f t="shared" si="87"/>
        <v>-1.1999999999999886</v>
      </c>
      <c r="Q953" s="6">
        <v>-5.7000000000000171</v>
      </c>
      <c r="R953" s="9">
        <f t="shared" si="88"/>
        <v>-2137.5000000000064</v>
      </c>
      <c r="S953" s="7">
        <f t="shared" si="89"/>
        <v>-14906.250000000018</v>
      </c>
    </row>
    <row r="954" spans="1:19" x14ac:dyDescent="0.25">
      <c r="A954" s="4">
        <f>Sheet1!A954</f>
        <v>40469</v>
      </c>
      <c r="B954" s="5">
        <f>Sheet1!B954</f>
        <v>0.58333333333333337</v>
      </c>
      <c r="C954" s="6">
        <f>Sheet1!C954</f>
        <v>222.35</v>
      </c>
      <c r="D954" s="6">
        <f>Sheet1!D954</f>
        <v>224.5</v>
      </c>
      <c r="E954" s="6">
        <f>Sheet1!E954</f>
        <v>220</v>
      </c>
      <c r="F954" s="6">
        <f>Sheet1!F954</f>
        <v>221.85</v>
      </c>
      <c r="H954" s="6">
        <f ca="1">IF(ROW($H954)-1&lt;$I$1,$F954,AVERAGE($F954:OFFSET($F954,(($I$1-1)*-1),0)))</f>
        <v>221.26666666666665</v>
      </c>
      <c r="J954" s="6">
        <f ca="1">IF(ROW($J954)-1&lt;$K$1,$F954,AVERAGE($F954:OFFSET($F954,(($K$1-1)*-1),0)))</f>
        <v>220.50357142857141</v>
      </c>
      <c r="L954" s="7">
        <f t="shared" ca="1" si="84"/>
        <v>1</v>
      </c>
      <c r="M954" s="7">
        <f t="shared" ca="1" si="85"/>
        <v>1</v>
      </c>
      <c r="N954" s="6" t="str">
        <f t="shared" ca="1" si="86"/>
        <v/>
      </c>
      <c r="O954" s="6">
        <f t="shared" si="87"/>
        <v>-0.80000000000001137</v>
      </c>
      <c r="Q954" s="6">
        <v>-4.9000000000000057</v>
      </c>
      <c r="R954" s="9">
        <f t="shared" si="88"/>
        <v>-1837.500000000002</v>
      </c>
      <c r="S954" s="7">
        <f t="shared" si="89"/>
        <v>-14906.250000000018</v>
      </c>
    </row>
    <row r="955" spans="1:19" x14ac:dyDescent="0.25">
      <c r="A955" s="4">
        <f>Sheet1!A955</f>
        <v>40470</v>
      </c>
      <c r="B955" s="5">
        <f>Sheet1!B955</f>
        <v>0.58333333333333337</v>
      </c>
      <c r="C955" s="6">
        <f>Sheet1!C955</f>
        <v>221.15</v>
      </c>
      <c r="D955" s="6">
        <f>Sheet1!D955</f>
        <v>228.35</v>
      </c>
      <c r="E955" s="6">
        <f>Sheet1!E955</f>
        <v>220.8</v>
      </c>
      <c r="F955" s="6">
        <f>Sheet1!F955</f>
        <v>227.15</v>
      </c>
      <c r="H955" s="6">
        <f ca="1">IF(ROW($H955)-1&lt;$I$1,$F955,AVERAGE($F955:OFFSET($F955,(($I$1-1)*-1),0)))</f>
        <v>223.30833333333337</v>
      </c>
      <c r="J955" s="6">
        <f ca="1">IF(ROW($J955)-1&lt;$K$1,$F955,AVERAGE($F955:OFFSET($F955,(($K$1-1)*-1),0)))</f>
        <v>220.51071428571422</v>
      </c>
      <c r="L955" s="7">
        <f t="shared" ca="1" si="84"/>
        <v>1</v>
      </c>
      <c r="M955" s="7" t="str">
        <f t="shared" ca="1" si="85"/>
        <v/>
      </c>
      <c r="N955" s="6">
        <f t="shared" ca="1" si="86"/>
        <v>221.15</v>
      </c>
      <c r="O955" s="6">
        <f t="shared" si="87"/>
        <v>5.3000000000000114</v>
      </c>
      <c r="P955" s="6">
        <v>-4.2000000000000171</v>
      </c>
      <c r="Q955" s="6">
        <v>6</v>
      </c>
      <c r="R955" s="9">
        <f t="shared" si="88"/>
        <v>2250</v>
      </c>
      <c r="S955" s="7">
        <f t="shared" si="89"/>
        <v>-16481.250000000025</v>
      </c>
    </row>
    <row r="956" spans="1:19" x14ac:dyDescent="0.25">
      <c r="A956" s="4">
        <f>Sheet1!A956</f>
        <v>40471</v>
      </c>
      <c r="B956" s="5">
        <f>Sheet1!B956</f>
        <v>0.58333333333333337</v>
      </c>
      <c r="C956" s="6">
        <f>Sheet1!C956</f>
        <v>226.25</v>
      </c>
      <c r="D956" s="6">
        <f>Sheet1!D956</f>
        <v>234.4</v>
      </c>
      <c r="E956" s="6">
        <f>Sheet1!E956</f>
        <v>226.15</v>
      </c>
      <c r="F956" s="6">
        <f>Sheet1!F956</f>
        <v>233</v>
      </c>
      <c r="H956" s="6">
        <f ca="1">IF(ROW($H956)-1&lt;$I$1,$F956,AVERAGE($F956:OFFSET($F956,(($I$1-1)*-1),0)))</f>
        <v>225.15</v>
      </c>
      <c r="J956" s="6">
        <f ca="1">IF(ROW($J956)-1&lt;$K$1,$F956,AVERAGE($F956:OFFSET($F956,(($K$1-1)*-1),0)))</f>
        <v>220.75892857142853</v>
      </c>
      <c r="L956" s="7">
        <f t="shared" ca="1" si="84"/>
        <v>1</v>
      </c>
      <c r="M956" s="7" t="str">
        <f t="shared" ca="1" si="85"/>
        <v/>
      </c>
      <c r="N956" s="6" t="str">
        <f t="shared" ca="1" si="86"/>
        <v/>
      </c>
      <c r="O956" s="6">
        <f t="shared" si="87"/>
        <v>5.8499999999999943</v>
      </c>
      <c r="Q956" s="6">
        <v>11.849999999999994</v>
      </c>
      <c r="R956" s="9">
        <f t="shared" si="88"/>
        <v>4443.7499999999982</v>
      </c>
      <c r="S956" s="7">
        <f t="shared" si="89"/>
        <v>-16481.250000000025</v>
      </c>
    </row>
    <row r="957" spans="1:19" x14ac:dyDescent="0.25">
      <c r="A957" s="4">
        <f>Sheet1!A957</f>
        <v>40472</v>
      </c>
      <c r="B957" s="5">
        <f>Sheet1!B957</f>
        <v>0.58333333333333337</v>
      </c>
      <c r="C957" s="6">
        <f>Sheet1!C957</f>
        <v>232.25</v>
      </c>
      <c r="D957" s="6">
        <f>Sheet1!D957</f>
        <v>239.75</v>
      </c>
      <c r="E957" s="6">
        <f>Sheet1!E957</f>
        <v>231.75</v>
      </c>
      <c r="F957" s="6">
        <f>Sheet1!F957</f>
        <v>237.25</v>
      </c>
      <c r="H957" s="6">
        <f ca="1">IF(ROW($H957)-1&lt;$I$1,$F957,AVERAGE($F957:OFFSET($F957,(($I$1-1)*-1),0)))</f>
        <v>227.625</v>
      </c>
      <c r="J957" s="6">
        <f ca="1">IF(ROW($J957)-1&lt;$K$1,$F957,AVERAGE($F957:OFFSET($F957,(($K$1-1)*-1),0)))</f>
        <v>221.18214285714285</v>
      </c>
      <c r="L957" s="7">
        <f t="shared" ca="1" si="84"/>
        <v>1</v>
      </c>
      <c r="M957" s="7" t="str">
        <f t="shared" ca="1" si="85"/>
        <v/>
      </c>
      <c r="N957" s="6" t="str">
        <f t="shared" ca="1" si="86"/>
        <v/>
      </c>
      <c r="O957" s="6">
        <f t="shared" si="87"/>
        <v>4.25</v>
      </c>
      <c r="Q957" s="6">
        <v>16.099999999999994</v>
      </c>
      <c r="R957" s="9">
        <f t="shared" si="88"/>
        <v>6037.4999999999982</v>
      </c>
      <c r="S957" s="7">
        <f t="shared" si="89"/>
        <v>-16481.250000000025</v>
      </c>
    </row>
    <row r="958" spans="1:19" x14ac:dyDescent="0.25">
      <c r="A958" s="4">
        <f>Sheet1!A958</f>
        <v>40473</v>
      </c>
      <c r="B958" s="5">
        <f>Sheet1!B958</f>
        <v>0.58333333333333337</v>
      </c>
      <c r="C958" s="6">
        <f>Sheet1!C958</f>
        <v>237</v>
      </c>
      <c r="D958" s="6">
        <f>Sheet1!D958</f>
        <v>237.95</v>
      </c>
      <c r="E958" s="6">
        <f>Sheet1!E958</f>
        <v>232.25</v>
      </c>
      <c r="F958" s="6">
        <f>Sheet1!F958</f>
        <v>235.1</v>
      </c>
      <c r="H958" s="6">
        <f ca="1">IF(ROW($H958)-1&lt;$I$1,$F958,AVERAGE($F958:OFFSET($F958,(($I$1-1)*-1),0)))</f>
        <v>229.5</v>
      </c>
      <c r="J958" s="6">
        <f ca="1">IF(ROW($J958)-1&lt;$K$1,$F958,AVERAGE($F958:OFFSET($F958,(($K$1-1)*-1),0)))</f>
        <v>221.30892857142857</v>
      </c>
      <c r="L958" s="7">
        <f t="shared" ca="1" si="84"/>
        <v>1</v>
      </c>
      <c r="M958" s="7" t="str">
        <f t="shared" ca="1" si="85"/>
        <v/>
      </c>
      <c r="N958" s="6" t="str">
        <f t="shared" ca="1" si="86"/>
        <v/>
      </c>
      <c r="O958" s="6">
        <f t="shared" si="87"/>
        <v>-2.1500000000000057</v>
      </c>
      <c r="Q958" s="6">
        <v>13.949999999999989</v>
      </c>
      <c r="R958" s="9">
        <f t="shared" si="88"/>
        <v>5231.2499999999955</v>
      </c>
      <c r="S958" s="7">
        <f t="shared" si="89"/>
        <v>-16481.250000000025</v>
      </c>
    </row>
    <row r="959" spans="1:19" x14ac:dyDescent="0.25">
      <c r="A959" s="4">
        <f>Sheet1!A959</f>
        <v>40476</v>
      </c>
      <c r="B959" s="5">
        <f>Sheet1!B959</f>
        <v>0.58333333333333337</v>
      </c>
      <c r="C959" s="6">
        <f>Sheet1!C959</f>
        <v>236.35</v>
      </c>
      <c r="D959" s="6">
        <f>Sheet1!D959</f>
        <v>239.15</v>
      </c>
      <c r="E959" s="6">
        <f>Sheet1!E959</f>
        <v>235.15</v>
      </c>
      <c r="F959" s="6">
        <f>Sheet1!F959</f>
        <v>236.75</v>
      </c>
      <c r="H959" s="6">
        <f ca="1">IF(ROW($H959)-1&lt;$I$1,$F959,AVERAGE($F959:OFFSET($F959,(($I$1-1)*-1),0)))</f>
        <v>231.85</v>
      </c>
      <c r="J959" s="6">
        <f ca="1">IF(ROW($J959)-1&lt;$K$1,$F959,AVERAGE($F959:OFFSET($F959,(($K$1-1)*-1),0)))</f>
        <v>221.53571428571428</v>
      </c>
      <c r="L959" s="7">
        <f t="shared" ca="1" si="84"/>
        <v>1</v>
      </c>
      <c r="M959" s="7" t="str">
        <f t="shared" ca="1" si="85"/>
        <v/>
      </c>
      <c r="N959" s="6" t="str">
        <f t="shared" ca="1" si="86"/>
        <v/>
      </c>
      <c r="O959" s="6">
        <f t="shared" si="87"/>
        <v>1.6500000000000057</v>
      </c>
      <c r="Q959" s="6">
        <v>15.599999999999994</v>
      </c>
      <c r="R959" s="9">
        <f t="shared" si="88"/>
        <v>5849.9999999999982</v>
      </c>
      <c r="S959" s="7">
        <f t="shared" si="89"/>
        <v>-16481.250000000025</v>
      </c>
    </row>
    <row r="960" spans="1:19" x14ac:dyDescent="0.25">
      <c r="A960" s="4">
        <f>Sheet1!A960</f>
        <v>40477</v>
      </c>
      <c r="B960" s="5">
        <f>Sheet1!B960</f>
        <v>0.58333333333333337</v>
      </c>
      <c r="C960" s="6">
        <f>Sheet1!C960</f>
        <v>236.6</v>
      </c>
      <c r="D960" s="6">
        <f>Sheet1!D960</f>
        <v>240.85</v>
      </c>
      <c r="E960" s="6">
        <f>Sheet1!E960</f>
        <v>235.35</v>
      </c>
      <c r="F960" s="6">
        <f>Sheet1!F960</f>
        <v>238</v>
      </c>
      <c r="H960" s="6">
        <f ca="1">IF(ROW($H960)-1&lt;$I$1,$F960,AVERAGE($F960:OFFSET($F960,(($I$1-1)*-1),0)))</f>
        <v>234.54166666666666</v>
      </c>
      <c r="J960" s="6">
        <f ca="1">IF(ROW($J960)-1&lt;$K$1,$F960,AVERAGE($F960:OFFSET($F960,(($K$1-1)*-1),0)))</f>
        <v>221.89107142857142</v>
      </c>
      <c r="L960" s="7">
        <f t="shared" ca="1" si="84"/>
        <v>1</v>
      </c>
      <c r="M960" s="7" t="str">
        <f t="shared" ca="1" si="85"/>
        <v/>
      </c>
      <c r="N960" s="6" t="str">
        <f t="shared" ca="1" si="86"/>
        <v/>
      </c>
      <c r="O960" s="6">
        <f t="shared" si="87"/>
        <v>1.25</v>
      </c>
      <c r="Q960" s="6">
        <v>16.849999999999994</v>
      </c>
      <c r="R960" s="9">
        <f t="shared" si="88"/>
        <v>6318.7499999999982</v>
      </c>
      <c r="S960" s="7">
        <f t="shared" si="89"/>
        <v>-16481.250000000025</v>
      </c>
    </row>
    <row r="961" spans="1:19" x14ac:dyDescent="0.25">
      <c r="A961" s="4">
        <f>Sheet1!A961</f>
        <v>40478</v>
      </c>
      <c r="B961" s="5">
        <f>Sheet1!B961</f>
        <v>0.58333333333333337</v>
      </c>
      <c r="C961" s="6">
        <f>Sheet1!C961</f>
        <v>237.7</v>
      </c>
      <c r="D961" s="6">
        <f>Sheet1!D961</f>
        <v>239.8</v>
      </c>
      <c r="E961" s="6">
        <f>Sheet1!E961</f>
        <v>235.5</v>
      </c>
      <c r="F961" s="6">
        <f>Sheet1!F961</f>
        <v>236.55</v>
      </c>
      <c r="H961" s="6">
        <f ca="1">IF(ROW($H961)-1&lt;$I$1,$F961,AVERAGE($F961:OFFSET($F961,(($I$1-1)*-1),0)))</f>
        <v>236.10833333333332</v>
      </c>
      <c r="J961" s="6">
        <f ca="1">IF(ROW($J961)-1&lt;$K$1,$F961,AVERAGE($F961:OFFSET($F961,(($K$1-1)*-1),0)))</f>
        <v>222.28392857142859</v>
      </c>
      <c r="L961" s="7">
        <f t="shared" ca="1" si="84"/>
        <v>1</v>
      </c>
      <c r="M961" s="7" t="str">
        <f t="shared" ca="1" si="85"/>
        <v/>
      </c>
      <c r="N961" s="6" t="str">
        <f t="shared" ca="1" si="86"/>
        <v/>
      </c>
      <c r="O961" s="6">
        <f t="shared" si="87"/>
        <v>-1.4499999999999886</v>
      </c>
      <c r="Q961" s="6">
        <v>15.400000000000006</v>
      </c>
      <c r="R961" s="9">
        <f t="shared" si="88"/>
        <v>5775.0000000000018</v>
      </c>
      <c r="S961" s="7">
        <f t="shared" si="89"/>
        <v>-16481.250000000025</v>
      </c>
    </row>
    <row r="962" spans="1:19" x14ac:dyDescent="0.25">
      <c r="A962" s="4">
        <f>Sheet1!A962</f>
        <v>40479</v>
      </c>
      <c r="B962" s="5">
        <f>Sheet1!B962</f>
        <v>0.58333333333333337</v>
      </c>
      <c r="C962" s="6">
        <f>Sheet1!C962</f>
        <v>236.25</v>
      </c>
      <c r="D962" s="6">
        <f>Sheet1!D962</f>
        <v>238.2</v>
      </c>
      <c r="E962" s="6">
        <f>Sheet1!E962</f>
        <v>232.55</v>
      </c>
      <c r="F962" s="6">
        <f>Sheet1!F962</f>
        <v>232.85</v>
      </c>
      <c r="H962" s="6">
        <f ca="1">IF(ROW($H962)-1&lt;$I$1,$F962,AVERAGE($F962:OFFSET($F962,(($I$1-1)*-1),0)))</f>
        <v>236.08333333333334</v>
      </c>
      <c r="J962" s="6">
        <f ca="1">IF(ROW($J962)-1&lt;$K$1,$F962,AVERAGE($F962:OFFSET($F962,(($K$1-1)*-1),0)))</f>
        <v>222.80714285714288</v>
      </c>
      <c r="L962" s="7">
        <f t="shared" ca="1" si="84"/>
        <v>1</v>
      </c>
      <c r="M962" s="7" t="str">
        <f t="shared" ca="1" si="85"/>
        <v/>
      </c>
      <c r="N962" s="6" t="str">
        <f t="shared" ca="1" si="86"/>
        <v/>
      </c>
      <c r="O962" s="6">
        <f t="shared" si="87"/>
        <v>-3.7000000000000171</v>
      </c>
      <c r="Q962" s="6">
        <v>11.699999999999989</v>
      </c>
      <c r="R962" s="9">
        <f t="shared" si="88"/>
        <v>4387.4999999999955</v>
      </c>
      <c r="S962" s="7">
        <f t="shared" si="89"/>
        <v>-16481.250000000025</v>
      </c>
    </row>
    <row r="963" spans="1:19" x14ac:dyDescent="0.25">
      <c r="A963" s="4">
        <f>Sheet1!A963</f>
        <v>40480</v>
      </c>
      <c r="B963" s="5">
        <f>Sheet1!B963</f>
        <v>0.58333333333333337</v>
      </c>
      <c r="C963" s="6">
        <f>Sheet1!C963</f>
        <v>233.75</v>
      </c>
      <c r="D963" s="6">
        <f>Sheet1!D963</f>
        <v>240.25</v>
      </c>
      <c r="E963" s="6">
        <f>Sheet1!E963</f>
        <v>233.3</v>
      </c>
      <c r="F963" s="6">
        <f>Sheet1!F963</f>
        <v>239.7</v>
      </c>
      <c r="H963" s="6">
        <f ca="1">IF(ROW($H963)-1&lt;$I$1,$F963,AVERAGE($F963:OFFSET($F963,(($I$1-1)*-1),0)))</f>
        <v>236.49166666666667</v>
      </c>
      <c r="J963" s="6">
        <f ca="1">IF(ROW($J963)-1&lt;$K$1,$F963,AVERAGE($F963:OFFSET($F963,(($K$1-1)*-1),0)))</f>
        <v>223.54107142857146</v>
      </c>
      <c r="L963" s="7">
        <f t="shared" ref="L963:L1026" ca="1" si="90">IF(ROW($L963)&gt;($K$1),IF($H963&gt;$J963,1,IF($H963&lt;$J963,-1,$L962*-1)),0)</f>
        <v>1</v>
      </c>
      <c r="M963" s="7" t="str">
        <f t="shared" ca="1" si="85"/>
        <v/>
      </c>
      <c r="N963" s="6" t="str">
        <f t="shared" ca="1" si="86"/>
        <v/>
      </c>
      <c r="O963" s="6">
        <f t="shared" si="87"/>
        <v>6.8499999999999943</v>
      </c>
      <c r="Q963" s="6">
        <v>18.549999999999983</v>
      </c>
      <c r="R963" s="9">
        <f t="shared" si="88"/>
        <v>6956.2499999999936</v>
      </c>
      <c r="S963" s="7">
        <f t="shared" si="89"/>
        <v>-16481.250000000025</v>
      </c>
    </row>
    <row r="964" spans="1:19" x14ac:dyDescent="0.25">
      <c r="A964" s="4">
        <f>Sheet1!A964</f>
        <v>40483</v>
      </c>
      <c r="B964" s="5">
        <f>Sheet1!B964</f>
        <v>0.58333333333333337</v>
      </c>
      <c r="C964" s="6">
        <f>Sheet1!C964</f>
        <v>239.05</v>
      </c>
      <c r="D964" s="6">
        <f>Sheet1!D964</f>
        <v>239.5</v>
      </c>
      <c r="E964" s="6">
        <f>Sheet1!E964</f>
        <v>233.9</v>
      </c>
      <c r="F964" s="6">
        <f>Sheet1!F964</f>
        <v>233.95</v>
      </c>
      <c r="H964" s="6">
        <f ca="1">IF(ROW($H964)-1&lt;$I$1,$F964,AVERAGE($F964:OFFSET($F964,(($I$1-1)*-1),0)))</f>
        <v>236.29999999999998</v>
      </c>
      <c r="J964" s="6">
        <f ca="1">IF(ROW($J964)-1&lt;$K$1,$F964,AVERAGE($F964:OFFSET($F964,(($K$1-1)*-1),0)))</f>
        <v>224.17500000000001</v>
      </c>
      <c r="L964" s="7">
        <f t="shared" ca="1" si="90"/>
        <v>1</v>
      </c>
      <c r="M964" s="7" t="str">
        <f t="shared" ref="M964:M1027" ca="1" si="91">IF(L964&lt;&gt;L963,L964,"")</f>
        <v/>
      </c>
      <c r="N964" s="6" t="str">
        <f t="shared" ref="N964:N1027" ca="1" si="92">IF(M963&lt;&gt;"",C964,"")</f>
        <v/>
      </c>
      <c r="O964" s="6">
        <f t="shared" ref="O964:O1027" si="93">F964-F963</f>
        <v>-5.75</v>
      </c>
      <c r="Q964" s="6">
        <v>12.799999999999983</v>
      </c>
      <c r="R964" s="9">
        <f t="shared" ref="R964:R1027" si="94">IF(Q964="","",Q964*375)</f>
        <v>4799.9999999999936</v>
      </c>
      <c r="S964" s="7">
        <f t="shared" si="89"/>
        <v>-16481.250000000025</v>
      </c>
    </row>
    <row r="965" spans="1:19" x14ac:dyDescent="0.25">
      <c r="A965" s="4">
        <f>Sheet1!A965</f>
        <v>40484</v>
      </c>
      <c r="B965" s="5">
        <f>Sheet1!B965</f>
        <v>0.58333333333333337</v>
      </c>
      <c r="C965" s="6">
        <f>Sheet1!C965</f>
        <v>234.4</v>
      </c>
      <c r="D965" s="6">
        <f>Sheet1!D965</f>
        <v>236.65</v>
      </c>
      <c r="E965" s="6">
        <f>Sheet1!E965</f>
        <v>233.95</v>
      </c>
      <c r="F965" s="6">
        <f>Sheet1!F965</f>
        <v>235.65</v>
      </c>
      <c r="H965" s="6">
        <f ca="1">IF(ROW($H965)-1&lt;$I$1,$F965,AVERAGE($F965:OFFSET($F965,(($I$1-1)*-1),0)))</f>
        <v>236.11666666666667</v>
      </c>
      <c r="J965" s="6">
        <f ca="1">IF(ROW($J965)-1&lt;$K$1,$F965,AVERAGE($F965:OFFSET($F965,(($K$1-1)*-1),0)))</f>
        <v>224.80892857142859</v>
      </c>
      <c r="L965" s="7">
        <f t="shared" ca="1" si="90"/>
        <v>1</v>
      </c>
      <c r="M965" s="7" t="str">
        <f t="shared" ca="1" si="91"/>
        <v/>
      </c>
      <c r="N965" s="6" t="str">
        <f t="shared" ca="1" si="92"/>
        <v/>
      </c>
      <c r="O965" s="6">
        <f t="shared" si="93"/>
        <v>1.7000000000000171</v>
      </c>
      <c r="Q965" s="6">
        <v>14.5</v>
      </c>
      <c r="R965" s="9">
        <f t="shared" si="94"/>
        <v>5437.5</v>
      </c>
      <c r="S965" s="7">
        <f t="shared" si="89"/>
        <v>-16481.250000000025</v>
      </c>
    </row>
    <row r="966" spans="1:19" x14ac:dyDescent="0.25">
      <c r="A966" s="4">
        <f>Sheet1!A966</f>
        <v>40485</v>
      </c>
      <c r="B966" s="5">
        <f>Sheet1!B966</f>
        <v>0.58333333333333337</v>
      </c>
      <c r="C966" s="6">
        <f>Sheet1!C966</f>
        <v>236.25</v>
      </c>
      <c r="D966" s="6">
        <f>Sheet1!D966</f>
        <v>237.1</v>
      </c>
      <c r="E966" s="6">
        <f>Sheet1!E966</f>
        <v>229.05</v>
      </c>
      <c r="F966" s="6">
        <f>Sheet1!F966</f>
        <v>232.4</v>
      </c>
      <c r="H966" s="6">
        <f ca="1">IF(ROW($H966)-1&lt;$I$1,$F966,AVERAGE($F966:OFFSET($F966,(($I$1-1)*-1),0)))</f>
        <v>235.18333333333337</v>
      </c>
      <c r="J966" s="6">
        <f ca="1">IF(ROW($J966)-1&lt;$K$1,$F966,AVERAGE($F966:OFFSET($F966,(($K$1-1)*-1),0)))</f>
        <v>225.3642857142857</v>
      </c>
      <c r="L966" s="7">
        <f t="shared" ca="1" si="90"/>
        <v>1</v>
      </c>
      <c r="M966" s="7" t="str">
        <f t="shared" ca="1" si="91"/>
        <v/>
      </c>
      <c r="N966" s="6" t="str">
        <f t="shared" ca="1" si="92"/>
        <v/>
      </c>
      <c r="O966" s="6">
        <f t="shared" si="93"/>
        <v>-3.25</v>
      </c>
      <c r="Q966" s="6">
        <v>11.25</v>
      </c>
      <c r="R966" s="9">
        <f t="shared" si="94"/>
        <v>4218.75</v>
      </c>
      <c r="S966" s="7">
        <f t="shared" si="89"/>
        <v>-16481.250000000025</v>
      </c>
    </row>
    <row r="967" spans="1:19" x14ac:dyDescent="0.25">
      <c r="A967" s="4">
        <f>Sheet1!A967</f>
        <v>40486</v>
      </c>
      <c r="B967" s="5">
        <f>Sheet1!B967</f>
        <v>0.58333333333333337</v>
      </c>
      <c r="C967" s="6">
        <f>Sheet1!C967</f>
        <v>233.75</v>
      </c>
      <c r="D967" s="6">
        <f>Sheet1!D967</f>
        <v>245.5</v>
      </c>
      <c r="E967" s="6">
        <f>Sheet1!E967</f>
        <v>233.5</v>
      </c>
      <c r="F967" s="6">
        <f>Sheet1!F967</f>
        <v>242.05</v>
      </c>
      <c r="H967" s="6">
        <f ca="1">IF(ROW($H967)-1&lt;$I$1,$F967,AVERAGE($F967:OFFSET($F967,(($I$1-1)*-1),0)))</f>
        <v>236.1</v>
      </c>
      <c r="J967" s="6">
        <f ca="1">IF(ROW($J967)-1&lt;$K$1,$F967,AVERAGE($F967:OFFSET($F967,(($K$1-1)*-1),0)))</f>
        <v>226.20535714285714</v>
      </c>
      <c r="L967" s="7">
        <f t="shared" ca="1" si="90"/>
        <v>1</v>
      </c>
      <c r="M967" s="7" t="str">
        <f t="shared" ca="1" si="91"/>
        <v/>
      </c>
      <c r="N967" s="6" t="str">
        <f t="shared" ca="1" si="92"/>
        <v/>
      </c>
      <c r="O967" s="6">
        <f t="shared" si="93"/>
        <v>9.6500000000000057</v>
      </c>
      <c r="Q967" s="6">
        <v>20.900000000000006</v>
      </c>
      <c r="R967" s="9">
        <f t="shared" si="94"/>
        <v>7837.5000000000018</v>
      </c>
      <c r="S967" s="7">
        <f t="shared" si="89"/>
        <v>-16481.250000000025</v>
      </c>
    </row>
    <row r="968" spans="1:19" x14ac:dyDescent="0.25">
      <c r="A968" s="4">
        <f>Sheet1!A968</f>
        <v>40487</v>
      </c>
      <c r="B968" s="5">
        <f>Sheet1!B968</f>
        <v>0.58333333333333337</v>
      </c>
      <c r="C968" s="6">
        <f>Sheet1!C968</f>
        <v>241.25</v>
      </c>
      <c r="D968" s="6">
        <f>Sheet1!D968</f>
        <v>243.1</v>
      </c>
      <c r="E968" s="6">
        <f>Sheet1!E968</f>
        <v>239.55</v>
      </c>
      <c r="F968" s="6">
        <f>Sheet1!F968</f>
        <v>241.4</v>
      </c>
      <c r="H968" s="6">
        <f ca="1">IF(ROW($H968)-1&lt;$I$1,$F968,AVERAGE($F968:OFFSET($F968,(($I$1-1)*-1),0)))</f>
        <v>237.52500000000001</v>
      </c>
      <c r="J968" s="6">
        <f ca="1">IF(ROW($J968)-1&lt;$K$1,$F968,AVERAGE($F968:OFFSET($F968,(($K$1-1)*-1),0)))</f>
        <v>226.78392857142853</v>
      </c>
      <c r="L968" s="7">
        <f t="shared" ca="1" si="90"/>
        <v>1</v>
      </c>
      <c r="M968" s="7" t="str">
        <f t="shared" ca="1" si="91"/>
        <v/>
      </c>
      <c r="N968" s="6" t="str">
        <f t="shared" ca="1" si="92"/>
        <v/>
      </c>
      <c r="O968" s="6">
        <f t="shared" si="93"/>
        <v>-0.65000000000000568</v>
      </c>
      <c r="Q968" s="6">
        <v>20.25</v>
      </c>
      <c r="R968" s="9">
        <f t="shared" si="94"/>
        <v>7593.75</v>
      </c>
      <c r="S968" s="7">
        <f t="shared" si="89"/>
        <v>-16481.250000000025</v>
      </c>
    </row>
    <row r="969" spans="1:19" x14ac:dyDescent="0.25">
      <c r="A969" s="4">
        <f>Sheet1!A969</f>
        <v>40490</v>
      </c>
      <c r="B969" s="5">
        <f>Sheet1!B969</f>
        <v>0.58333333333333337</v>
      </c>
      <c r="C969" s="6">
        <f>Sheet1!C969</f>
        <v>240.75</v>
      </c>
      <c r="D969" s="6">
        <f>Sheet1!D969</f>
        <v>245.95</v>
      </c>
      <c r="E969" s="6">
        <f>Sheet1!E969</f>
        <v>240.1</v>
      </c>
      <c r="F969" s="6">
        <f>Sheet1!F969</f>
        <v>244.35</v>
      </c>
      <c r="H969" s="6">
        <f ca="1">IF(ROW($H969)-1&lt;$I$1,$F969,AVERAGE($F969:OFFSET($F969,(($I$1-1)*-1),0)))</f>
        <v>238.29999999999998</v>
      </c>
      <c r="J969" s="6">
        <f ca="1">IF(ROW($J969)-1&lt;$K$1,$F969,AVERAGE($F969:OFFSET($F969,(($K$1-1)*-1),0)))</f>
        <v>227.58214285714283</v>
      </c>
      <c r="L969" s="7">
        <f t="shared" ca="1" si="90"/>
        <v>1</v>
      </c>
      <c r="M969" s="7" t="str">
        <f t="shared" ca="1" si="91"/>
        <v/>
      </c>
      <c r="N969" s="6" t="str">
        <f t="shared" ca="1" si="92"/>
        <v/>
      </c>
      <c r="O969" s="6">
        <f t="shared" si="93"/>
        <v>2.9499999999999886</v>
      </c>
      <c r="Q969" s="6">
        <v>23.199999999999989</v>
      </c>
      <c r="R969" s="9">
        <f t="shared" si="94"/>
        <v>8699.9999999999964</v>
      </c>
      <c r="S969" s="7">
        <f t="shared" si="89"/>
        <v>-16481.250000000025</v>
      </c>
    </row>
    <row r="970" spans="1:19" x14ac:dyDescent="0.25">
      <c r="A970" s="4">
        <f>Sheet1!A970</f>
        <v>40491</v>
      </c>
      <c r="B970" s="5">
        <f>Sheet1!B970</f>
        <v>0.58333333333333337</v>
      </c>
      <c r="C970" s="6">
        <f>Sheet1!C970</f>
        <v>244.15</v>
      </c>
      <c r="D970" s="6">
        <f>Sheet1!D970</f>
        <v>254.1</v>
      </c>
      <c r="E970" s="6">
        <f>Sheet1!E970</f>
        <v>243.7</v>
      </c>
      <c r="F970" s="6">
        <f>Sheet1!F970</f>
        <v>253.3</v>
      </c>
      <c r="H970" s="6">
        <f ca="1">IF(ROW($H970)-1&lt;$I$1,$F970,AVERAGE($F970:OFFSET($F970,(($I$1-1)*-1),0)))</f>
        <v>241.52499999999998</v>
      </c>
      <c r="J970" s="6">
        <f ca="1">IF(ROW($J970)-1&lt;$K$1,$F970,AVERAGE($F970:OFFSET($F970,(($K$1-1)*-1),0)))</f>
        <v>228.79642857142858</v>
      </c>
      <c r="L970" s="7">
        <f t="shared" ca="1" si="90"/>
        <v>1</v>
      </c>
      <c r="M970" s="7" t="str">
        <f t="shared" ca="1" si="91"/>
        <v/>
      </c>
      <c r="N970" s="6" t="str">
        <f t="shared" ca="1" si="92"/>
        <v/>
      </c>
      <c r="O970" s="6">
        <f t="shared" si="93"/>
        <v>8.9500000000000171</v>
      </c>
      <c r="Q970" s="6">
        <v>32.150000000000006</v>
      </c>
      <c r="R970" s="9">
        <f t="shared" si="94"/>
        <v>12056.250000000002</v>
      </c>
      <c r="S970" s="7">
        <f t="shared" si="89"/>
        <v>-16481.250000000025</v>
      </c>
    </row>
    <row r="971" spans="1:19" x14ac:dyDescent="0.25">
      <c r="A971" s="4">
        <f>Sheet1!A971</f>
        <v>40492</v>
      </c>
      <c r="B971" s="5">
        <f>Sheet1!B971</f>
        <v>0.58333333333333337</v>
      </c>
      <c r="C971" s="6">
        <f>Sheet1!C971</f>
        <v>253.6</v>
      </c>
      <c r="D971" s="6">
        <f>Sheet1!D971</f>
        <v>254.95</v>
      </c>
      <c r="E971" s="6">
        <f>Sheet1!E971</f>
        <v>247.6</v>
      </c>
      <c r="F971" s="6">
        <f>Sheet1!F971</f>
        <v>248.5</v>
      </c>
      <c r="H971" s="6">
        <f ca="1">IF(ROW($H971)-1&lt;$I$1,$F971,AVERAGE($F971:OFFSET($F971,(($I$1-1)*-1),0)))</f>
        <v>243.66666666666666</v>
      </c>
      <c r="J971" s="6">
        <f ca="1">IF(ROW($J971)-1&lt;$K$1,$F971,AVERAGE($F971:OFFSET($F971,(($K$1-1)*-1),0)))</f>
        <v>229.90892857142856</v>
      </c>
      <c r="L971" s="7">
        <f t="shared" ca="1" si="90"/>
        <v>1</v>
      </c>
      <c r="M971" s="7" t="str">
        <f t="shared" ca="1" si="91"/>
        <v/>
      </c>
      <c r="N971" s="6" t="str">
        <f t="shared" ca="1" si="92"/>
        <v/>
      </c>
      <c r="O971" s="6">
        <f t="shared" si="93"/>
        <v>-4.8000000000000114</v>
      </c>
      <c r="Q971" s="6">
        <v>27.349999999999994</v>
      </c>
      <c r="R971" s="9">
        <f t="shared" si="94"/>
        <v>10256.249999999998</v>
      </c>
      <c r="S971" s="7">
        <f t="shared" si="89"/>
        <v>-16481.250000000025</v>
      </c>
    </row>
    <row r="972" spans="1:19" x14ac:dyDescent="0.25">
      <c r="A972" s="4">
        <f>Sheet1!A972</f>
        <v>40493</v>
      </c>
      <c r="B972" s="5">
        <f>Sheet1!B972</f>
        <v>0.58333333333333337</v>
      </c>
      <c r="C972" s="6">
        <f>Sheet1!C972</f>
        <v>248.85</v>
      </c>
      <c r="D972" s="6">
        <f>Sheet1!D972</f>
        <v>251.15</v>
      </c>
      <c r="E972" s="6">
        <f>Sheet1!E972</f>
        <v>242.15</v>
      </c>
      <c r="F972" s="6">
        <f>Sheet1!F972</f>
        <v>243.05</v>
      </c>
      <c r="H972" s="6">
        <f ca="1">IF(ROW($H972)-1&lt;$I$1,$F972,AVERAGE($F972:OFFSET($F972,(($I$1-1)*-1),0)))</f>
        <v>245.44166666666669</v>
      </c>
      <c r="J972" s="6">
        <f ca="1">IF(ROW($J972)-1&lt;$K$1,$F972,AVERAGE($F972:OFFSET($F972,(($K$1-1)*-1),0)))</f>
        <v>231.13392857142858</v>
      </c>
      <c r="L972" s="7">
        <f t="shared" ca="1" si="90"/>
        <v>1</v>
      </c>
      <c r="M972" s="7" t="str">
        <f t="shared" ca="1" si="91"/>
        <v/>
      </c>
      <c r="N972" s="6" t="str">
        <f t="shared" ca="1" si="92"/>
        <v/>
      </c>
      <c r="O972" s="6">
        <f t="shared" si="93"/>
        <v>-5.4499999999999886</v>
      </c>
      <c r="Q972" s="6">
        <v>21.900000000000006</v>
      </c>
      <c r="R972" s="9">
        <f t="shared" si="94"/>
        <v>8212.5000000000018</v>
      </c>
      <c r="S972" s="7">
        <f t="shared" si="89"/>
        <v>-16481.250000000025</v>
      </c>
    </row>
    <row r="973" spans="1:19" x14ac:dyDescent="0.25">
      <c r="A973" s="4">
        <f>Sheet1!A973</f>
        <v>40494</v>
      </c>
      <c r="B973" s="5">
        <f>Sheet1!B973</f>
        <v>0.58333333333333337</v>
      </c>
      <c r="C973" s="6">
        <f>Sheet1!C973</f>
        <v>242.15</v>
      </c>
      <c r="D973" s="6">
        <f>Sheet1!D973</f>
        <v>242.55</v>
      </c>
      <c r="E973" s="6">
        <f>Sheet1!E973</f>
        <v>235.6</v>
      </c>
      <c r="F973" s="6">
        <f>Sheet1!F973</f>
        <v>236.9</v>
      </c>
      <c r="H973" s="6">
        <f ca="1">IF(ROW($H973)-1&lt;$I$1,$F973,AVERAGE($F973:OFFSET($F973,(($I$1-1)*-1),0)))</f>
        <v>244.58333333333334</v>
      </c>
      <c r="J973" s="6">
        <f ca="1">IF(ROW($J973)-1&lt;$K$1,$F973,AVERAGE($F973:OFFSET($F973,(($K$1-1)*-1),0)))</f>
        <v>231.97857142857143</v>
      </c>
      <c r="L973" s="7">
        <f t="shared" ca="1" si="90"/>
        <v>1</v>
      </c>
      <c r="M973" s="7" t="str">
        <f t="shared" ca="1" si="91"/>
        <v/>
      </c>
      <c r="N973" s="6" t="str">
        <f t="shared" ca="1" si="92"/>
        <v/>
      </c>
      <c r="O973" s="6">
        <f t="shared" si="93"/>
        <v>-6.1500000000000057</v>
      </c>
      <c r="Q973" s="6">
        <v>15.75</v>
      </c>
      <c r="R973" s="9">
        <f t="shared" si="94"/>
        <v>5906.25</v>
      </c>
      <c r="S973" s="7">
        <f t="shared" si="89"/>
        <v>-16481.250000000025</v>
      </c>
    </row>
    <row r="974" spans="1:19" x14ac:dyDescent="0.25">
      <c r="A974" s="4">
        <f>Sheet1!A974</f>
        <v>40497</v>
      </c>
      <c r="B974" s="5">
        <f>Sheet1!B974</f>
        <v>0.58333333333333337</v>
      </c>
      <c r="C974" s="6">
        <f>Sheet1!C974</f>
        <v>238.25</v>
      </c>
      <c r="D974" s="6">
        <f>Sheet1!D974</f>
        <v>242.45</v>
      </c>
      <c r="E974" s="6">
        <f>Sheet1!E974</f>
        <v>237.95</v>
      </c>
      <c r="F974" s="6">
        <f>Sheet1!F974</f>
        <v>240.8</v>
      </c>
      <c r="H974" s="6">
        <f ca="1">IF(ROW($H974)-1&lt;$I$1,$F974,AVERAGE($F974:OFFSET($F974,(($I$1-1)*-1),0)))</f>
        <v>244.48333333333335</v>
      </c>
      <c r="J974" s="6">
        <f ca="1">IF(ROW($J974)-1&lt;$K$1,$F974,AVERAGE($F974:OFFSET($F974,(($K$1-1)*-1),0)))</f>
        <v>233.01428571428571</v>
      </c>
      <c r="L974" s="7">
        <f t="shared" ca="1" si="90"/>
        <v>1</v>
      </c>
      <c r="M974" s="7" t="str">
        <f t="shared" ca="1" si="91"/>
        <v/>
      </c>
      <c r="N974" s="6" t="str">
        <f t="shared" ca="1" si="92"/>
        <v/>
      </c>
      <c r="O974" s="6">
        <f t="shared" si="93"/>
        <v>3.9000000000000057</v>
      </c>
      <c r="Q974" s="6">
        <v>19.650000000000006</v>
      </c>
      <c r="R974" s="9">
        <f t="shared" si="94"/>
        <v>7368.7500000000018</v>
      </c>
      <c r="S974" s="7">
        <f t="shared" si="89"/>
        <v>-16481.250000000025</v>
      </c>
    </row>
    <row r="975" spans="1:19" x14ac:dyDescent="0.25">
      <c r="A975" s="4">
        <f>Sheet1!A975</f>
        <v>40498</v>
      </c>
      <c r="B975" s="5">
        <f>Sheet1!B975</f>
        <v>0.58333333333333337</v>
      </c>
      <c r="C975" s="6">
        <f>Sheet1!C975</f>
        <v>241.35</v>
      </c>
      <c r="D975" s="6">
        <f>Sheet1!D975</f>
        <v>241.8</v>
      </c>
      <c r="E975" s="6">
        <f>Sheet1!E975</f>
        <v>233.1</v>
      </c>
      <c r="F975" s="6">
        <f>Sheet1!F975</f>
        <v>234.05</v>
      </c>
      <c r="H975" s="6">
        <f ca="1">IF(ROW($H975)-1&lt;$I$1,$F975,AVERAGE($F975:OFFSET($F975,(($I$1-1)*-1),0)))</f>
        <v>242.76666666666665</v>
      </c>
      <c r="J975" s="6">
        <f ca="1">IF(ROW($J975)-1&lt;$K$1,$F975,AVERAGE($F975:OFFSET($F975,(($K$1-1)*-1),0)))</f>
        <v>233.88392857142858</v>
      </c>
      <c r="L975" s="7">
        <f t="shared" ca="1" si="90"/>
        <v>1</v>
      </c>
      <c r="M975" s="7" t="str">
        <f t="shared" ca="1" si="91"/>
        <v/>
      </c>
      <c r="N975" s="6" t="str">
        <f t="shared" ca="1" si="92"/>
        <v/>
      </c>
      <c r="O975" s="6">
        <f t="shared" si="93"/>
        <v>-6.75</v>
      </c>
      <c r="Q975" s="6">
        <v>12.900000000000006</v>
      </c>
      <c r="R975" s="9">
        <f t="shared" si="94"/>
        <v>4837.5000000000018</v>
      </c>
      <c r="S975" s="7">
        <f t="shared" si="89"/>
        <v>-16481.250000000025</v>
      </c>
    </row>
    <row r="976" spans="1:19" x14ac:dyDescent="0.25">
      <c r="A976" s="4">
        <f>Sheet1!A976</f>
        <v>40499</v>
      </c>
      <c r="B976" s="5">
        <f>Sheet1!B976</f>
        <v>0.58333333333333337</v>
      </c>
      <c r="C976" s="6">
        <f>Sheet1!C976</f>
        <v>234.05</v>
      </c>
      <c r="D976" s="6">
        <f>Sheet1!D976</f>
        <v>237.35</v>
      </c>
      <c r="E976" s="6">
        <f>Sheet1!E976</f>
        <v>231.85</v>
      </c>
      <c r="F976" s="6">
        <f>Sheet1!F976</f>
        <v>236.4</v>
      </c>
      <c r="H976" s="6">
        <f ca="1">IF(ROW($H976)-1&lt;$I$1,$F976,AVERAGE($F976:OFFSET($F976,(($I$1-1)*-1),0)))</f>
        <v>239.95000000000002</v>
      </c>
      <c r="J976" s="6">
        <f ca="1">IF(ROW($J976)-1&lt;$K$1,$F976,AVERAGE($F976:OFFSET($F976,(($K$1-1)*-1),0)))</f>
        <v>234.52678571428572</v>
      </c>
      <c r="L976" s="7">
        <f t="shared" ca="1" si="90"/>
        <v>1</v>
      </c>
      <c r="M976" s="7" t="str">
        <f t="shared" ca="1" si="91"/>
        <v/>
      </c>
      <c r="N976" s="6" t="str">
        <f t="shared" ca="1" si="92"/>
        <v/>
      </c>
      <c r="O976" s="6">
        <f t="shared" si="93"/>
        <v>2.3499999999999943</v>
      </c>
      <c r="Q976" s="6">
        <v>15.25</v>
      </c>
      <c r="R976" s="9">
        <f t="shared" si="94"/>
        <v>5718.75</v>
      </c>
      <c r="S976" s="7">
        <f t="shared" ref="S976:S1039" si="95">S975+(P976*375)</f>
        <v>-16481.250000000025</v>
      </c>
    </row>
    <row r="977" spans="1:19" x14ac:dyDescent="0.25">
      <c r="A977" s="4">
        <f>Sheet1!A977</f>
        <v>40500</v>
      </c>
      <c r="B977" s="5">
        <f>Sheet1!B977</f>
        <v>0.58333333333333337</v>
      </c>
      <c r="C977" s="6">
        <f>Sheet1!C977</f>
        <v>236.9</v>
      </c>
      <c r="D977" s="6">
        <f>Sheet1!D977</f>
        <v>245.55</v>
      </c>
      <c r="E977" s="6">
        <f>Sheet1!E977</f>
        <v>236.9</v>
      </c>
      <c r="F977" s="6">
        <f>Sheet1!F977</f>
        <v>244.85</v>
      </c>
      <c r="H977" s="6">
        <f ca="1">IF(ROW($H977)-1&lt;$I$1,$F977,AVERAGE($F977:OFFSET($F977,(($I$1-1)*-1),0)))</f>
        <v>239.34166666666667</v>
      </c>
      <c r="J977" s="6">
        <f ca="1">IF(ROW($J977)-1&lt;$K$1,$F977,AVERAGE($F977:OFFSET($F977,(($K$1-1)*-1),0)))</f>
        <v>235.59642857142856</v>
      </c>
      <c r="L977" s="7">
        <f t="shared" ca="1" si="90"/>
        <v>1</v>
      </c>
      <c r="M977" s="7" t="str">
        <f t="shared" ca="1" si="91"/>
        <v/>
      </c>
      <c r="N977" s="6" t="str">
        <f t="shared" ca="1" si="92"/>
        <v/>
      </c>
      <c r="O977" s="6">
        <f t="shared" si="93"/>
        <v>8.4499999999999886</v>
      </c>
      <c r="Q977" s="6">
        <v>23.699999999999989</v>
      </c>
      <c r="R977" s="9">
        <f t="shared" si="94"/>
        <v>8887.4999999999964</v>
      </c>
      <c r="S977" s="7">
        <f t="shared" si="95"/>
        <v>-16481.250000000025</v>
      </c>
    </row>
    <row r="978" spans="1:19" x14ac:dyDescent="0.25">
      <c r="A978" s="4">
        <f>Sheet1!A978</f>
        <v>40501</v>
      </c>
      <c r="B978" s="5">
        <f>Sheet1!B978</f>
        <v>0.58333333333333337</v>
      </c>
      <c r="C978" s="6">
        <f>Sheet1!C978</f>
        <v>244.55</v>
      </c>
      <c r="D978" s="6">
        <f>Sheet1!D978</f>
        <v>245.35</v>
      </c>
      <c r="E978" s="6">
        <f>Sheet1!E978</f>
        <v>240.55</v>
      </c>
      <c r="F978" s="6">
        <f>Sheet1!F978</f>
        <v>244.8</v>
      </c>
      <c r="H978" s="6">
        <f ca="1">IF(ROW($H978)-1&lt;$I$1,$F978,AVERAGE($F978:OFFSET($F978,(($I$1-1)*-1),0)))</f>
        <v>239.63333333333333</v>
      </c>
      <c r="J978" s="6">
        <f ca="1">IF(ROW($J978)-1&lt;$K$1,$F978,AVERAGE($F978:OFFSET($F978,(($K$1-1)*-1),0)))</f>
        <v>236.41250000000005</v>
      </c>
      <c r="L978" s="7">
        <f t="shared" ca="1" si="90"/>
        <v>1</v>
      </c>
      <c r="M978" s="7" t="str">
        <f t="shared" ca="1" si="91"/>
        <v/>
      </c>
      <c r="N978" s="6" t="str">
        <f t="shared" ca="1" si="92"/>
        <v/>
      </c>
      <c r="O978" s="6">
        <f t="shared" si="93"/>
        <v>-4.9999999999982947E-2</v>
      </c>
      <c r="Q978" s="6">
        <v>23.650000000000006</v>
      </c>
      <c r="R978" s="9">
        <f t="shared" si="94"/>
        <v>8868.7500000000018</v>
      </c>
      <c r="S978" s="7">
        <f t="shared" si="95"/>
        <v>-16481.250000000025</v>
      </c>
    </row>
    <row r="979" spans="1:19" x14ac:dyDescent="0.25">
      <c r="A979" s="4">
        <f>Sheet1!A979</f>
        <v>40504</v>
      </c>
      <c r="B979" s="5">
        <f>Sheet1!B979</f>
        <v>0.58333333333333337</v>
      </c>
      <c r="C979" s="6">
        <f>Sheet1!C979</f>
        <v>244.85</v>
      </c>
      <c r="D979" s="6">
        <f>Sheet1!D979</f>
        <v>246.8</v>
      </c>
      <c r="E979" s="6">
        <f>Sheet1!E979</f>
        <v>239.55</v>
      </c>
      <c r="F979" s="6">
        <f>Sheet1!F979</f>
        <v>240.7</v>
      </c>
      <c r="H979" s="6">
        <f ca="1">IF(ROW($H979)-1&lt;$I$1,$F979,AVERAGE($F979:OFFSET($F979,(($I$1-1)*-1),0)))</f>
        <v>240.26666666666668</v>
      </c>
      <c r="J979" s="6">
        <f ca="1">IF(ROW($J979)-1&lt;$K$1,$F979,AVERAGE($F979:OFFSET($F979,(($K$1-1)*-1),0)))</f>
        <v>237.06607142857143</v>
      </c>
      <c r="L979" s="7">
        <f t="shared" ca="1" si="90"/>
        <v>1</v>
      </c>
      <c r="M979" s="7" t="str">
        <f t="shared" ca="1" si="91"/>
        <v/>
      </c>
      <c r="N979" s="6" t="str">
        <f t="shared" ca="1" si="92"/>
        <v/>
      </c>
      <c r="O979" s="6">
        <f t="shared" si="93"/>
        <v>-4.1000000000000227</v>
      </c>
      <c r="Q979" s="6">
        <v>19.549999999999983</v>
      </c>
      <c r="R979" s="9">
        <f t="shared" si="94"/>
        <v>7331.2499999999936</v>
      </c>
      <c r="S979" s="7">
        <f t="shared" si="95"/>
        <v>-16481.250000000025</v>
      </c>
    </row>
    <row r="980" spans="1:19" x14ac:dyDescent="0.25">
      <c r="A980" s="4">
        <f>Sheet1!A980</f>
        <v>40505</v>
      </c>
      <c r="B980" s="5">
        <f>Sheet1!B980</f>
        <v>0.58333333333333337</v>
      </c>
      <c r="C980" s="6">
        <f>Sheet1!C980</f>
        <v>240.55</v>
      </c>
      <c r="D980" s="6">
        <f>Sheet1!D980</f>
        <v>245.15</v>
      </c>
      <c r="E980" s="6">
        <f>Sheet1!E980</f>
        <v>235</v>
      </c>
      <c r="F980" s="6">
        <f>Sheet1!F980</f>
        <v>244.1</v>
      </c>
      <c r="H980" s="6">
        <f ca="1">IF(ROW($H980)-1&lt;$I$1,$F980,AVERAGE($F980:OFFSET($F980,(($I$1-1)*-1),0)))</f>
        <v>240.81666666666669</v>
      </c>
      <c r="J980" s="6">
        <f ca="1">IF(ROW($J980)-1&lt;$K$1,$F980,AVERAGE($F980:OFFSET($F980,(($K$1-1)*-1),0)))</f>
        <v>237.78928571428574</v>
      </c>
      <c r="L980" s="7">
        <f t="shared" ca="1" si="90"/>
        <v>1</v>
      </c>
      <c r="M980" s="7" t="str">
        <f t="shared" ca="1" si="91"/>
        <v/>
      </c>
      <c r="N980" s="6" t="str">
        <f t="shared" ca="1" si="92"/>
        <v/>
      </c>
      <c r="O980" s="6">
        <f t="shared" si="93"/>
        <v>3.4000000000000057</v>
      </c>
      <c r="Q980" s="6">
        <v>22.949999999999989</v>
      </c>
      <c r="R980" s="9">
        <f t="shared" si="94"/>
        <v>8606.2499999999964</v>
      </c>
      <c r="S980" s="7">
        <f t="shared" si="95"/>
        <v>-16481.250000000025</v>
      </c>
    </row>
    <row r="981" spans="1:19" x14ac:dyDescent="0.25">
      <c r="A981" s="4">
        <f>Sheet1!A981</f>
        <v>40506</v>
      </c>
      <c r="B981" s="5">
        <f>Sheet1!B981</f>
        <v>0.58333333333333337</v>
      </c>
      <c r="C981" s="6">
        <f>Sheet1!C981</f>
        <v>244.25</v>
      </c>
      <c r="D981" s="6">
        <f>Sheet1!D981</f>
        <v>246.3</v>
      </c>
      <c r="E981" s="6">
        <f>Sheet1!E981</f>
        <v>239.75</v>
      </c>
      <c r="F981" s="6">
        <f>Sheet1!F981</f>
        <v>241</v>
      </c>
      <c r="H981" s="6">
        <f ca="1">IF(ROW($H981)-1&lt;$I$1,$F981,AVERAGE($F981:OFFSET($F981,(($I$1-1)*-1),0)))</f>
        <v>241.97499999999999</v>
      </c>
      <c r="J981" s="6">
        <f ca="1">IF(ROW($J981)-1&lt;$K$1,$F981,AVERAGE($F981:OFFSET($F981,(($K$1-1)*-1),0)))</f>
        <v>238.4446428571429</v>
      </c>
      <c r="L981" s="7">
        <f t="shared" ca="1" si="90"/>
        <v>1</v>
      </c>
      <c r="M981" s="7" t="str">
        <f t="shared" ca="1" si="91"/>
        <v/>
      </c>
      <c r="N981" s="6" t="str">
        <f t="shared" ca="1" si="92"/>
        <v/>
      </c>
      <c r="O981" s="6">
        <f t="shared" si="93"/>
        <v>-3.0999999999999943</v>
      </c>
      <c r="Q981" s="6">
        <v>19.849999999999994</v>
      </c>
      <c r="R981" s="9">
        <f t="shared" si="94"/>
        <v>7443.7499999999982</v>
      </c>
      <c r="S981" s="7">
        <f t="shared" si="95"/>
        <v>-16481.250000000025</v>
      </c>
    </row>
    <row r="982" spans="1:19" x14ac:dyDescent="0.25">
      <c r="A982" s="4">
        <f>Sheet1!A982</f>
        <v>40508</v>
      </c>
      <c r="B982" s="5">
        <f>Sheet1!B982</f>
        <v>0.58333333333333337</v>
      </c>
      <c r="C982" s="6">
        <f>Sheet1!C982</f>
        <v>240.2</v>
      </c>
      <c r="D982" s="6">
        <f>Sheet1!D982</f>
        <v>240.55</v>
      </c>
      <c r="E982" s="6">
        <f>Sheet1!E982</f>
        <v>235.55</v>
      </c>
      <c r="F982" s="6">
        <f>Sheet1!F982</f>
        <v>236.25</v>
      </c>
      <c r="H982" s="6">
        <f ca="1">IF(ROW($H982)-1&lt;$I$1,$F982,AVERAGE($F982:OFFSET($F982,(($I$1-1)*-1),0)))</f>
        <v>241.94999999999996</v>
      </c>
      <c r="J982" s="6">
        <f ca="1">IF(ROW($J982)-1&lt;$K$1,$F982,AVERAGE($F982:OFFSET($F982,(($K$1-1)*-1),0)))</f>
        <v>238.95892857142857</v>
      </c>
      <c r="L982" s="7">
        <f t="shared" ca="1" si="90"/>
        <v>1</v>
      </c>
      <c r="M982" s="7" t="str">
        <f t="shared" ca="1" si="91"/>
        <v/>
      </c>
      <c r="N982" s="6" t="str">
        <f t="shared" ca="1" si="92"/>
        <v/>
      </c>
      <c r="O982" s="6">
        <f t="shared" si="93"/>
        <v>-4.75</v>
      </c>
      <c r="Q982" s="6">
        <v>15.099999999999994</v>
      </c>
      <c r="R982" s="9">
        <f t="shared" si="94"/>
        <v>5662.4999999999982</v>
      </c>
      <c r="S982" s="7">
        <f t="shared" si="95"/>
        <v>-16481.250000000025</v>
      </c>
    </row>
    <row r="983" spans="1:19" x14ac:dyDescent="0.25">
      <c r="A983" s="4">
        <f>Sheet1!A983</f>
        <v>40511</v>
      </c>
      <c r="B983" s="5">
        <f>Sheet1!B983</f>
        <v>0.58333333333333337</v>
      </c>
      <c r="C983" s="6">
        <f>Sheet1!C983</f>
        <v>235.55</v>
      </c>
      <c r="D983" s="6">
        <f>Sheet1!D983</f>
        <v>237.4</v>
      </c>
      <c r="E983" s="6">
        <f>Sheet1!E983</f>
        <v>232.55</v>
      </c>
      <c r="F983" s="6">
        <f>Sheet1!F983</f>
        <v>236.2</v>
      </c>
      <c r="H983" s="6">
        <f ca="1">IF(ROW($H983)-1&lt;$I$1,$F983,AVERAGE($F983:OFFSET($F983,(($I$1-1)*-1),0)))</f>
        <v>240.50833333333333</v>
      </c>
      <c r="J983" s="6">
        <f ca="1">IF(ROW($J983)-1&lt;$K$1,$F983,AVERAGE($F983:OFFSET($F983,(($K$1-1)*-1),0)))</f>
        <v>239.28214285714287</v>
      </c>
      <c r="L983" s="7">
        <f t="shared" ca="1" si="90"/>
        <v>1</v>
      </c>
      <c r="M983" s="7" t="str">
        <f t="shared" ca="1" si="91"/>
        <v/>
      </c>
      <c r="N983" s="6" t="str">
        <f t="shared" ca="1" si="92"/>
        <v/>
      </c>
      <c r="O983" s="6">
        <f t="shared" si="93"/>
        <v>-5.0000000000011369E-2</v>
      </c>
      <c r="Q983" s="6">
        <v>15.049999999999983</v>
      </c>
      <c r="R983" s="9">
        <f t="shared" si="94"/>
        <v>5643.7499999999936</v>
      </c>
      <c r="S983" s="7">
        <f t="shared" si="95"/>
        <v>-16481.250000000025</v>
      </c>
    </row>
    <row r="984" spans="1:19" x14ac:dyDescent="0.25">
      <c r="A984" s="4">
        <f>Sheet1!A984</f>
        <v>40512</v>
      </c>
      <c r="B984" s="5">
        <f>Sheet1!B984</f>
        <v>0.58333333333333337</v>
      </c>
      <c r="C984" s="6">
        <f>Sheet1!C984</f>
        <v>236.2</v>
      </c>
      <c r="D984" s="6">
        <f>Sheet1!D984</f>
        <v>237.55</v>
      </c>
      <c r="E984" s="6">
        <f>Sheet1!E984</f>
        <v>233.7</v>
      </c>
      <c r="F984" s="6">
        <f>Sheet1!F984</f>
        <v>234.75</v>
      </c>
      <c r="H984" s="6">
        <f ca="1">IF(ROW($H984)-1&lt;$I$1,$F984,AVERAGE($F984:OFFSET($F984,(($I$1-1)*-1),0)))</f>
        <v>238.83333333333334</v>
      </c>
      <c r="J984" s="6">
        <f ca="1">IF(ROW($J984)-1&lt;$K$1,$F984,AVERAGE($F984:OFFSET($F984,(($K$1-1)*-1),0)))</f>
        <v>239.3446428571429</v>
      </c>
      <c r="L984" s="7">
        <f t="shared" ca="1" si="90"/>
        <v>-1</v>
      </c>
      <c r="M984" s="7">
        <f t="shared" ca="1" si="91"/>
        <v>-1</v>
      </c>
      <c r="N984" s="6" t="str">
        <f t="shared" ca="1" si="92"/>
        <v/>
      </c>
      <c r="O984" s="6">
        <f t="shared" si="93"/>
        <v>-1.4499999999999886</v>
      </c>
      <c r="Q984" s="6">
        <v>13.599999999999994</v>
      </c>
      <c r="R984" s="9">
        <f t="shared" si="94"/>
        <v>5099.9999999999982</v>
      </c>
      <c r="S984" s="7">
        <f t="shared" si="95"/>
        <v>-16481.250000000025</v>
      </c>
    </row>
    <row r="985" spans="1:19" x14ac:dyDescent="0.25">
      <c r="A985" s="4">
        <f>Sheet1!A985</f>
        <v>40513</v>
      </c>
      <c r="B985" s="5">
        <f>Sheet1!B985</f>
        <v>0.58333333333333337</v>
      </c>
      <c r="C985" s="6">
        <f>Sheet1!C985</f>
        <v>234.9</v>
      </c>
      <c r="D985" s="6">
        <f>Sheet1!D985</f>
        <v>239.3</v>
      </c>
      <c r="E985" s="6">
        <f>Sheet1!E985</f>
        <v>233.6</v>
      </c>
      <c r="F985" s="6">
        <f>Sheet1!F985</f>
        <v>237.1</v>
      </c>
      <c r="H985" s="6">
        <f ca="1">IF(ROW($H985)-1&lt;$I$1,$F985,AVERAGE($F985:OFFSET($F985,(($I$1-1)*-1),0)))</f>
        <v>238.23333333333332</v>
      </c>
      <c r="J985" s="6">
        <f ca="1">IF(ROW($J985)-1&lt;$K$1,$F985,AVERAGE($F985:OFFSET($F985,(($K$1-1)*-1),0)))</f>
        <v>239.33928571428578</v>
      </c>
      <c r="L985" s="7">
        <f t="shared" ca="1" si="90"/>
        <v>-1</v>
      </c>
      <c r="M985" s="7" t="str">
        <f t="shared" ca="1" si="91"/>
        <v/>
      </c>
      <c r="N985" s="6">
        <f t="shared" ca="1" si="92"/>
        <v>234.9</v>
      </c>
      <c r="O985" s="6">
        <f t="shared" si="93"/>
        <v>2.3499999999999943</v>
      </c>
      <c r="P985" s="6">
        <v>13.75</v>
      </c>
      <c r="Q985" s="6">
        <v>-2.1999999999999886</v>
      </c>
      <c r="R985" s="9">
        <f t="shared" si="94"/>
        <v>-824.99999999999568</v>
      </c>
      <c r="S985" s="7">
        <f t="shared" si="95"/>
        <v>-11325.000000000025</v>
      </c>
    </row>
    <row r="986" spans="1:19" x14ac:dyDescent="0.25">
      <c r="A986" s="4">
        <f>Sheet1!A986</f>
        <v>40514</v>
      </c>
      <c r="B986" s="5">
        <f>Sheet1!B986</f>
        <v>0.58333333333333337</v>
      </c>
      <c r="C986" s="6">
        <f>Sheet1!C986</f>
        <v>236.7</v>
      </c>
      <c r="D986" s="6">
        <f>Sheet1!D986</f>
        <v>238.4</v>
      </c>
      <c r="E986" s="6">
        <f>Sheet1!E986</f>
        <v>234.95</v>
      </c>
      <c r="F986" s="6">
        <f>Sheet1!F986</f>
        <v>237.25</v>
      </c>
      <c r="H986" s="6">
        <f ca="1">IF(ROW($H986)-1&lt;$I$1,$F986,AVERAGE($F986:OFFSET($F986,(($I$1-1)*-1),0)))</f>
        <v>237.09166666666667</v>
      </c>
      <c r="J986" s="6">
        <f ca="1">IF(ROW($J986)-1&lt;$K$1,$F986,AVERAGE($F986:OFFSET($F986,(($K$1-1)*-1),0)))</f>
        <v>239.41607142857148</v>
      </c>
      <c r="L986" s="7">
        <f t="shared" ca="1" si="90"/>
        <v>-1</v>
      </c>
      <c r="M986" s="7" t="str">
        <f t="shared" ca="1" si="91"/>
        <v/>
      </c>
      <c r="N986" s="6" t="str">
        <f t="shared" ca="1" si="92"/>
        <v/>
      </c>
      <c r="O986" s="6">
        <f t="shared" si="93"/>
        <v>0.15000000000000568</v>
      </c>
      <c r="Q986" s="6">
        <v>-2.3499999999999943</v>
      </c>
      <c r="R986" s="9">
        <f t="shared" si="94"/>
        <v>-881.24999999999784</v>
      </c>
      <c r="S986" s="7">
        <f t="shared" si="95"/>
        <v>-11325.000000000025</v>
      </c>
    </row>
    <row r="987" spans="1:19" x14ac:dyDescent="0.25">
      <c r="A987" s="4">
        <f>Sheet1!A987</f>
        <v>40515</v>
      </c>
      <c r="B987" s="5">
        <f>Sheet1!B987</f>
        <v>0.58333333333333337</v>
      </c>
      <c r="C987" s="6">
        <f>Sheet1!C987</f>
        <v>237</v>
      </c>
      <c r="D987" s="6">
        <f>Sheet1!D987</f>
        <v>241</v>
      </c>
      <c r="E987" s="6">
        <f>Sheet1!E987</f>
        <v>236.7</v>
      </c>
      <c r="F987" s="6">
        <f>Sheet1!F987</f>
        <v>238.35</v>
      </c>
      <c r="H987" s="6">
        <f ca="1">IF(ROW($H987)-1&lt;$I$1,$F987,AVERAGE($F987:OFFSET($F987,(($I$1-1)*-1),0)))</f>
        <v>236.65</v>
      </c>
      <c r="J987" s="6">
        <f ca="1">IF(ROW($J987)-1&lt;$K$1,$F987,AVERAGE($F987:OFFSET($F987,(($K$1-1)*-1),0)))</f>
        <v>239.47321428571436</v>
      </c>
      <c r="L987" s="7">
        <f t="shared" ca="1" si="90"/>
        <v>-1</v>
      </c>
      <c r="M987" s="7" t="str">
        <f t="shared" ca="1" si="91"/>
        <v/>
      </c>
      <c r="N987" s="6" t="str">
        <f t="shared" ca="1" si="92"/>
        <v/>
      </c>
      <c r="O987" s="6">
        <f t="shared" si="93"/>
        <v>1.0999999999999943</v>
      </c>
      <c r="Q987" s="6">
        <v>-3.4499999999999886</v>
      </c>
      <c r="R987" s="9">
        <f t="shared" si="94"/>
        <v>-1293.7499999999957</v>
      </c>
      <c r="S987" s="7">
        <f t="shared" si="95"/>
        <v>-11325.000000000025</v>
      </c>
    </row>
    <row r="988" spans="1:19" x14ac:dyDescent="0.25">
      <c r="A988" s="4">
        <f>Sheet1!A988</f>
        <v>40518</v>
      </c>
      <c r="B988" s="5">
        <f>Sheet1!B988</f>
        <v>0.58333333333333337</v>
      </c>
      <c r="C988" s="6">
        <f>Sheet1!C988</f>
        <v>237.85</v>
      </c>
      <c r="D988" s="6">
        <f>Sheet1!D988</f>
        <v>243.55</v>
      </c>
      <c r="E988" s="6">
        <f>Sheet1!E988</f>
        <v>237.55</v>
      </c>
      <c r="F988" s="6">
        <f>Sheet1!F988</f>
        <v>242.5</v>
      </c>
      <c r="H988" s="6">
        <f ca="1">IF(ROW($H988)-1&lt;$I$1,$F988,AVERAGE($F988:OFFSET($F988,(($I$1-1)*-1),0)))</f>
        <v>237.69166666666663</v>
      </c>
      <c r="J988" s="6">
        <f ca="1">IF(ROW($J988)-1&lt;$K$1,$F988,AVERAGE($F988:OFFSET($F988,(($K$1-1)*-1),0)))</f>
        <v>239.63392857142864</v>
      </c>
      <c r="L988" s="7">
        <f t="shared" ca="1" si="90"/>
        <v>-1</v>
      </c>
      <c r="M988" s="7" t="str">
        <f t="shared" ca="1" si="91"/>
        <v/>
      </c>
      <c r="N988" s="6" t="str">
        <f t="shared" ca="1" si="92"/>
        <v/>
      </c>
      <c r="O988" s="6">
        <f t="shared" si="93"/>
        <v>4.1500000000000057</v>
      </c>
      <c r="Q988" s="6">
        <v>-7.5999999999999943</v>
      </c>
      <c r="R988" s="9">
        <f t="shared" si="94"/>
        <v>-2849.9999999999977</v>
      </c>
      <c r="S988" s="7">
        <f t="shared" si="95"/>
        <v>-11325.000000000025</v>
      </c>
    </row>
    <row r="989" spans="1:19" x14ac:dyDescent="0.25">
      <c r="A989" s="4">
        <f>Sheet1!A989</f>
        <v>40519</v>
      </c>
      <c r="B989" s="5">
        <f>Sheet1!B989</f>
        <v>0.58333333333333337</v>
      </c>
      <c r="C989" s="6">
        <f>Sheet1!C989</f>
        <v>242.65</v>
      </c>
      <c r="D989" s="6">
        <f>Sheet1!D989</f>
        <v>245.45</v>
      </c>
      <c r="E989" s="6">
        <f>Sheet1!E989</f>
        <v>240.8</v>
      </c>
      <c r="F989" s="6">
        <f>Sheet1!F989</f>
        <v>241.45</v>
      </c>
      <c r="H989" s="6">
        <f ca="1">IF(ROW($H989)-1&lt;$I$1,$F989,AVERAGE($F989:OFFSET($F989,(($I$1-1)*-1),0)))</f>
        <v>238.56666666666669</v>
      </c>
      <c r="J989" s="6">
        <f ca="1">IF(ROW($J989)-1&lt;$K$1,$F989,AVERAGE($F989:OFFSET($F989,(($K$1-1)*-1),0)))</f>
        <v>239.80892857142862</v>
      </c>
      <c r="L989" s="7">
        <f t="shared" ca="1" si="90"/>
        <v>-1</v>
      </c>
      <c r="M989" s="7" t="str">
        <f t="shared" ca="1" si="91"/>
        <v/>
      </c>
      <c r="N989" s="6" t="str">
        <f t="shared" ca="1" si="92"/>
        <v/>
      </c>
      <c r="O989" s="6">
        <f t="shared" si="93"/>
        <v>-1.0500000000000114</v>
      </c>
      <c r="Q989" s="6">
        <v>-6.5499999999999829</v>
      </c>
      <c r="R989" s="9">
        <f t="shared" si="94"/>
        <v>-2456.2499999999936</v>
      </c>
      <c r="S989" s="7">
        <f t="shared" si="95"/>
        <v>-11325.000000000025</v>
      </c>
    </row>
    <row r="990" spans="1:19" x14ac:dyDescent="0.25">
      <c r="A990" s="4">
        <f>Sheet1!A990</f>
        <v>40520</v>
      </c>
      <c r="B990" s="5">
        <f>Sheet1!B990</f>
        <v>0.58333333333333337</v>
      </c>
      <c r="C990" s="6">
        <f>Sheet1!C990</f>
        <v>240.8</v>
      </c>
      <c r="D990" s="6">
        <f>Sheet1!D990</f>
        <v>242.2</v>
      </c>
      <c r="E990" s="6">
        <f>Sheet1!E990</f>
        <v>234.8</v>
      </c>
      <c r="F990" s="6">
        <f>Sheet1!F990</f>
        <v>238.2</v>
      </c>
      <c r="H990" s="6">
        <f ca="1">IF(ROW($H990)-1&lt;$I$1,$F990,AVERAGE($F990:OFFSET($F990,(($I$1-1)*-1),0)))</f>
        <v>239.14166666666668</v>
      </c>
      <c r="J990" s="6">
        <f ca="1">IF(ROW($J990)-1&lt;$K$1,$F990,AVERAGE($F990:OFFSET($F990,(($K$1-1)*-1),0)))</f>
        <v>240.00000000000003</v>
      </c>
      <c r="L990" s="7">
        <f t="shared" ca="1" si="90"/>
        <v>-1</v>
      </c>
      <c r="M990" s="7" t="str">
        <f t="shared" ca="1" si="91"/>
        <v/>
      </c>
      <c r="N990" s="6" t="str">
        <f t="shared" ca="1" si="92"/>
        <v/>
      </c>
      <c r="O990" s="6">
        <f t="shared" si="93"/>
        <v>-3.25</v>
      </c>
      <c r="Q990" s="6">
        <v>-3.2999999999999829</v>
      </c>
      <c r="R990" s="9">
        <f t="shared" si="94"/>
        <v>-1237.4999999999936</v>
      </c>
      <c r="S990" s="7">
        <f t="shared" si="95"/>
        <v>-11325.000000000025</v>
      </c>
    </row>
    <row r="991" spans="1:19" x14ac:dyDescent="0.25">
      <c r="A991" s="4">
        <f>Sheet1!A991</f>
        <v>40521</v>
      </c>
      <c r="B991" s="5">
        <f>Sheet1!B991</f>
        <v>0.58333333333333337</v>
      </c>
      <c r="C991" s="6">
        <f>Sheet1!C991</f>
        <v>239.15</v>
      </c>
      <c r="D991" s="6">
        <f>Sheet1!D991</f>
        <v>240.45</v>
      </c>
      <c r="E991" s="6">
        <f>Sheet1!E991</f>
        <v>237.65</v>
      </c>
      <c r="F991" s="6">
        <f>Sheet1!F991</f>
        <v>238.1</v>
      </c>
      <c r="H991" s="6">
        <f ca="1">IF(ROW($H991)-1&lt;$I$1,$F991,AVERAGE($F991:OFFSET($F991,(($I$1-1)*-1),0)))</f>
        <v>239.30833333333331</v>
      </c>
      <c r="J991" s="6">
        <f ca="1">IF(ROW($J991)-1&lt;$K$1,$F991,AVERAGE($F991:OFFSET($F991,(($K$1-1)*-1),0)))</f>
        <v>239.94285714285721</v>
      </c>
      <c r="L991" s="7">
        <f t="shared" ca="1" si="90"/>
        <v>-1</v>
      </c>
      <c r="M991" s="7" t="str">
        <f t="shared" ca="1" si="91"/>
        <v/>
      </c>
      <c r="N991" s="6" t="str">
        <f t="shared" ca="1" si="92"/>
        <v/>
      </c>
      <c r="O991" s="6">
        <f t="shared" si="93"/>
        <v>-9.9999999999994316E-2</v>
      </c>
      <c r="Q991" s="6">
        <v>-3.1999999999999886</v>
      </c>
      <c r="R991" s="9">
        <f t="shared" si="94"/>
        <v>-1199.9999999999957</v>
      </c>
      <c r="S991" s="7">
        <f t="shared" si="95"/>
        <v>-11325.000000000025</v>
      </c>
    </row>
    <row r="992" spans="1:19" x14ac:dyDescent="0.25">
      <c r="A992" s="4">
        <f>Sheet1!A992</f>
        <v>40522</v>
      </c>
      <c r="B992" s="5">
        <f>Sheet1!B992</f>
        <v>0.58333333333333337</v>
      </c>
      <c r="C992" s="6">
        <f>Sheet1!C992</f>
        <v>237.85</v>
      </c>
      <c r="D992" s="6">
        <f>Sheet1!D992</f>
        <v>244.35</v>
      </c>
      <c r="E992" s="6">
        <f>Sheet1!E992</f>
        <v>236.8</v>
      </c>
      <c r="F992" s="6">
        <f>Sheet1!F992</f>
        <v>243.15</v>
      </c>
      <c r="H992" s="6">
        <f ca="1">IF(ROW($H992)-1&lt;$I$1,$F992,AVERAGE($F992:OFFSET($F992,(($I$1-1)*-1),0)))</f>
        <v>240.29166666666666</v>
      </c>
      <c r="J992" s="6">
        <f ca="1">IF(ROW($J992)-1&lt;$K$1,$F992,AVERAGE($F992:OFFSET($F992,(($K$1-1)*-1),0)))</f>
        <v>240.27142857142857</v>
      </c>
      <c r="L992" s="7">
        <f t="shared" ca="1" si="90"/>
        <v>1</v>
      </c>
      <c r="M992" s="7">
        <f t="shared" ca="1" si="91"/>
        <v>1</v>
      </c>
      <c r="N992" s="6" t="str">
        <f t="shared" ca="1" si="92"/>
        <v/>
      </c>
      <c r="O992" s="6">
        <f t="shared" si="93"/>
        <v>5.0500000000000114</v>
      </c>
      <c r="Q992" s="6">
        <v>-8.25</v>
      </c>
      <c r="R992" s="9">
        <f t="shared" si="94"/>
        <v>-3093.75</v>
      </c>
      <c r="S992" s="7">
        <f t="shared" si="95"/>
        <v>-11325.000000000025</v>
      </c>
    </row>
    <row r="993" spans="1:19" x14ac:dyDescent="0.25">
      <c r="A993" s="4">
        <f>Sheet1!A993</f>
        <v>40525</v>
      </c>
      <c r="B993" s="5">
        <f>Sheet1!B993</f>
        <v>0.58333333333333337</v>
      </c>
      <c r="C993" s="6">
        <f>Sheet1!C993</f>
        <v>242.35</v>
      </c>
      <c r="D993" s="6">
        <f>Sheet1!D993</f>
        <v>251.5</v>
      </c>
      <c r="E993" s="6">
        <f>Sheet1!E993</f>
        <v>241.85</v>
      </c>
      <c r="F993" s="6">
        <f>Sheet1!F993</f>
        <v>251.1</v>
      </c>
      <c r="H993" s="6">
        <f ca="1">IF(ROW($H993)-1&lt;$I$1,$F993,AVERAGE($F993:OFFSET($F993,(($I$1-1)*-1),0)))</f>
        <v>242.41666666666666</v>
      </c>
      <c r="J993" s="6">
        <f ca="1">IF(ROW($J993)-1&lt;$K$1,$F993,AVERAGE($F993:OFFSET($F993,(($K$1-1)*-1),0)))</f>
        <v>240.8232142857143</v>
      </c>
      <c r="L993" s="7">
        <f t="shared" ca="1" si="90"/>
        <v>1</v>
      </c>
      <c r="M993" s="7" t="str">
        <f t="shared" ca="1" si="91"/>
        <v/>
      </c>
      <c r="N993" s="6">
        <f t="shared" ca="1" si="92"/>
        <v>242.35</v>
      </c>
      <c r="O993" s="6">
        <f t="shared" si="93"/>
        <v>7.9499999999999886</v>
      </c>
      <c r="P993" s="6">
        <v>-7.4499999999999886</v>
      </c>
      <c r="Q993" s="6">
        <v>8.75</v>
      </c>
      <c r="R993" s="9">
        <f t="shared" si="94"/>
        <v>3281.25</v>
      </c>
      <c r="S993" s="7">
        <f t="shared" si="95"/>
        <v>-14118.750000000022</v>
      </c>
    </row>
    <row r="994" spans="1:19" x14ac:dyDescent="0.25">
      <c r="A994" s="4">
        <f>Sheet1!A994</f>
        <v>40526</v>
      </c>
      <c r="B994" s="5">
        <f>Sheet1!B994</f>
        <v>0.58333333333333337</v>
      </c>
      <c r="C994" s="6">
        <f>Sheet1!C994</f>
        <v>251.05</v>
      </c>
      <c r="D994" s="6">
        <f>Sheet1!D994</f>
        <v>253.45</v>
      </c>
      <c r="E994" s="6">
        <f>Sheet1!E994</f>
        <v>248.8</v>
      </c>
      <c r="F994" s="6">
        <f>Sheet1!F994</f>
        <v>250.25</v>
      </c>
      <c r="H994" s="6">
        <f ca="1">IF(ROW($H994)-1&lt;$I$1,$F994,AVERAGE($F994:OFFSET($F994,(($I$1-1)*-1),0)))</f>
        <v>243.70833333333334</v>
      </c>
      <c r="J994" s="6">
        <f ca="1">IF(ROW($J994)-1&lt;$K$1,$F994,AVERAGE($F994:OFFSET($F994,(($K$1-1)*-1),0)))</f>
        <v>241.46071428571432</v>
      </c>
      <c r="L994" s="7">
        <f t="shared" ca="1" si="90"/>
        <v>1</v>
      </c>
      <c r="M994" s="7" t="str">
        <f t="shared" ca="1" si="91"/>
        <v/>
      </c>
      <c r="N994" s="6" t="str">
        <f t="shared" ca="1" si="92"/>
        <v/>
      </c>
      <c r="O994" s="6">
        <f t="shared" si="93"/>
        <v>-0.84999999999999432</v>
      </c>
      <c r="Q994" s="6">
        <v>7.9000000000000057</v>
      </c>
      <c r="R994" s="9">
        <f t="shared" si="94"/>
        <v>2962.5000000000023</v>
      </c>
      <c r="S994" s="7">
        <f t="shared" si="95"/>
        <v>-14118.750000000022</v>
      </c>
    </row>
    <row r="995" spans="1:19" x14ac:dyDescent="0.25">
      <c r="A995" s="4">
        <f>Sheet1!A995</f>
        <v>40527</v>
      </c>
      <c r="B995" s="5">
        <f>Sheet1!B995</f>
        <v>0.58333333333333337</v>
      </c>
      <c r="C995" s="6">
        <f>Sheet1!C995</f>
        <v>249.25</v>
      </c>
      <c r="D995" s="6">
        <f>Sheet1!D995</f>
        <v>254.05</v>
      </c>
      <c r="E995" s="6">
        <f>Sheet1!E995</f>
        <v>248.9</v>
      </c>
      <c r="F995" s="6">
        <f>Sheet1!F995</f>
        <v>251.05</v>
      </c>
      <c r="H995" s="6">
        <f ca="1">IF(ROW($H995)-1&lt;$I$1,$F995,AVERAGE($F995:OFFSET($F995,(($I$1-1)*-1),0)))</f>
        <v>245.30833333333331</v>
      </c>
      <c r="J995" s="6">
        <f ca="1">IF(ROW($J995)-1&lt;$K$1,$F995,AVERAGE($F995:OFFSET($F995,(($K$1-1)*-1),0)))</f>
        <v>241.78214285714287</v>
      </c>
      <c r="L995" s="7">
        <f t="shared" ca="1" si="90"/>
        <v>1</v>
      </c>
      <c r="M995" s="7" t="str">
        <f t="shared" ca="1" si="91"/>
        <v/>
      </c>
      <c r="N995" s="6" t="str">
        <f t="shared" ca="1" si="92"/>
        <v/>
      </c>
      <c r="O995" s="6">
        <f t="shared" si="93"/>
        <v>0.80000000000001137</v>
      </c>
      <c r="Q995" s="6">
        <v>8.7000000000000171</v>
      </c>
      <c r="R995" s="9">
        <f t="shared" si="94"/>
        <v>3262.5000000000064</v>
      </c>
      <c r="S995" s="7">
        <f t="shared" si="95"/>
        <v>-14118.750000000022</v>
      </c>
    </row>
    <row r="996" spans="1:19" x14ac:dyDescent="0.25">
      <c r="A996" s="4">
        <f>Sheet1!A996</f>
        <v>40528</v>
      </c>
      <c r="B996" s="5">
        <f>Sheet1!B996</f>
        <v>0.58333333333333337</v>
      </c>
      <c r="C996" s="6">
        <f>Sheet1!C996</f>
        <v>251.25</v>
      </c>
      <c r="D996" s="6">
        <f>Sheet1!D996</f>
        <v>252.1</v>
      </c>
      <c r="E996" s="6">
        <f>Sheet1!E996</f>
        <v>247.55</v>
      </c>
      <c r="F996" s="6">
        <f>Sheet1!F996</f>
        <v>250.1</v>
      </c>
      <c r="H996" s="6">
        <f ca="1">IF(ROW($H996)-1&lt;$I$1,$F996,AVERAGE($F996:OFFSET($F996,(($I$1-1)*-1),0)))</f>
        <v>247.29166666666666</v>
      </c>
      <c r="J996" s="6">
        <f ca="1">IF(ROW($J996)-1&lt;$K$1,$F996,AVERAGE($F996:OFFSET($F996,(($K$1-1)*-1),0)))</f>
        <v>242.09285714285718</v>
      </c>
      <c r="L996" s="7">
        <f t="shared" ca="1" si="90"/>
        <v>1</v>
      </c>
      <c r="M996" s="7" t="str">
        <f t="shared" ca="1" si="91"/>
        <v/>
      </c>
      <c r="N996" s="6" t="str">
        <f t="shared" ca="1" si="92"/>
        <v/>
      </c>
      <c r="O996" s="6">
        <f t="shared" si="93"/>
        <v>-0.95000000000001705</v>
      </c>
      <c r="Q996" s="6">
        <v>7.75</v>
      </c>
      <c r="R996" s="9">
        <f t="shared" si="94"/>
        <v>2906.25</v>
      </c>
      <c r="S996" s="7">
        <f t="shared" si="95"/>
        <v>-14118.750000000022</v>
      </c>
    </row>
    <row r="997" spans="1:19" x14ac:dyDescent="0.25">
      <c r="A997" s="4">
        <f>Sheet1!A997</f>
        <v>40529</v>
      </c>
      <c r="B997" s="5">
        <f>Sheet1!B997</f>
        <v>0.58333333333333337</v>
      </c>
      <c r="C997" s="6">
        <f>Sheet1!C997</f>
        <v>250.55</v>
      </c>
      <c r="D997" s="6">
        <f>Sheet1!D997</f>
        <v>260.25</v>
      </c>
      <c r="E997" s="6">
        <f>Sheet1!E997</f>
        <v>250.4</v>
      </c>
      <c r="F997" s="6">
        <f>Sheet1!F997</f>
        <v>258.85000000000002</v>
      </c>
      <c r="H997" s="6">
        <f ca="1">IF(ROW($H997)-1&lt;$I$1,$F997,AVERAGE($F997:OFFSET($F997,(($I$1-1)*-1),0)))</f>
        <v>250.75</v>
      </c>
      <c r="J997" s="6">
        <f ca="1">IF(ROW($J997)-1&lt;$K$1,$F997,AVERAGE($F997:OFFSET($F997,(($K$1-1)*-1),0)))</f>
        <v>242.61071428571429</v>
      </c>
      <c r="L997" s="7">
        <f t="shared" ca="1" si="90"/>
        <v>1</v>
      </c>
      <c r="M997" s="7" t="str">
        <f t="shared" ca="1" si="91"/>
        <v/>
      </c>
      <c r="N997" s="6" t="str">
        <f t="shared" ca="1" si="92"/>
        <v/>
      </c>
      <c r="O997" s="6">
        <f t="shared" si="93"/>
        <v>8.7500000000000284</v>
      </c>
      <c r="Q997" s="6">
        <v>16.500000000000028</v>
      </c>
      <c r="R997" s="9">
        <f t="shared" si="94"/>
        <v>6187.5000000000109</v>
      </c>
      <c r="S997" s="7">
        <f t="shared" si="95"/>
        <v>-14118.750000000022</v>
      </c>
    </row>
    <row r="998" spans="1:19" x14ac:dyDescent="0.25">
      <c r="A998" s="4">
        <f>Sheet1!A998</f>
        <v>40532</v>
      </c>
      <c r="B998" s="5">
        <f>Sheet1!B998</f>
        <v>0.58333333333333337</v>
      </c>
      <c r="C998" s="6">
        <f>Sheet1!C998</f>
        <v>258.55</v>
      </c>
      <c r="D998" s="6">
        <f>Sheet1!D998</f>
        <v>260.5</v>
      </c>
      <c r="E998" s="6">
        <f>Sheet1!E998</f>
        <v>256.8</v>
      </c>
      <c r="F998" s="6">
        <f>Sheet1!F998</f>
        <v>258.2</v>
      </c>
      <c r="H998" s="6">
        <f ca="1">IF(ROW($H998)-1&lt;$I$1,$F998,AVERAGE($F998:OFFSET($F998,(($I$1-1)*-1),0)))</f>
        <v>253.25833333333335</v>
      </c>
      <c r="J998" s="6">
        <f ca="1">IF(ROW($J998)-1&lt;$K$1,$F998,AVERAGE($F998:OFFSET($F998,(($K$1-1)*-1),0)))</f>
        <v>242.78571428571428</v>
      </c>
      <c r="L998" s="7">
        <f t="shared" ca="1" si="90"/>
        <v>1</v>
      </c>
      <c r="M998" s="7" t="str">
        <f t="shared" ca="1" si="91"/>
        <v/>
      </c>
      <c r="N998" s="6" t="str">
        <f t="shared" ca="1" si="92"/>
        <v/>
      </c>
      <c r="O998" s="6">
        <f t="shared" si="93"/>
        <v>-0.65000000000003411</v>
      </c>
      <c r="Q998" s="6">
        <v>15.849999999999994</v>
      </c>
      <c r="R998" s="9">
        <f t="shared" si="94"/>
        <v>5943.7499999999982</v>
      </c>
      <c r="S998" s="7">
        <f t="shared" si="95"/>
        <v>-14118.750000000022</v>
      </c>
    </row>
    <row r="999" spans="1:19" x14ac:dyDescent="0.25">
      <c r="A999" s="4">
        <f>Sheet1!A999</f>
        <v>40533</v>
      </c>
      <c r="B999" s="5">
        <f>Sheet1!B999</f>
        <v>0.58333333333333337</v>
      </c>
      <c r="C999" s="6">
        <f>Sheet1!C999</f>
        <v>258.10000000000002</v>
      </c>
      <c r="D999" s="6">
        <f>Sheet1!D999</f>
        <v>268.85000000000002</v>
      </c>
      <c r="E999" s="6">
        <f>Sheet1!E999</f>
        <v>257.14999999999998</v>
      </c>
      <c r="F999" s="6">
        <f>Sheet1!F999</f>
        <v>267.39999999999998</v>
      </c>
      <c r="H999" s="6">
        <f ca="1">IF(ROW($H999)-1&lt;$I$1,$F999,AVERAGE($F999:OFFSET($F999,(($I$1-1)*-1),0)))</f>
        <v>255.97499999999999</v>
      </c>
      <c r="J999" s="6">
        <f ca="1">IF(ROW($J999)-1&lt;$K$1,$F999,AVERAGE($F999:OFFSET($F999,(($K$1-1)*-1),0)))</f>
        <v>243.46071428571432</v>
      </c>
      <c r="L999" s="7">
        <f t="shared" ca="1" si="90"/>
        <v>1</v>
      </c>
      <c r="M999" s="7" t="str">
        <f t="shared" ca="1" si="91"/>
        <v/>
      </c>
      <c r="N999" s="6" t="str">
        <f t="shared" ca="1" si="92"/>
        <v/>
      </c>
      <c r="O999" s="6">
        <f t="shared" si="93"/>
        <v>9.1999999999999886</v>
      </c>
      <c r="Q999" s="6">
        <v>25.049999999999983</v>
      </c>
      <c r="R999" s="9">
        <f t="shared" si="94"/>
        <v>9393.7499999999927</v>
      </c>
      <c r="S999" s="7">
        <f t="shared" si="95"/>
        <v>-14118.750000000022</v>
      </c>
    </row>
    <row r="1000" spans="1:19" x14ac:dyDescent="0.25">
      <c r="A1000" s="4">
        <f>Sheet1!A1000</f>
        <v>40534</v>
      </c>
      <c r="B1000" s="5">
        <f>Sheet1!B1000</f>
        <v>0.58333333333333337</v>
      </c>
      <c r="C1000" s="6">
        <f>Sheet1!C1000</f>
        <v>267.39999999999998</v>
      </c>
      <c r="D1000" s="6">
        <f>Sheet1!D1000</f>
        <v>275.8</v>
      </c>
      <c r="E1000" s="6">
        <f>Sheet1!E1000</f>
        <v>262.2</v>
      </c>
      <c r="F1000" s="6">
        <f>Sheet1!F1000</f>
        <v>263.75</v>
      </c>
      <c r="H1000" s="6">
        <f ca="1">IF(ROW($H1000)-1&lt;$I$1,$F1000,AVERAGE($F1000:OFFSET($F1000,(($I$1-1)*-1),0)))</f>
        <v>258.22499999999997</v>
      </c>
      <c r="J1000" s="6">
        <f ca="1">IF(ROW($J1000)-1&lt;$K$1,$F1000,AVERAGE($F1000:OFFSET($F1000,(($K$1-1)*-1),0)))</f>
        <v>244.20000000000002</v>
      </c>
      <c r="L1000" s="7">
        <f t="shared" ca="1" si="90"/>
        <v>1</v>
      </c>
      <c r="M1000" s="7" t="str">
        <f t="shared" ca="1" si="91"/>
        <v/>
      </c>
      <c r="N1000" s="6" t="str">
        <f t="shared" ca="1" si="92"/>
        <v/>
      </c>
      <c r="O1000" s="6">
        <f t="shared" si="93"/>
        <v>-3.6499999999999773</v>
      </c>
      <c r="Q1000" s="6">
        <v>21.400000000000006</v>
      </c>
      <c r="R1000" s="9">
        <f t="shared" si="94"/>
        <v>8025.0000000000018</v>
      </c>
      <c r="S1000" s="7">
        <f t="shared" si="95"/>
        <v>-14118.750000000022</v>
      </c>
    </row>
    <row r="1001" spans="1:19" x14ac:dyDescent="0.25">
      <c r="A1001" s="4">
        <f>Sheet1!A1001</f>
        <v>40535</v>
      </c>
      <c r="B1001" s="5">
        <f>Sheet1!B1001</f>
        <v>0.58333333333333337</v>
      </c>
      <c r="C1001" s="6">
        <f>Sheet1!C1001</f>
        <v>266.05</v>
      </c>
      <c r="D1001" s="6">
        <f>Sheet1!D1001</f>
        <v>271.2</v>
      </c>
      <c r="E1001" s="6">
        <f>Sheet1!E1001</f>
        <v>262.89999999999998</v>
      </c>
      <c r="F1001" s="6">
        <f>Sheet1!F1001</f>
        <v>269.45</v>
      </c>
      <c r="H1001" s="6">
        <f ca="1">IF(ROW($H1001)-1&lt;$I$1,$F1001,AVERAGE($F1001:OFFSET($F1001,(($I$1-1)*-1),0)))</f>
        <v>261.29166666666669</v>
      </c>
      <c r="J1001" s="6">
        <f ca="1">IF(ROW($J1001)-1&lt;$K$1,$F1001,AVERAGE($F1001:OFFSET($F1001,(($K$1-1)*-1),0)))</f>
        <v>245.36249999999998</v>
      </c>
      <c r="L1001" s="7">
        <f t="shared" ca="1" si="90"/>
        <v>1</v>
      </c>
      <c r="M1001" s="7" t="str">
        <f t="shared" ca="1" si="91"/>
        <v/>
      </c>
      <c r="N1001" s="6" t="str">
        <f t="shared" ca="1" si="92"/>
        <v/>
      </c>
      <c r="O1001" s="6">
        <f t="shared" si="93"/>
        <v>5.6999999999999886</v>
      </c>
      <c r="Q1001" s="6">
        <v>27.099999999999994</v>
      </c>
      <c r="R1001" s="9">
        <f t="shared" si="94"/>
        <v>10162.499999999998</v>
      </c>
      <c r="S1001" s="7">
        <f t="shared" si="95"/>
        <v>-14118.750000000022</v>
      </c>
    </row>
    <row r="1002" spans="1:19" x14ac:dyDescent="0.25">
      <c r="A1002" s="4">
        <f>Sheet1!A1002</f>
        <v>40539</v>
      </c>
      <c r="B1002" s="5">
        <f>Sheet1!B1002</f>
        <v>0.58333333333333337</v>
      </c>
      <c r="C1002" s="6">
        <f>Sheet1!C1002</f>
        <v>269.14999999999998</v>
      </c>
      <c r="D1002" s="6">
        <f>Sheet1!D1002</f>
        <v>272.05</v>
      </c>
      <c r="E1002" s="6">
        <f>Sheet1!E1002</f>
        <v>266.14999999999998</v>
      </c>
      <c r="F1002" s="6">
        <f>Sheet1!F1002</f>
        <v>271</v>
      </c>
      <c r="H1002" s="6">
        <f ca="1">IF(ROW($H1002)-1&lt;$I$1,$F1002,AVERAGE($F1002:OFFSET($F1002,(($I$1-1)*-1),0)))</f>
        <v>264.77499999999998</v>
      </c>
      <c r="J1002" s="6">
        <f ca="1">IF(ROW($J1002)-1&lt;$K$1,$F1002,AVERAGE($F1002:OFFSET($F1002,(($K$1-1)*-1),0)))</f>
        <v>246.44107142857141</v>
      </c>
      <c r="L1002" s="7">
        <f t="shared" ca="1" si="90"/>
        <v>1</v>
      </c>
      <c r="M1002" s="7" t="str">
        <f t="shared" ca="1" si="91"/>
        <v/>
      </c>
      <c r="N1002" s="6" t="str">
        <f t="shared" ca="1" si="92"/>
        <v/>
      </c>
      <c r="O1002" s="6">
        <f t="shared" si="93"/>
        <v>1.5500000000000114</v>
      </c>
      <c r="Q1002" s="6">
        <v>28.650000000000006</v>
      </c>
      <c r="R1002" s="9">
        <f t="shared" si="94"/>
        <v>10743.750000000002</v>
      </c>
      <c r="S1002" s="7">
        <f t="shared" si="95"/>
        <v>-14118.750000000022</v>
      </c>
    </row>
    <row r="1003" spans="1:19" x14ac:dyDescent="0.25">
      <c r="A1003" s="4">
        <f>Sheet1!A1003</f>
        <v>40540</v>
      </c>
      <c r="B1003" s="5">
        <f>Sheet1!B1003</f>
        <v>0.58333333333333337</v>
      </c>
      <c r="C1003" s="6">
        <f>Sheet1!C1003</f>
        <v>271.60000000000002</v>
      </c>
      <c r="D1003" s="6">
        <f>Sheet1!D1003</f>
        <v>273.45</v>
      </c>
      <c r="E1003" s="6">
        <f>Sheet1!E1003</f>
        <v>269.64999999999998</v>
      </c>
      <c r="F1003" s="6">
        <f>Sheet1!F1003</f>
        <v>272.85000000000002</v>
      </c>
      <c r="H1003" s="6">
        <f ca="1">IF(ROW($H1003)-1&lt;$I$1,$F1003,AVERAGE($F1003:OFFSET($F1003,(($I$1-1)*-1),0)))</f>
        <v>267.10833333333335</v>
      </c>
      <c r="J1003" s="6">
        <f ca="1">IF(ROW($J1003)-1&lt;$K$1,$F1003,AVERAGE($F1003:OFFSET($F1003,(($K$1-1)*-1),0)))</f>
        <v>247.82678571428573</v>
      </c>
      <c r="L1003" s="7">
        <f t="shared" ca="1" si="90"/>
        <v>1</v>
      </c>
      <c r="M1003" s="7" t="str">
        <f t="shared" ca="1" si="91"/>
        <v/>
      </c>
      <c r="N1003" s="6" t="str">
        <f t="shared" ca="1" si="92"/>
        <v/>
      </c>
      <c r="O1003" s="6">
        <f t="shared" si="93"/>
        <v>1.8500000000000227</v>
      </c>
      <c r="Q1003" s="6">
        <v>30.500000000000028</v>
      </c>
      <c r="R1003" s="9">
        <f t="shared" si="94"/>
        <v>11437.500000000011</v>
      </c>
      <c r="S1003" s="7">
        <f t="shared" si="95"/>
        <v>-14118.750000000022</v>
      </c>
    </row>
    <row r="1004" spans="1:19" x14ac:dyDescent="0.25">
      <c r="A1004" s="4">
        <f>Sheet1!A1004</f>
        <v>40541</v>
      </c>
      <c r="B1004" s="5">
        <f>Sheet1!B1004</f>
        <v>0.58333333333333337</v>
      </c>
      <c r="C1004" s="6">
        <f>Sheet1!C1004</f>
        <v>272.14999999999998</v>
      </c>
      <c r="D1004" s="6">
        <f>Sheet1!D1004</f>
        <v>274.2</v>
      </c>
      <c r="E1004" s="6">
        <f>Sheet1!E1004</f>
        <v>268.7</v>
      </c>
      <c r="F1004" s="6">
        <f>Sheet1!F1004</f>
        <v>273.2</v>
      </c>
      <c r="H1004" s="6">
        <f ca="1">IF(ROW($H1004)-1&lt;$I$1,$F1004,AVERAGE($F1004:OFFSET($F1004,(($I$1-1)*-1),0)))</f>
        <v>269.60833333333329</v>
      </c>
      <c r="J1004" s="6">
        <f ca="1">IF(ROW($J1004)-1&lt;$K$1,$F1004,AVERAGE($F1004:OFFSET($F1004,(($K$1-1)*-1),0)))</f>
        <v>249.14107142857142</v>
      </c>
      <c r="L1004" s="7">
        <f t="shared" ca="1" si="90"/>
        <v>1</v>
      </c>
      <c r="M1004" s="7" t="str">
        <f t="shared" ca="1" si="91"/>
        <v/>
      </c>
      <c r="N1004" s="6" t="str">
        <f t="shared" ca="1" si="92"/>
        <v/>
      </c>
      <c r="O1004" s="6">
        <f t="shared" si="93"/>
        <v>0.34999999999996589</v>
      </c>
      <c r="Q1004" s="6">
        <v>30.849999999999994</v>
      </c>
      <c r="R1004" s="9">
        <f t="shared" si="94"/>
        <v>11568.749999999998</v>
      </c>
      <c r="S1004" s="7">
        <f t="shared" si="95"/>
        <v>-14118.750000000022</v>
      </c>
    </row>
    <row r="1005" spans="1:19" x14ac:dyDescent="0.25">
      <c r="A1005" s="4">
        <f>Sheet1!A1005</f>
        <v>40542</v>
      </c>
      <c r="B1005" s="5">
        <f>Sheet1!B1005</f>
        <v>0.58333333333333337</v>
      </c>
      <c r="C1005" s="6">
        <f>Sheet1!C1005</f>
        <v>272.05</v>
      </c>
      <c r="D1005" s="6">
        <f>Sheet1!D1005</f>
        <v>275.3</v>
      </c>
      <c r="E1005" s="6">
        <f>Sheet1!E1005</f>
        <v>268.75</v>
      </c>
      <c r="F1005" s="6">
        <f>Sheet1!F1005</f>
        <v>269.85000000000002</v>
      </c>
      <c r="H1005" s="6">
        <f ca="1">IF(ROW($H1005)-1&lt;$I$1,$F1005,AVERAGE($F1005:OFFSET($F1005,(($I$1-1)*-1),0)))</f>
        <v>270.01666666666671</v>
      </c>
      <c r="J1005" s="6">
        <f ca="1">IF(ROW($J1005)-1&lt;$K$1,$F1005,AVERAGE($F1005:OFFSET($F1005,(($K$1-1)*-1),0)))</f>
        <v>250.03392857142856</v>
      </c>
      <c r="L1005" s="7">
        <f t="shared" ca="1" si="90"/>
        <v>1</v>
      </c>
      <c r="M1005" s="7" t="str">
        <f t="shared" ca="1" si="91"/>
        <v/>
      </c>
      <c r="N1005" s="6" t="str">
        <f t="shared" ca="1" si="92"/>
        <v/>
      </c>
      <c r="O1005" s="6">
        <f t="shared" si="93"/>
        <v>-3.3499999999999659</v>
      </c>
      <c r="Q1005" s="6">
        <v>27.500000000000028</v>
      </c>
      <c r="R1005" s="9">
        <f t="shared" si="94"/>
        <v>10312.500000000011</v>
      </c>
      <c r="S1005" s="7">
        <f t="shared" si="95"/>
        <v>-14118.750000000022</v>
      </c>
    </row>
    <row r="1006" spans="1:19" x14ac:dyDescent="0.25">
      <c r="A1006" s="4">
        <f>Sheet1!A1006</f>
        <v>40543</v>
      </c>
      <c r="B1006" s="5">
        <f>Sheet1!B1006</f>
        <v>0.58333333333333337</v>
      </c>
      <c r="C1006" s="6">
        <f>Sheet1!C1006</f>
        <v>269.85000000000002</v>
      </c>
      <c r="D1006" s="6">
        <f>Sheet1!D1006</f>
        <v>274.85000000000002</v>
      </c>
      <c r="E1006" s="6">
        <f>Sheet1!E1006</f>
        <v>269.85000000000002</v>
      </c>
      <c r="F1006" s="6">
        <f>Sheet1!F1006</f>
        <v>274.05</v>
      </c>
      <c r="H1006" s="6">
        <f ca="1">IF(ROW($H1006)-1&lt;$I$1,$F1006,AVERAGE($F1006:OFFSET($F1006,(($I$1-1)*-1),0)))</f>
        <v>271.73333333333329</v>
      </c>
      <c r="J1006" s="6">
        <f ca="1">IF(ROW($J1006)-1&lt;$K$1,$F1006,AVERAGE($F1006:OFFSET($F1006,(($K$1-1)*-1),0)))</f>
        <v>251.07857142857142</v>
      </c>
      <c r="L1006" s="7">
        <f t="shared" ca="1" si="90"/>
        <v>1</v>
      </c>
      <c r="M1006" s="7" t="str">
        <f t="shared" ca="1" si="91"/>
        <v/>
      </c>
      <c r="N1006" s="6" t="str">
        <f t="shared" ca="1" si="92"/>
        <v/>
      </c>
      <c r="O1006" s="6">
        <f t="shared" si="93"/>
        <v>4.1999999999999886</v>
      </c>
      <c r="Q1006" s="6">
        <v>31.700000000000017</v>
      </c>
      <c r="R1006" s="9">
        <f t="shared" si="94"/>
        <v>11887.500000000007</v>
      </c>
      <c r="S1006" s="7">
        <f t="shared" si="95"/>
        <v>-14118.750000000022</v>
      </c>
    </row>
    <row r="1007" spans="1:19" x14ac:dyDescent="0.25">
      <c r="A1007" s="4">
        <f>Sheet1!A1007</f>
        <v>40546</v>
      </c>
      <c r="B1007" s="5">
        <f>Sheet1!B1007</f>
        <v>0.58333333333333337</v>
      </c>
      <c r="C1007" s="6">
        <f>Sheet1!C1007</f>
        <v>274.05</v>
      </c>
      <c r="D1007" s="6">
        <f>Sheet1!D1007</f>
        <v>274.05</v>
      </c>
      <c r="E1007" s="6">
        <f>Sheet1!E1007</f>
        <v>274.05</v>
      </c>
      <c r="F1007" s="6">
        <f>Sheet1!F1007</f>
        <v>274.05</v>
      </c>
      <c r="H1007" s="6">
        <f ca="1">IF(ROW($H1007)-1&lt;$I$1,$F1007,AVERAGE($F1007:OFFSET($F1007,(($I$1-1)*-1),0)))</f>
        <v>272.5</v>
      </c>
      <c r="J1007" s="6">
        <f ca="1">IF(ROW($J1007)-1&lt;$K$1,$F1007,AVERAGE($F1007:OFFSET($F1007,(($K$1-1)*-1),0)))</f>
        <v>252.26964285714286</v>
      </c>
      <c r="L1007" s="7">
        <f t="shared" ca="1" si="90"/>
        <v>1</v>
      </c>
      <c r="M1007" s="7" t="str">
        <f t="shared" ca="1" si="91"/>
        <v/>
      </c>
      <c r="N1007" s="6" t="str">
        <f t="shared" ca="1" si="92"/>
        <v/>
      </c>
      <c r="O1007" s="6">
        <f t="shared" si="93"/>
        <v>0</v>
      </c>
      <c r="Q1007" s="6">
        <v>31.700000000000017</v>
      </c>
      <c r="R1007" s="9">
        <f t="shared" si="94"/>
        <v>11887.500000000007</v>
      </c>
      <c r="S1007" s="7">
        <f t="shared" si="95"/>
        <v>-14118.750000000022</v>
      </c>
    </row>
    <row r="1008" spans="1:19" x14ac:dyDescent="0.25">
      <c r="A1008" s="4">
        <f>Sheet1!A1008</f>
        <v>40547</v>
      </c>
      <c r="B1008" s="5">
        <f>Sheet1!B1008</f>
        <v>0.58333333333333337</v>
      </c>
      <c r="C1008" s="6">
        <f>Sheet1!C1008</f>
        <v>272.55</v>
      </c>
      <c r="D1008" s="6">
        <f>Sheet1!D1008</f>
        <v>274.05</v>
      </c>
      <c r="E1008" s="6">
        <f>Sheet1!E1008</f>
        <v>265.55</v>
      </c>
      <c r="F1008" s="6">
        <f>Sheet1!F1008</f>
        <v>268.5</v>
      </c>
      <c r="H1008" s="6">
        <f ca="1">IF(ROW($H1008)-1&lt;$I$1,$F1008,AVERAGE($F1008:OFFSET($F1008,(($I$1-1)*-1),0)))</f>
        <v>272.08333333333331</v>
      </c>
      <c r="J1008" s="6">
        <f ca="1">IF(ROW($J1008)-1&lt;$K$1,$F1008,AVERAGE($F1008:OFFSET($F1008,(($K$1-1)*-1),0)))</f>
        <v>253.14107142857142</v>
      </c>
      <c r="L1008" s="7">
        <f t="shared" ca="1" si="90"/>
        <v>1</v>
      </c>
      <c r="M1008" s="7" t="str">
        <f t="shared" ca="1" si="91"/>
        <v/>
      </c>
      <c r="N1008" s="6" t="str">
        <f t="shared" ca="1" si="92"/>
        <v/>
      </c>
      <c r="O1008" s="6">
        <f t="shared" si="93"/>
        <v>-5.5500000000000114</v>
      </c>
      <c r="Q1008" s="6">
        <v>26.150000000000006</v>
      </c>
      <c r="R1008" s="9">
        <f t="shared" si="94"/>
        <v>9806.2500000000018</v>
      </c>
      <c r="S1008" s="7">
        <f t="shared" si="95"/>
        <v>-14118.750000000022</v>
      </c>
    </row>
    <row r="1009" spans="1:19" x14ac:dyDescent="0.25">
      <c r="A1009" s="4">
        <f>Sheet1!A1009</f>
        <v>40548</v>
      </c>
      <c r="B1009" s="5">
        <f>Sheet1!B1009</f>
        <v>0.58333333333333337</v>
      </c>
      <c r="C1009" s="6">
        <f>Sheet1!C1009</f>
        <v>267.64999999999998</v>
      </c>
      <c r="D1009" s="6">
        <f>Sheet1!D1009</f>
        <v>271.45</v>
      </c>
      <c r="E1009" s="6">
        <f>Sheet1!E1009</f>
        <v>263.55</v>
      </c>
      <c r="F1009" s="6">
        <f>Sheet1!F1009</f>
        <v>266.55</v>
      </c>
      <c r="H1009" s="6">
        <f ca="1">IF(ROW($H1009)-1&lt;$I$1,$F1009,AVERAGE($F1009:OFFSET($F1009,(($I$1-1)*-1),0)))</f>
        <v>271.0333333333333</v>
      </c>
      <c r="J1009" s="6">
        <f ca="1">IF(ROW($J1009)-1&lt;$K$1,$F1009,AVERAGE($F1009:OFFSET($F1009,(($K$1-1)*-1),0)))</f>
        <v>254.05357142857147</v>
      </c>
      <c r="L1009" s="7">
        <f t="shared" ca="1" si="90"/>
        <v>1</v>
      </c>
      <c r="M1009" s="7" t="str">
        <f t="shared" ca="1" si="91"/>
        <v/>
      </c>
      <c r="N1009" s="6" t="str">
        <f t="shared" ca="1" si="92"/>
        <v/>
      </c>
      <c r="O1009" s="6">
        <f t="shared" si="93"/>
        <v>-1.9499999999999886</v>
      </c>
      <c r="Q1009" s="6">
        <v>24.200000000000017</v>
      </c>
      <c r="R1009" s="9">
        <f t="shared" si="94"/>
        <v>9075.0000000000073</v>
      </c>
      <c r="S1009" s="7">
        <f t="shared" si="95"/>
        <v>-14118.750000000022</v>
      </c>
    </row>
    <row r="1010" spans="1:19" x14ac:dyDescent="0.25">
      <c r="A1010" s="4">
        <f>Sheet1!A1010</f>
        <v>40549</v>
      </c>
      <c r="B1010" s="5">
        <f>Sheet1!B1010</f>
        <v>0.58333333333333337</v>
      </c>
      <c r="C1010" s="6">
        <f>Sheet1!C1010</f>
        <v>267.14999999999998</v>
      </c>
      <c r="D1010" s="6">
        <f>Sheet1!D1010</f>
        <v>270.39999999999998</v>
      </c>
      <c r="E1010" s="6">
        <f>Sheet1!E1010</f>
        <v>265.64999999999998</v>
      </c>
      <c r="F1010" s="6">
        <f>Sheet1!F1010</f>
        <v>266.55</v>
      </c>
      <c r="H1010" s="6">
        <f ca="1">IF(ROW($H1010)-1&lt;$I$1,$F1010,AVERAGE($F1010:OFFSET($F1010,(($I$1-1)*-1),0)))</f>
        <v>269.92500000000001</v>
      </c>
      <c r="J1010" s="6">
        <f ca="1">IF(ROW($J1010)-1&lt;$K$1,$F1010,AVERAGE($F1010:OFFSET($F1010,(($K$1-1)*-1),0)))</f>
        <v>255.13571428571433</v>
      </c>
      <c r="L1010" s="7">
        <f t="shared" ca="1" si="90"/>
        <v>1</v>
      </c>
      <c r="M1010" s="7" t="str">
        <f t="shared" ca="1" si="91"/>
        <v/>
      </c>
      <c r="N1010" s="6" t="str">
        <f t="shared" ca="1" si="92"/>
        <v/>
      </c>
      <c r="O1010" s="6">
        <f t="shared" si="93"/>
        <v>0</v>
      </c>
      <c r="Q1010" s="6">
        <v>24.200000000000017</v>
      </c>
      <c r="R1010" s="9">
        <f t="shared" si="94"/>
        <v>9075.0000000000073</v>
      </c>
      <c r="S1010" s="7">
        <f t="shared" si="95"/>
        <v>-14118.750000000022</v>
      </c>
    </row>
    <row r="1011" spans="1:19" x14ac:dyDescent="0.25">
      <c r="A1011" s="4">
        <f>Sheet1!A1011</f>
        <v>40550</v>
      </c>
      <c r="B1011" s="5">
        <f>Sheet1!B1011</f>
        <v>0.58333333333333337</v>
      </c>
      <c r="C1011" s="6">
        <f>Sheet1!C1011</f>
        <v>266.10000000000002</v>
      </c>
      <c r="D1011" s="6">
        <f>Sheet1!D1011</f>
        <v>269.05</v>
      </c>
      <c r="E1011" s="6">
        <f>Sheet1!E1011</f>
        <v>263.85000000000002</v>
      </c>
      <c r="F1011" s="6">
        <f>Sheet1!F1011</f>
        <v>264.25</v>
      </c>
      <c r="H1011" s="6">
        <f ca="1">IF(ROW($H1011)-1&lt;$I$1,$F1011,AVERAGE($F1011:OFFSET($F1011,(($I$1-1)*-1),0)))</f>
        <v>268.99166666666667</v>
      </c>
      <c r="J1011" s="6">
        <f ca="1">IF(ROW($J1011)-1&lt;$K$1,$F1011,AVERAGE($F1011:OFFSET($F1011,(($K$1-1)*-1),0)))</f>
        <v>256.13749999999999</v>
      </c>
      <c r="L1011" s="7">
        <f t="shared" ca="1" si="90"/>
        <v>1</v>
      </c>
      <c r="M1011" s="7" t="str">
        <f t="shared" ca="1" si="91"/>
        <v/>
      </c>
      <c r="N1011" s="6" t="str">
        <f t="shared" ca="1" si="92"/>
        <v/>
      </c>
      <c r="O1011" s="6">
        <f t="shared" si="93"/>
        <v>-2.3000000000000114</v>
      </c>
      <c r="Q1011" s="6">
        <v>21.900000000000006</v>
      </c>
      <c r="R1011" s="9">
        <f t="shared" si="94"/>
        <v>8212.5000000000018</v>
      </c>
      <c r="S1011" s="7">
        <f t="shared" si="95"/>
        <v>-14118.750000000022</v>
      </c>
    </row>
    <row r="1012" spans="1:19" x14ac:dyDescent="0.25">
      <c r="A1012" s="4">
        <f>Sheet1!A1012</f>
        <v>40553</v>
      </c>
      <c r="B1012" s="5">
        <f>Sheet1!B1012</f>
        <v>0.58333333333333337</v>
      </c>
      <c r="C1012" s="6">
        <f>Sheet1!C1012</f>
        <v>264.75</v>
      </c>
      <c r="D1012" s="6">
        <f>Sheet1!D1012</f>
        <v>268.7</v>
      </c>
      <c r="E1012" s="6">
        <f>Sheet1!E1012</f>
        <v>264.10000000000002</v>
      </c>
      <c r="F1012" s="6">
        <f>Sheet1!F1012</f>
        <v>264.8</v>
      </c>
      <c r="H1012" s="6">
        <f ca="1">IF(ROW($H1012)-1&lt;$I$1,$F1012,AVERAGE($F1012:OFFSET($F1012,(($I$1-1)*-1),0)))</f>
        <v>267.45</v>
      </c>
      <c r="J1012" s="6">
        <f ca="1">IF(ROW($J1012)-1&lt;$K$1,$F1012,AVERAGE($F1012:OFFSET($F1012,(($K$1-1)*-1),0)))</f>
        <v>257.21071428571435</v>
      </c>
      <c r="L1012" s="7">
        <f t="shared" ca="1" si="90"/>
        <v>1</v>
      </c>
      <c r="M1012" s="7" t="str">
        <f t="shared" ca="1" si="91"/>
        <v/>
      </c>
      <c r="N1012" s="6" t="str">
        <f t="shared" ca="1" si="92"/>
        <v/>
      </c>
      <c r="O1012" s="6">
        <f t="shared" si="93"/>
        <v>0.55000000000001137</v>
      </c>
      <c r="Q1012" s="6">
        <v>22.450000000000017</v>
      </c>
      <c r="R1012" s="9">
        <f t="shared" si="94"/>
        <v>8418.7500000000073</v>
      </c>
      <c r="S1012" s="7">
        <f t="shared" si="95"/>
        <v>-14118.750000000022</v>
      </c>
    </row>
    <row r="1013" spans="1:19" x14ac:dyDescent="0.25">
      <c r="A1013" s="4">
        <f>Sheet1!A1013</f>
        <v>40554</v>
      </c>
      <c r="B1013" s="5">
        <f>Sheet1!B1013</f>
        <v>0.58333333333333337</v>
      </c>
      <c r="C1013" s="6">
        <f>Sheet1!C1013</f>
        <v>264.8</v>
      </c>
      <c r="D1013" s="6">
        <f>Sheet1!D1013</f>
        <v>270.25</v>
      </c>
      <c r="E1013" s="6">
        <f>Sheet1!E1013</f>
        <v>264.39999999999998</v>
      </c>
      <c r="F1013" s="6">
        <f>Sheet1!F1013</f>
        <v>268.25</v>
      </c>
      <c r="H1013" s="6">
        <f ca="1">IF(ROW($H1013)-1&lt;$I$1,$F1013,AVERAGE($F1013:OFFSET($F1013,(($I$1-1)*-1),0)))</f>
        <v>266.48333333333329</v>
      </c>
      <c r="J1013" s="6">
        <f ca="1">IF(ROW($J1013)-1&lt;$K$1,$F1013,AVERAGE($F1013:OFFSET($F1013,(($K$1-1)*-1),0)))</f>
        <v>258.3232142857143</v>
      </c>
      <c r="L1013" s="7">
        <f t="shared" ca="1" si="90"/>
        <v>1</v>
      </c>
      <c r="M1013" s="7" t="str">
        <f t="shared" ca="1" si="91"/>
        <v/>
      </c>
      <c r="N1013" s="6" t="str">
        <f t="shared" ca="1" si="92"/>
        <v/>
      </c>
      <c r="O1013" s="6">
        <f t="shared" si="93"/>
        <v>3.4499999999999886</v>
      </c>
      <c r="Q1013" s="6">
        <v>25.900000000000006</v>
      </c>
      <c r="R1013" s="9">
        <f t="shared" si="94"/>
        <v>9712.5000000000018</v>
      </c>
      <c r="S1013" s="7">
        <f t="shared" si="95"/>
        <v>-14118.750000000022</v>
      </c>
    </row>
    <row r="1014" spans="1:19" x14ac:dyDescent="0.25">
      <c r="A1014" s="4">
        <f>Sheet1!A1014</f>
        <v>40555</v>
      </c>
      <c r="B1014" s="5">
        <f>Sheet1!B1014</f>
        <v>0.58333333333333337</v>
      </c>
      <c r="C1014" s="6">
        <f>Sheet1!C1014</f>
        <v>269.95</v>
      </c>
      <c r="D1014" s="6">
        <f>Sheet1!D1014</f>
        <v>278.05</v>
      </c>
      <c r="E1014" s="6">
        <f>Sheet1!E1014</f>
        <v>269.25</v>
      </c>
      <c r="F1014" s="6">
        <f>Sheet1!F1014</f>
        <v>274.14999999999998</v>
      </c>
      <c r="H1014" s="6">
        <f ca="1">IF(ROW($H1014)-1&lt;$I$1,$F1014,AVERAGE($F1014:OFFSET($F1014,(($I$1-1)*-1),0)))</f>
        <v>267.42500000000001</v>
      </c>
      <c r="J1014" s="6">
        <f ca="1">IF(ROW($J1014)-1&lt;$K$1,$F1014,AVERAGE($F1014:OFFSET($F1014,(($K$1-1)*-1),0)))</f>
        <v>259.64107142857148</v>
      </c>
      <c r="L1014" s="7">
        <f t="shared" ca="1" si="90"/>
        <v>1</v>
      </c>
      <c r="M1014" s="7" t="str">
        <f t="shared" ca="1" si="91"/>
        <v/>
      </c>
      <c r="N1014" s="6" t="str">
        <f t="shared" ca="1" si="92"/>
        <v/>
      </c>
      <c r="O1014" s="6">
        <f t="shared" si="93"/>
        <v>5.8999999999999773</v>
      </c>
      <c r="Q1014" s="6">
        <v>31.799999999999983</v>
      </c>
      <c r="R1014" s="9">
        <f t="shared" si="94"/>
        <v>11924.999999999993</v>
      </c>
      <c r="S1014" s="7">
        <f t="shared" si="95"/>
        <v>-14118.750000000022</v>
      </c>
    </row>
    <row r="1015" spans="1:19" x14ac:dyDescent="0.25">
      <c r="A1015" s="4">
        <f>Sheet1!A1015</f>
        <v>40556</v>
      </c>
      <c r="B1015" s="5">
        <f>Sheet1!B1015</f>
        <v>0.58333333333333337</v>
      </c>
      <c r="C1015" s="6">
        <f>Sheet1!C1015</f>
        <v>273.89999999999998</v>
      </c>
      <c r="D1015" s="6">
        <f>Sheet1!D1015</f>
        <v>274.75</v>
      </c>
      <c r="E1015" s="6">
        <f>Sheet1!E1015</f>
        <v>270.14999999999998</v>
      </c>
      <c r="F1015" s="6">
        <f>Sheet1!F1015</f>
        <v>271.05</v>
      </c>
      <c r="H1015" s="6">
        <f ca="1">IF(ROW($H1015)-1&lt;$I$1,$F1015,AVERAGE($F1015:OFFSET($F1015,(($I$1-1)*-1),0)))</f>
        <v>268.17500000000001</v>
      </c>
      <c r="J1015" s="6">
        <f ca="1">IF(ROW($J1015)-1&lt;$K$1,$F1015,AVERAGE($F1015:OFFSET($F1015,(($K$1-1)*-1),0)))</f>
        <v>260.80892857142857</v>
      </c>
      <c r="L1015" s="7">
        <f t="shared" ca="1" si="90"/>
        <v>1</v>
      </c>
      <c r="M1015" s="7" t="str">
        <f t="shared" ca="1" si="91"/>
        <v/>
      </c>
      <c r="N1015" s="6" t="str">
        <f t="shared" ca="1" si="92"/>
        <v/>
      </c>
      <c r="O1015" s="6">
        <f t="shared" si="93"/>
        <v>-3.0999999999999659</v>
      </c>
      <c r="Q1015" s="6">
        <v>28.700000000000017</v>
      </c>
      <c r="R1015" s="9">
        <f t="shared" si="94"/>
        <v>10762.500000000007</v>
      </c>
      <c r="S1015" s="7">
        <f t="shared" si="95"/>
        <v>-14118.750000000022</v>
      </c>
    </row>
    <row r="1016" spans="1:19" x14ac:dyDescent="0.25">
      <c r="A1016" s="4">
        <f>Sheet1!A1016</f>
        <v>40557</v>
      </c>
      <c r="B1016" s="5">
        <f>Sheet1!B1016</f>
        <v>0.58333333333333337</v>
      </c>
      <c r="C1016" s="6">
        <f>Sheet1!C1016</f>
        <v>271.55</v>
      </c>
      <c r="D1016" s="6">
        <f>Sheet1!D1016</f>
        <v>272.7</v>
      </c>
      <c r="E1016" s="6">
        <f>Sheet1!E1016</f>
        <v>265.10000000000002</v>
      </c>
      <c r="F1016" s="6">
        <f>Sheet1!F1016</f>
        <v>268.14999999999998</v>
      </c>
      <c r="H1016" s="6">
        <f ca="1">IF(ROW($H1016)-1&lt;$I$1,$F1016,AVERAGE($F1016:OFFSET($F1016,(($I$1-1)*-1),0)))</f>
        <v>268.44166666666661</v>
      </c>
      <c r="J1016" s="6">
        <f ca="1">IF(ROW($J1016)-1&lt;$K$1,$F1016,AVERAGE($F1016:OFFSET($F1016,(($K$1-1)*-1),0)))</f>
        <v>261.72500000000002</v>
      </c>
      <c r="L1016" s="7">
        <f t="shared" ca="1" si="90"/>
        <v>1</v>
      </c>
      <c r="M1016" s="7" t="str">
        <f t="shared" ca="1" si="91"/>
        <v/>
      </c>
      <c r="N1016" s="6" t="str">
        <f t="shared" ca="1" si="92"/>
        <v/>
      </c>
      <c r="O1016" s="6">
        <f t="shared" si="93"/>
        <v>-2.9000000000000341</v>
      </c>
      <c r="Q1016" s="6">
        <v>25.799999999999983</v>
      </c>
      <c r="R1016" s="9">
        <f t="shared" si="94"/>
        <v>9674.9999999999927</v>
      </c>
      <c r="S1016" s="7">
        <f t="shared" si="95"/>
        <v>-14118.750000000022</v>
      </c>
    </row>
    <row r="1017" spans="1:19" x14ac:dyDescent="0.25">
      <c r="A1017" s="4">
        <f>Sheet1!A1017</f>
        <v>40561</v>
      </c>
      <c r="B1017" s="5">
        <f>Sheet1!B1017</f>
        <v>0.58333333333333337</v>
      </c>
      <c r="C1017" s="6">
        <f>Sheet1!C1017</f>
        <v>268.89999999999998</v>
      </c>
      <c r="D1017" s="6">
        <f>Sheet1!D1017</f>
        <v>271.05</v>
      </c>
      <c r="E1017" s="6">
        <f>Sheet1!E1017</f>
        <v>267.89999999999998</v>
      </c>
      <c r="F1017" s="6">
        <f>Sheet1!F1017</f>
        <v>268.89999999999998</v>
      </c>
      <c r="H1017" s="6">
        <f ca="1">IF(ROW($H1017)-1&lt;$I$1,$F1017,AVERAGE($F1017:OFFSET($F1017,(($I$1-1)*-1),0)))</f>
        <v>269.2166666666667</v>
      </c>
      <c r="J1017" s="6">
        <f ca="1">IF(ROW($J1017)-1&lt;$K$1,$F1017,AVERAGE($F1017:OFFSET($F1017,(($K$1-1)*-1),0)))</f>
        <v>262.70535714285711</v>
      </c>
      <c r="L1017" s="7">
        <f t="shared" ca="1" si="90"/>
        <v>1</v>
      </c>
      <c r="M1017" s="7" t="str">
        <f t="shared" ca="1" si="91"/>
        <v/>
      </c>
      <c r="N1017" s="6" t="str">
        <f t="shared" ca="1" si="92"/>
        <v/>
      </c>
      <c r="O1017" s="6">
        <f t="shared" si="93"/>
        <v>0.75</v>
      </c>
      <c r="Q1017" s="6">
        <v>26.549999999999983</v>
      </c>
      <c r="R1017" s="9">
        <f t="shared" si="94"/>
        <v>9956.2499999999927</v>
      </c>
      <c r="S1017" s="7">
        <f t="shared" si="95"/>
        <v>-14118.750000000022</v>
      </c>
    </row>
    <row r="1018" spans="1:19" x14ac:dyDescent="0.25">
      <c r="A1018" s="4">
        <f>Sheet1!A1018</f>
        <v>40562</v>
      </c>
      <c r="B1018" s="5">
        <f>Sheet1!B1018</f>
        <v>0.58333333333333337</v>
      </c>
      <c r="C1018" s="6">
        <f>Sheet1!C1018</f>
        <v>269.55</v>
      </c>
      <c r="D1018" s="6">
        <f>Sheet1!D1018</f>
        <v>270.25</v>
      </c>
      <c r="E1018" s="6">
        <f>Sheet1!E1018</f>
        <v>264.64999999999998</v>
      </c>
      <c r="F1018" s="6">
        <f>Sheet1!F1018</f>
        <v>266.05</v>
      </c>
      <c r="H1018" s="6">
        <f ca="1">IF(ROW($H1018)-1&lt;$I$1,$F1018,AVERAGE($F1018:OFFSET($F1018,(($I$1-1)*-1),0)))</f>
        <v>269.42500000000001</v>
      </c>
      <c r="J1018" s="6">
        <f ca="1">IF(ROW($J1018)-1&lt;$K$1,$F1018,AVERAGE($F1018:OFFSET($F1018,(($K$1-1)*-1),0)))</f>
        <v>263.7</v>
      </c>
      <c r="L1018" s="7">
        <f t="shared" ca="1" si="90"/>
        <v>1</v>
      </c>
      <c r="M1018" s="7" t="str">
        <f t="shared" ca="1" si="91"/>
        <v/>
      </c>
      <c r="N1018" s="6" t="str">
        <f t="shared" ca="1" si="92"/>
        <v/>
      </c>
      <c r="O1018" s="6">
        <f t="shared" si="93"/>
        <v>-2.8499999999999659</v>
      </c>
      <c r="Q1018" s="6">
        <v>23.700000000000017</v>
      </c>
      <c r="R1018" s="9">
        <f t="shared" si="94"/>
        <v>8887.5000000000073</v>
      </c>
      <c r="S1018" s="7">
        <f t="shared" si="95"/>
        <v>-14118.750000000022</v>
      </c>
    </row>
    <row r="1019" spans="1:19" x14ac:dyDescent="0.25">
      <c r="A1019" s="4">
        <f>Sheet1!A1019</f>
        <v>40563</v>
      </c>
      <c r="B1019" s="5">
        <f>Sheet1!B1019</f>
        <v>0.58333333333333337</v>
      </c>
      <c r="C1019" s="6">
        <f>Sheet1!C1019</f>
        <v>265.60000000000002</v>
      </c>
      <c r="D1019" s="6">
        <f>Sheet1!D1019</f>
        <v>267.75</v>
      </c>
      <c r="E1019" s="6">
        <f>Sheet1!E1019</f>
        <v>260.05</v>
      </c>
      <c r="F1019" s="6">
        <f>Sheet1!F1019</f>
        <v>265.35000000000002</v>
      </c>
      <c r="H1019" s="6">
        <f ca="1">IF(ROW($H1019)-1&lt;$I$1,$F1019,AVERAGE($F1019:OFFSET($F1019,(($I$1-1)*-1),0)))</f>
        <v>268.94166666666666</v>
      </c>
      <c r="J1019" s="6">
        <f ca="1">IF(ROW($J1019)-1&lt;$K$1,$F1019,AVERAGE($F1019:OFFSET($F1019,(($K$1-1)*-1),0)))</f>
        <v>264.67321428571427</v>
      </c>
      <c r="L1019" s="7">
        <f t="shared" ca="1" si="90"/>
        <v>1</v>
      </c>
      <c r="M1019" s="7" t="str">
        <f t="shared" ca="1" si="91"/>
        <v/>
      </c>
      <c r="N1019" s="6" t="str">
        <f t="shared" ca="1" si="92"/>
        <v/>
      </c>
      <c r="O1019" s="6">
        <f t="shared" si="93"/>
        <v>-0.69999999999998863</v>
      </c>
      <c r="Q1019" s="6">
        <v>23.000000000000028</v>
      </c>
      <c r="R1019" s="9">
        <f t="shared" si="94"/>
        <v>8625.0000000000109</v>
      </c>
      <c r="S1019" s="7">
        <f t="shared" si="95"/>
        <v>-14118.750000000022</v>
      </c>
    </row>
    <row r="1020" spans="1:19" x14ac:dyDescent="0.25">
      <c r="A1020" s="4">
        <f>Sheet1!A1020</f>
        <v>40564</v>
      </c>
      <c r="B1020" s="5">
        <f>Sheet1!B1020</f>
        <v>0.58333333333333337</v>
      </c>
      <c r="C1020" s="6">
        <f>Sheet1!C1020</f>
        <v>266.45</v>
      </c>
      <c r="D1020" s="6">
        <f>Sheet1!D1020</f>
        <v>275.35000000000002</v>
      </c>
      <c r="E1020" s="6">
        <f>Sheet1!E1020</f>
        <v>266.39999999999998</v>
      </c>
      <c r="F1020" s="6">
        <f>Sheet1!F1020</f>
        <v>273.95</v>
      </c>
      <c r="H1020" s="6">
        <f ca="1">IF(ROW($H1020)-1&lt;$I$1,$F1020,AVERAGE($F1020:OFFSET($F1020,(($I$1-1)*-1),0)))</f>
        <v>268.90833333333336</v>
      </c>
      <c r="J1020" s="6">
        <f ca="1">IF(ROW($J1020)-1&lt;$K$1,$F1020,AVERAGE($F1020:OFFSET($F1020,(($K$1-1)*-1),0)))</f>
        <v>265.77321428571429</v>
      </c>
      <c r="L1020" s="7">
        <f t="shared" ca="1" si="90"/>
        <v>1</v>
      </c>
      <c r="M1020" s="7" t="str">
        <f t="shared" ca="1" si="91"/>
        <v/>
      </c>
      <c r="N1020" s="6" t="str">
        <f t="shared" ca="1" si="92"/>
        <v/>
      </c>
      <c r="O1020" s="6">
        <f t="shared" si="93"/>
        <v>8.5999999999999659</v>
      </c>
      <c r="Q1020" s="6">
        <v>31.599999999999994</v>
      </c>
      <c r="R1020" s="9">
        <f t="shared" si="94"/>
        <v>11849.999999999998</v>
      </c>
      <c r="S1020" s="7">
        <f t="shared" si="95"/>
        <v>-14118.750000000022</v>
      </c>
    </row>
    <row r="1021" spans="1:19" x14ac:dyDescent="0.25">
      <c r="A1021" s="4">
        <f>Sheet1!A1021</f>
        <v>40567</v>
      </c>
      <c r="B1021" s="5">
        <f>Sheet1!B1021</f>
        <v>0.58333333333333337</v>
      </c>
      <c r="C1021" s="6">
        <f>Sheet1!C1021</f>
        <v>273.14999999999998</v>
      </c>
      <c r="D1021" s="6">
        <f>Sheet1!D1021</f>
        <v>274.55</v>
      </c>
      <c r="E1021" s="6">
        <f>Sheet1!E1021</f>
        <v>269.95</v>
      </c>
      <c r="F1021" s="6">
        <f>Sheet1!F1021</f>
        <v>270.85000000000002</v>
      </c>
      <c r="H1021" s="6">
        <f ca="1">IF(ROW($H1021)-1&lt;$I$1,$F1021,AVERAGE($F1021:OFFSET($F1021,(($I$1-1)*-1),0)))</f>
        <v>268.875</v>
      </c>
      <c r="J1021" s="6">
        <f ca="1">IF(ROW($J1021)-1&lt;$K$1,$F1021,AVERAGE($F1021:OFFSET($F1021,(($K$1-1)*-1),0)))</f>
        <v>266.4785714285714</v>
      </c>
      <c r="L1021" s="7">
        <f t="shared" ca="1" si="90"/>
        <v>1</v>
      </c>
      <c r="M1021" s="7" t="str">
        <f t="shared" ca="1" si="91"/>
        <v/>
      </c>
      <c r="N1021" s="6" t="str">
        <f t="shared" ca="1" si="92"/>
        <v/>
      </c>
      <c r="O1021" s="6">
        <f t="shared" si="93"/>
        <v>-3.0999999999999659</v>
      </c>
      <c r="Q1021" s="6">
        <v>28.500000000000028</v>
      </c>
      <c r="R1021" s="9">
        <f t="shared" si="94"/>
        <v>10687.500000000011</v>
      </c>
      <c r="S1021" s="7">
        <f t="shared" si="95"/>
        <v>-14118.750000000022</v>
      </c>
    </row>
    <row r="1022" spans="1:19" x14ac:dyDescent="0.25">
      <c r="A1022" s="4">
        <f>Sheet1!A1022</f>
        <v>40568</v>
      </c>
      <c r="B1022" s="5">
        <f>Sheet1!B1022</f>
        <v>0.58333333333333337</v>
      </c>
      <c r="C1022" s="6">
        <f>Sheet1!C1022</f>
        <v>270.85000000000002</v>
      </c>
      <c r="D1022" s="6">
        <f>Sheet1!D1022</f>
        <v>271.85000000000002</v>
      </c>
      <c r="E1022" s="6">
        <f>Sheet1!E1022</f>
        <v>263.85000000000002</v>
      </c>
      <c r="F1022" s="6">
        <f>Sheet1!F1022</f>
        <v>264.8</v>
      </c>
      <c r="H1022" s="6">
        <f ca="1">IF(ROW($H1022)-1&lt;$I$1,$F1022,AVERAGE($F1022:OFFSET($F1022,(($I$1-1)*-1),0)))</f>
        <v>268.31666666666666</v>
      </c>
      <c r="J1022" s="6">
        <f ca="1">IF(ROW($J1022)-1&lt;$K$1,$F1022,AVERAGE($F1022:OFFSET($F1022,(($K$1-1)*-1),0)))</f>
        <v>266.99821428571431</v>
      </c>
      <c r="L1022" s="7">
        <f t="shared" ca="1" si="90"/>
        <v>1</v>
      </c>
      <c r="M1022" s="7" t="str">
        <f t="shared" ca="1" si="91"/>
        <v/>
      </c>
      <c r="N1022" s="6" t="str">
        <f t="shared" ca="1" si="92"/>
        <v/>
      </c>
      <c r="O1022" s="6">
        <f t="shared" si="93"/>
        <v>-6.0500000000000114</v>
      </c>
      <c r="Q1022" s="6">
        <v>22.450000000000017</v>
      </c>
      <c r="R1022" s="9">
        <f t="shared" si="94"/>
        <v>8418.7500000000073</v>
      </c>
      <c r="S1022" s="7">
        <f t="shared" si="95"/>
        <v>-14118.750000000022</v>
      </c>
    </row>
    <row r="1023" spans="1:19" x14ac:dyDescent="0.25">
      <c r="A1023" s="4">
        <f>Sheet1!A1023</f>
        <v>40569</v>
      </c>
      <c r="B1023" s="5">
        <f>Sheet1!B1023</f>
        <v>0.58333333333333337</v>
      </c>
      <c r="C1023" s="6">
        <f>Sheet1!C1023</f>
        <v>265.35000000000002</v>
      </c>
      <c r="D1023" s="6">
        <f>Sheet1!D1023</f>
        <v>273.89999999999998</v>
      </c>
      <c r="E1023" s="6">
        <f>Sheet1!E1023</f>
        <v>265.35000000000002</v>
      </c>
      <c r="F1023" s="6">
        <f>Sheet1!F1023</f>
        <v>271.05</v>
      </c>
      <c r="H1023" s="6">
        <f ca="1">IF(ROW($H1023)-1&lt;$I$1,$F1023,AVERAGE($F1023:OFFSET($F1023,(($I$1-1)*-1),0)))</f>
        <v>268.67500000000001</v>
      </c>
      <c r="J1023" s="6">
        <f ca="1">IF(ROW($J1023)-1&lt;$K$1,$F1023,AVERAGE($F1023:OFFSET($F1023,(($K$1-1)*-1),0)))</f>
        <v>267.71250000000003</v>
      </c>
      <c r="L1023" s="7">
        <f t="shared" ca="1" si="90"/>
        <v>1</v>
      </c>
      <c r="M1023" s="7" t="str">
        <f t="shared" ca="1" si="91"/>
        <v/>
      </c>
      <c r="N1023" s="6" t="str">
        <f t="shared" ca="1" si="92"/>
        <v/>
      </c>
      <c r="O1023" s="6">
        <f t="shared" si="93"/>
        <v>6.25</v>
      </c>
      <c r="Q1023" s="6">
        <v>28.700000000000017</v>
      </c>
      <c r="R1023" s="9">
        <f t="shared" si="94"/>
        <v>10762.500000000007</v>
      </c>
      <c r="S1023" s="7">
        <f t="shared" si="95"/>
        <v>-14118.750000000022</v>
      </c>
    </row>
    <row r="1024" spans="1:19" x14ac:dyDescent="0.25">
      <c r="A1024" s="4">
        <f>Sheet1!A1024</f>
        <v>40570</v>
      </c>
      <c r="B1024" s="5">
        <f>Sheet1!B1024</f>
        <v>0.58333333333333337</v>
      </c>
      <c r="C1024" s="6">
        <f>Sheet1!C1024</f>
        <v>271.75</v>
      </c>
      <c r="D1024" s="6">
        <f>Sheet1!D1024</f>
        <v>275.05</v>
      </c>
      <c r="E1024" s="6">
        <f>Sheet1!E1024</f>
        <v>268.25</v>
      </c>
      <c r="F1024" s="6">
        <f>Sheet1!F1024</f>
        <v>270.5</v>
      </c>
      <c r="H1024" s="6">
        <f ca="1">IF(ROW($H1024)-1&lt;$I$1,$F1024,AVERAGE($F1024:OFFSET($F1024,(($I$1-1)*-1),0)))</f>
        <v>269.41666666666669</v>
      </c>
      <c r="J1024" s="6">
        <f ca="1">IF(ROW($J1024)-1&lt;$K$1,$F1024,AVERAGE($F1024:OFFSET($F1024,(($K$1-1)*-1),0)))</f>
        <v>268.44107142857143</v>
      </c>
      <c r="L1024" s="7">
        <f t="shared" ca="1" si="90"/>
        <v>1</v>
      </c>
      <c r="M1024" s="7" t="str">
        <f t="shared" ca="1" si="91"/>
        <v/>
      </c>
      <c r="N1024" s="6" t="str">
        <f t="shared" ca="1" si="92"/>
        <v/>
      </c>
      <c r="O1024" s="6">
        <f t="shared" si="93"/>
        <v>-0.55000000000001137</v>
      </c>
      <c r="Q1024" s="6">
        <v>28.150000000000006</v>
      </c>
      <c r="R1024" s="9">
        <f t="shared" si="94"/>
        <v>10556.250000000002</v>
      </c>
      <c r="S1024" s="7">
        <f t="shared" si="95"/>
        <v>-14118.750000000022</v>
      </c>
    </row>
    <row r="1025" spans="1:19" x14ac:dyDescent="0.25">
      <c r="A1025" s="4">
        <f>Sheet1!A1025</f>
        <v>40571</v>
      </c>
      <c r="B1025" s="5">
        <f>Sheet1!B1025</f>
        <v>0.58333333333333337</v>
      </c>
      <c r="C1025" s="6">
        <f>Sheet1!C1025</f>
        <v>270.25</v>
      </c>
      <c r="D1025" s="6">
        <f>Sheet1!D1025</f>
        <v>279.89999999999998</v>
      </c>
      <c r="E1025" s="6">
        <f>Sheet1!E1025</f>
        <v>269.39999999999998</v>
      </c>
      <c r="F1025" s="6">
        <f>Sheet1!F1025</f>
        <v>278.55</v>
      </c>
      <c r="H1025" s="6">
        <f ca="1">IF(ROW($H1025)-1&lt;$I$1,$F1025,AVERAGE($F1025:OFFSET($F1025,(($I$1-1)*-1),0)))</f>
        <v>271.61666666666662</v>
      </c>
      <c r="J1025" s="6">
        <f ca="1">IF(ROW($J1025)-1&lt;$K$1,$F1025,AVERAGE($F1025:OFFSET($F1025,(($K$1-1)*-1),0)))</f>
        <v>269.14464285714291</v>
      </c>
      <c r="L1025" s="7">
        <f t="shared" ca="1" si="90"/>
        <v>1</v>
      </c>
      <c r="M1025" s="7" t="str">
        <f t="shared" ca="1" si="91"/>
        <v/>
      </c>
      <c r="N1025" s="6" t="str">
        <f t="shared" ca="1" si="92"/>
        <v/>
      </c>
      <c r="O1025" s="6">
        <f t="shared" si="93"/>
        <v>8.0500000000000114</v>
      </c>
      <c r="Q1025" s="6">
        <v>36.200000000000017</v>
      </c>
      <c r="R1025" s="9">
        <f t="shared" si="94"/>
        <v>13575.000000000007</v>
      </c>
      <c r="S1025" s="7">
        <f t="shared" si="95"/>
        <v>-14118.750000000022</v>
      </c>
    </row>
    <row r="1026" spans="1:19" x14ac:dyDescent="0.25">
      <c r="A1026" s="4">
        <f>Sheet1!A1026</f>
        <v>40574</v>
      </c>
      <c r="B1026" s="5">
        <f>Sheet1!B1026</f>
        <v>0.58333333333333337</v>
      </c>
      <c r="C1026" s="6">
        <f>Sheet1!C1026</f>
        <v>279.05</v>
      </c>
      <c r="D1026" s="6">
        <f>Sheet1!D1026</f>
        <v>284.3</v>
      </c>
      <c r="E1026" s="6">
        <f>Sheet1!E1026</f>
        <v>276.8</v>
      </c>
      <c r="F1026" s="6">
        <f>Sheet1!F1026</f>
        <v>278.35000000000002</v>
      </c>
      <c r="H1026" s="6">
        <f ca="1">IF(ROW($H1026)-1&lt;$I$1,$F1026,AVERAGE($F1026:OFFSET($F1026,(($I$1-1)*-1),0)))</f>
        <v>272.34999999999997</v>
      </c>
      <c r="J1026" s="6">
        <f ca="1">IF(ROW($J1026)-1&lt;$K$1,$F1026,AVERAGE($F1026:OFFSET($F1026,(($K$1-1)*-1),0)))</f>
        <v>269.86428571428576</v>
      </c>
      <c r="L1026" s="7">
        <f t="shared" ca="1" si="90"/>
        <v>1</v>
      </c>
      <c r="M1026" s="7" t="str">
        <f t="shared" ca="1" si="91"/>
        <v/>
      </c>
      <c r="N1026" s="6" t="str">
        <f t="shared" ca="1" si="92"/>
        <v/>
      </c>
      <c r="O1026" s="6">
        <f t="shared" si="93"/>
        <v>-0.19999999999998863</v>
      </c>
      <c r="Q1026" s="6">
        <v>36.000000000000028</v>
      </c>
      <c r="R1026" s="9">
        <f t="shared" si="94"/>
        <v>13500.000000000011</v>
      </c>
      <c r="S1026" s="7">
        <f t="shared" si="95"/>
        <v>-14118.750000000022</v>
      </c>
    </row>
    <row r="1027" spans="1:19" x14ac:dyDescent="0.25">
      <c r="A1027" s="4">
        <f>Sheet1!A1027</f>
        <v>40575</v>
      </c>
      <c r="B1027" s="5">
        <f>Sheet1!B1027</f>
        <v>0.58333333333333337</v>
      </c>
      <c r="C1027" s="6">
        <f>Sheet1!C1027</f>
        <v>279.10000000000002</v>
      </c>
      <c r="D1027" s="6">
        <f>Sheet1!D1027</f>
        <v>283.3</v>
      </c>
      <c r="E1027" s="6">
        <f>Sheet1!E1027</f>
        <v>278.89999999999998</v>
      </c>
      <c r="F1027" s="6">
        <f>Sheet1!F1027</f>
        <v>282.95</v>
      </c>
      <c r="H1027" s="6">
        <f ca="1">IF(ROW($H1027)-1&lt;$I$1,$F1027,AVERAGE($F1027:OFFSET($F1027,(($I$1-1)*-1),0)))</f>
        <v>274.36666666666667</v>
      </c>
      <c r="J1027" s="6">
        <f ca="1">IF(ROW($J1027)-1&lt;$K$1,$F1027,AVERAGE($F1027:OFFSET($F1027,(($K$1-1)*-1),0)))</f>
        <v>270.41964285714295</v>
      </c>
      <c r="L1027" s="7">
        <f t="shared" ref="L1027:L1090" ca="1" si="96">IF(ROW($L1027)&gt;($K$1),IF($H1027&gt;$J1027,1,IF($H1027&lt;$J1027,-1,$L1026*-1)),0)</f>
        <v>1</v>
      </c>
      <c r="M1027" s="7" t="str">
        <f t="shared" ca="1" si="91"/>
        <v/>
      </c>
      <c r="N1027" s="6" t="str">
        <f t="shared" ca="1" si="92"/>
        <v/>
      </c>
      <c r="O1027" s="6">
        <f t="shared" si="93"/>
        <v>4.5999999999999659</v>
      </c>
      <c r="Q1027" s="6">
        <v>40.599999999999994</v>
      </c>
      <c r="R1027" s="9">
        <f t="shared" si="94"/>
        <v>15224.999999999998</v>
      </c>
      <c r="S1027" s="7">
        <f t="shared" si="95"/>
        <v>-14118.750000000022</v>
      </c>
    </row>
    <row r="1028" spans="1:19" x14ac:dyDescent="0.25">
      <c r="A1028" s="4">
        <f>Sheet1!A1028</f>
        <v>40576</v>
      </c>
      <c r="B1028" s="5">
        <f>Sheet1!B1028</f>
        <v>0.58333333333333337</v>
      </c>
      <c r="C1028" s="6">
        <f>Sheet1!C1028</f>
        <v>282.85000000000002</v>
      </c>
      <c r="D1028" s="6">
        <f>Sheet1!D1028</f>
        <v>285.05</v>
      </c>
      <c r="E1028" s="6">
        <f>Sheet1!E1028</f>
        <v>280.64999999999998</v>
      </c>
      <c r="F1028" s="6">
        <f>Sheet1!F1028</f>
        <v>283.95</v>
      </c>
      <c r="H1028" s="6">
        <f ca="1">IF(ROW($H1028)-1&lt;$I$1,$F1028,AVERAGE($F1028:OFFSET($F1028,(($I$1-1)*-1),0)))</f>
        <v>277.55833333333334</v>
      </c>
      <c r="J1028" s="6">
        <f ca="1">IF(ROW($J1028)-1&lt;$K$1,$F1028,AVERAGE($F1028:OFFSET($F1028,(($K$1-1)*-1),0)))</f>
        <v>271.14107142857148</v>
      </c>
      <c r="L1028" s="7">
        <f t="shared" ca="1" si="96"/>
        <v>1</v>
      </c>
      <c r="M1028" s="7" t="str">
        <f t="shared" ref="M1028:M1091" ca="1" si="97">IF(L1028&lt;&gt;L1027,L1028,"")</f>
        <v/>
      </c>
      <c r="N1028" s="6" t="str">
        <f t="shared" ref="N1028:N1091" ca="1" si="98">IF(M1027&lt;&gt;"",C1028,"")</f>
        <v/>
      </c>
      <c r="O1028" s="6">
        <f t="shared" ref="O1028:O1091" si="99">F1028-F1027</f>
        <v>1</v>
      </c>
      <c r="Q1028" s="6">
        <v>41.599999999999994</v>
      </c>
      <c r="R1028" s="9">
        <f t="shared" ref="R1028:R1091" si="100">IF(Q1028="","",Q1028*375)</f>
        <v>15599.999999999998</v>
      </c>
      <c r="S1028" s="7">
        <f t="shared" si="95"/>
        <v>-14118.750000000022</v>
      </c>
    </row>
    <row r="1029" spans="1:19" x14ac:dyDescent="0.25">
      <c r="A1029" s="4">
        <f>Sheet1!A1029</f>
        <v>40577</v>
      </c>
      <c r="B1029" s="5">
        <f>Sheet1!B1029</f>
        <v>0.58333333333333337</v>
      </c>
      <c r="C1029" s="6">
        <f>Sheet1!C1029</f>
        <v>284.45</v>
      </c>
      <c r="D1029" s="6">
        <f>Sheet1!D1029</f>
        <v>287.14999999999998</v>
      </c>
      <c r="E1029" s="6">
        <f>Sheet1!E1029</f>
        <v>283.64999999999998</v>
      </c>
      <c r="F1029" s="6">
        <f>Sheet1!F1029</f>
        <v>284.89999999999998</v>
      </c>
      <c r="H1029" s="6">
        <f ca="1">IF(ROW($H1029)-1&lt;$I$1,$F1029,AVERAGE($F1029:OFFSET($F1029,(($I$1-1)*-1),0)))</f>
        <v>279.86666666666662</v>
      </c>
      <c r="J1029" s="6">
        <f ca="1">IF(ROW($J1029)-1&lt;$K$1,$F1029,AVERAGE($F1029:OFFSET($F1029,(($K$1-1)*-1),0)))</f>
        <v>271.69285714285718</v>
      </c>
      <c r="L1029" s="7">
        <f t="shared" ca="1" si="96"/>
        <v>1</v>
      </c>
      <c r="M1029" s="7" t="str">
        <f t="shared" ca="1" si="97"/>
        <v/>
      </c>
      <c r="N1029" s="6" t="str">
        <f t="shared" ca="1" si="98"/>
        <v/>
      </c>
      <c r="O1029" s="6">
        <f t="shared" si="99"/>
        <v>0.94999999999998863</v>
      </c>
      <c r="Q1029" s="6">
        <v>42.549999999999983</v>
      </c>
      <c r="R1029" s="9">
        <f t="shared" si="100"/>
        <v>15956.249999999993</v>
      </c>
      <c r="S1029" s="7">
        <f t="shared" si="95"/>
        <v>-14118.750000000022</v>
      </c>
    </row>
    <row r="1030" spans="1:19" x14ac:dyDescent="0.25">
      <c r="A1030" s="4">
        <f>Sheet1!A1030</f>
        <v>40578</v>
      </c>
      <c r="B1030" s="5">
        <f>Sheet1!B1030</f>
        <v>0.58333333333333337</v>
      </c>
      <c r="C1030" s="6">
        <f>Sheet1!C1030</f>
        <v>283.55</v>
      </c>
      <c r="D1030" s="6">
        <f>Sheet1!D1030</f>
        <v>284.64999999999998</v>
      </c>
      <c r="E1030" s="6">
        <f>Sheet1!E1030</f>
        <v>280.85000000000002</v>
      </c>
      <c r="F1030" s="6">
        <f>Sheet1!F1030</f>
        <v>282.85000000000002</v>
      </c>
      <c r="H1030" s="6">
        <f ca="1">IF(ROW($H1030)-1&lt;$I$1,$F1030,AVERAGE($F1030:OFFSET($F1030,(($I$1-1)*-1),0)))</f>
        <v>281.92500000000001</v>
      </c>
      <c r="J1030" s="6">
        <f ca="1">IF(ROW($J1030)-1&lt;$K$1,$F1030,AVERAGE($F1030:OFFSET($F1030,(($K$1-1)*-1),0)))</f>
        <v>272.1160714285715</v>
      </c>
      <c r="L1030" s="7">
        <f t="shared" ca="1" si="96"/>
        <v>1</v>
      </c>
      <c r="M1030" s="7" t="str">
        <f t="shared" ca="1" si="97"/>
        <v/>
      </c>
      <c r="N1030" s="6" t="str">
        <f t="shared" ca="1" si="98"/>
        <v/>
      </c>
      <c r="O1030" s="6">
        <f t="shared" si="99"/>
        <v>-2.0499999999999545</v>
      </c>
      <c r="Q1030" s="6">
        <v>40.500000000000028</v>
      </c>
      <c r="R1030" s="9">
        <f t="shared" si="100"/>
        <v>15187.500000000011</v>
      </c>
      <c r="S1030" s="7">
        <f t="shared" si="95"/>
        <v>-14118.750000000022</v>
      </c>
    </row>
    <row r="1031" spans="1:19" x14ac:dyDescent="0.25">
      <c r="A1031" s="4">
        <f>Sheet1!A1031</f>
        <v>40581</v>
      </c>
      <c r="B1031" s="5">
        <f>Sheet1!B1031</f>
        <v>0.58333333333333337</v>
      </c>
      <c r="C1031" s="6">
        <f>Sheet1!C1031</f>
        <v>283.60000000000002</v>
      </c>
      <c r="D1031" s="6">
        <f>Sheet1!D1031</f>
        <v>285.55</v>
      </c>
      <c r="E1031" s="6">
        <f>Sheet1!E1031</f>
        <v>282.7</v>
      </c>
      <c r="F1031" s="6">
        <f>Sheet1!F1031</f>
        <v>283.3</v>
      </c>
      <c r="H1031" s="6">
        <f ca="1">IF(ROW($H1031)-1&lt;$I$1,$F1031,AVERAGE($F1031:OFFSET($F1031,(($I$1-1)*-1),0)))</f>
        <v>282.71666666666664</v>
      </c>
      <c r="J1031" s="6">
        <f ca="1">IF(ROW($J1031)-1&lt;$K$1,$F1031,AVERAGE($F1031:OFFSET($F1031,(($K$1-1)*-1),0)))</f>
        <v>272.48928571428576</v>
      </c>
      <c r="L1031" s="7">
        <f t="shared" ca="1" si="96"/>
        <v>1</v>
      </c>
      <c r="M1031" s="7" t="str">
        <f t="shared" ca="1" si="97"/>
        <v/>
      </c>
      <c r="N1031" s="6" t="str">
        <f t="shared" ca="1" si="98"/>
        <v/>
      </c>
      <c r="O1031" s="6">
        <f t="shared" si="99"/>
        <v>0.44999999999998863</v>
      </c>
      <c r="Q1031" s="6">
        <v>40.950000000000017</v>
      </c>
      <c r="R1031" s="9">
        <f t="shared" si="100"/>
        <v>15356.250000000007</v>
      </c>
      <c r="S1031" s="7">
        <f t="shared" si="95"/>
        <v>-14118.750000000022</v>
      </c>
    </row>
    <row r="1032" spans="1:19" x14ac:dyDescent="0.25">
      <c r="A1032" s="4">
        <f>Sheet1!A1032</f>
        <v>40582</v>
      </c>
      <c r="B1032" s="5">
        <f>Sheet1!B1032</f>
        <v>0.58333333333333337</v>
      </c>
      <c r="C1032" s="6">
        <f>Sheet1!C1032</f>
        <v>283.3</v>
      </c>
      <c r="D1032" s="6">
        <f>Sheet1!D1032</f>
        <v>284.64999999999998</v>
      </c>
      <c r="E1032" s="6">
        <f>Sheet1!E1032</f>
        <v>280.25</v>
      </c>
      <c r="F1032" s="6">
        <f>Sheet1!F1032</f>
        <v>281.14999999999998</v>
      </c>
      <c r="H1032" s="6">
        <f ca="1">IF(ROW($H1032)-1&lt;$I$1,$F1032,AVERAGE($F1032:OFFSET($F1032,(($I$1-1)*-1),0)))</f>
        <v>283.18333333333334</v>
      </c>
      <c r="J1032" s="6">
        <f ca="1">IF(ROW($J1032)-1&lt;$K$1,$F1032,AVERAGE($F1032:OFFSET($F1032,(($K$1-1)*-1),0)))</f>
        <v>272.77321428571435</v>
      </c>
      <c r="L1032" s="7">
        <f t="shared" ca="1" si="96"/>
        <v>1</v>
      </c>
      <c r="M1032" s="7" t="str">
        <f t="shared" ca="1" si="97"/>
        <v/>
      </c>
      <c r="N1032" s="6" t="str">
        <f t="shared" ca="1" si="98"/>
        <v/>
      </c>
      <c r="O1032" s="6">
        <f t="shared" si="99"/>
        <v>-2.1500000000000341</v>
      </c>
      <c r="Q1032" s="6">
        <v>38.799999999999983</v>
      </c>
      <c r="R1032" s="9">
        <f t="shared" si="100"/>
        <v>14549.999999999993</v>
      </c>
      <c r="S1032" s="7">
        <f t="shared" si="95"/>
        <v>-14118.750000000022</v>
      </c>
    </row>
    <row r="1033" spans="1:19" x14ac:dyDescent="0.25">
      <c r="A1033" s="4">
        <f>Sheet1!A1033</f>
        <v>40583</v>
      </c>
      <c r="B1033" s="5">
        <f>Sheet1!B1033</f>
        <v>0.58333333333333337</v>
      </c>
      <c r="C1033" s="6">
        <f>Sheet1!C1033</f>
        <v>282.3</v>
      </c>
      <c r="D1033" s="6">
        <f>Sheet1!D1033</f>
        <v>287.60000000000002</v>
      </c>
      <c r="E1033" s="6">
        <f>Sheet1!E1033</f>
        <v>281.35000000000002</v>
      </c>
      <c r="F1033" s="6">
        <f>Sheet1!F1033</f>
        <v>287.14999999999998</v>
      </c>
      <c r="H1033" s="6">
        <f ca="1">IF(ROW($H1033)-1&lt;$I$1,$F1033,AVERAGE($F1033:OFFSET($F1033,(($I$1-1)*-1),0)))</f>
        <v>283.88333333333338</v>
      </c>
      <c r="J1033" s="6">
        <f ca="1">IF(ROW($J1033)-1&lt;$K$1,$F1033,AVERAGE($F1033:OFFSET($F1033,(($K$1-1)*-1),0)))</f>
        <v>273.39107142857148</v>
      </c>
      <c r="L1033" s="7">
        <f t="shared" ca="1" si="96"/>
        <v>1</v>
      </c>
      <c r="M1033" s="7" t="str">
        <f t="shared" ca="1" si="97"/>
        <v/>
      </c>
      <c r="N1033" s="6" t="str">
        <f t="shared" ca="1" si="98"/>
        <v/>
      </c>
      <c r="O1033" s="6">
        <f t="shared" si="99"/>
        <v>6</v>
      </c>
      <c r="Q1033" s="6">
        <v>44.799999999999983</v>
      </c>
      <c r="R1033" s="9">
        <f t="shared" si="100"/>
        <v>16799.999999999993</v>
      </c>
      <c r="S1033" s="7">
        <f t="shared" si="95"/>
        <v>-14118.750000000022</v>
      </c>
    </row>
    <row r="1034" spans="1:19" x14ac:dyDescent="0.25">
      <c r="A1034" s="4">
        <f>Sheet1!A1034</f>
        <v>40584</v>
      </c>
      <c r="B1034" s="5">
        <f>Sheet1!B1034</f>
        <v>0.58333333333333337</v>
      </c>
      <c r="C1034" s="6">
        <f>Sheet1!C1034</f>
        <v>286.05</v>
      </c>
      <c r="D1034" s="6">
        <f>Sheet1!D1034</f>
        <v>289.35000000000002</v>
      </c>
      <c r="E1034" s="6">
        <f>Sheet1!E1034</f>
        <v>285.05</v>
      </c>
      <c r="F1034" s="6">
        <f>Sheet1!F1034</f>
        <v>289.14999999999998</v>
      </c>
      <c r="H1034" s="6">
        <f ca="1">IF(ROW($H1034)-1&lt;$I$1,$F1034,AVERAGE($F1034:OFFSET($F1034,(($I$1-1)*-1),0)))</f>
        <v>284.75</v>
      </c>
      <c r="J1034" s="6">
        <f ca="1">IF(ROW($J1034)-1&lt;$K$1,$F1034,AVERAGE($F1034:OFFSET($F1034,(($K$1-1)*-1),0)))</f>
        <v>273.93035714285713</v>
      </c>
      <c r="L1034" s="7">
        <f t="shared" ca="1" si="96"/>
        <v>1</v>
      </c>
      <c r="M1034" s="7" t="str">
        <f t="shared" ca="1" si="97"/>
        <v/>
      </c>
      <c r="N1034" s="6" t="str">
        <f t="shared" ca="1" si="98"/>
        <v/>
      </c>
      <c r="O1034" s="6">
        <f t="shared" si="99"/>
        <v>2</v>
      </c>
      <c r="Q1034" s="6">
        <v>46.799999999999983</v>
      </c>
      <c r="R1034" s="9">
        <f t="shared" si="100"/>
        <v>17549.999999999993</v>
      </c>
      <c r="S1034" s="7">
        <f t="shared" si="95"/>
        <v>-14118.750000000022</v>
      </c>
    </row>
    <row r="1035" spans="1:19" x14ac:dyDescent="0.25">
      <c r="A1035" s="4">
        <f>Sheet1!A1035</f>
        <v>40585</v>
      </c>
      <c r="B1035" s="5">
        <f>Sheet1!B1035</f>
        <v>0.58333333333333337</v>
      </c>
      <c r="C1035" s="6">
        <f>Sheet1!C1035</f>
        <v>288.89999999999998</v>
      </c>
      <c r="D1035" s="6">
        <f>Sheet1!D1035</f>
        <v>288.89999999999998</v>
      </c>
      <c r="E1035" s="6">
        <f>Sheet1!E1035</f>
        <v>285.7</v>
      </c>
      <c r="F1035" s="6">
        <f>Sheet1!F1035</f>
        <v>286.25</v>
      </c>
      <c r="H1035" s="6">
        <f ca="1">IF(ROW($H1035)-1&lt;$I$1,$F1035,AVERAGE($F1035:OFFSET($F1035,(($I$1-1)*-1),0)))</f>
        <v>284.97499999999997</v>
      </c>
      <c r="J1035" s="6">
        <f ca="1">IF(ROW($J1035)-1&lt;$K$1,$F1035,AVERAGE($F1035:OFFSET($F1035,(($K$1-1)*-1),0)))</f>
        <v>274.36607142857139</v>
      </c>
      <c r="L1035" s="7">
        <f t="shared" ca="1" si="96"/>
        <v>1</v>
      </c>
      <c r="M1035" s="7" t="str">
        <f t="shared" ca="1" si="97"/>
        <v/>
      </c>
      <c r="N1035" s="6" t="str">
        <f t="shared" ca="1" si="98"/>
        <v/>
      </c>
      <c r="O1035" s="6">
        <f t="shared" si="99"/>
        <v>-2.8999999999999773</v>
      </c>
      <c r="Q1035" s="6">
        <v>43.900000000000006</v>
      </c>
      <c r="R1035" s="9">
        <f t="shared" si="100"/>
        <v>16462.500000000004</v>
      </c>
      <c r="S1035" s="7">
        <f t="shared" si="95"/>
        <v>-14118.750000000022</v>
      </c>
    </row>
    <row r="1036" spans="1:19" x14ac:dyDescent="0.25">
      <c r="A1036" s="4">
        <f>Sheet1!A1036</f>
        <v>40588</v>
      </c>
      <c r="B1036" s="5">
        <f>Sheet1!B1036</f>
        <v>0.58333333333333337</v>
      </c>
      <c r="C1036" s="6">
        <f>Sheet1!C1036</f>
        <v>285.89999999999998</v>
      </c>
      <c r="D1036" s="6">
        <f>Sheet1!D1036</f>
        <v>293.55</v>
      </c>
      <c r="E1036" s="6">
        <f>Sheet1!E1036</f>
        <v>285.45</v>
      </c>
      <c r="F1036" s="6">
        <f>Sheet1!F1036</f>
        <v>293</v>
      </c>
      <c r="H1036" s="6">
        <f ca="1">IF(ROW($H1036)-1&lt;$I$1,$F1036,AVERAGE($F1036:OFFSET($F1036,(($I$1-1)*-1),0)))</f>
        <v>286.66666666666669</v>
      </c>
      <c r="J1036" s="6">
        <f ca="1">IF(ROW($J1036)-1&lt;$K$1,$F1036,AVERAGE($F1036:OFFSET($F1036,(($K$1-1)*-1),0)))</f>
        <v>275.24107142857144</v>
      </c>
      <c r="L1036" s="7">
        <f t="shared" ca="1" si="96"/>
        <v>1</v>
      </c>
      <c r="M1036" s="7" t="str">
        <f t="shared" ca="1" si="97"/>
        <v/>
      </c>
      <c r="N1036" s="6" t="str">
        <f t="shared" ca="1" si="98"/>
        <v/>
      </c>
      <c r="O1036" s="6">
        <f t="shared" si="99"/>
        <v>6.75</v>
      </c>
      <c r="Q1036" s="6">
        <v>50.650000000000006</v>
      </c>
      <c r="R1036" s="9">
        <f t="shared" si="100"/>
        <v>18993.750000000004</v>
      </c>
      <c r="S1036" s="7">
        <f t="shared" si="95"/>
        <v>-14118.750000000022</v>
      </c>
    </row>
    <row r="1037" spans="1:19" x14ac:dyDescent="0.25">
      <c r="A1037" s="4">
        <f>Sheet1!A1037</f>
        <v>40589</v>
      </c>
      <c r="B1037" s="5">
        <f>Sheet1!B1037</f>
        <v>0.58333333333333337</v>
      </c>
      <c r="C1037" s="6">
        <f>Sheet1!C1037</f>
        <v>293</v>
      </c>
      <c r="D1037" s="6">
        <f>Sheet1!D1037</f>
        <v>298.05</v>
      </c>
      <c r="E1037" s="6">
        <f>Sheet1!E1037</f>
        <v>290</v>
      </c>
      <c r="F1037" s="6">
        <f>Sheet1!F1037</f>
        <v>292.39999999999998</v>
      </c>
      <c r="H1037" s="6">
        <f ca="1">IF(ROW($H1037)-1&lt;$I$1,$F1037,AVERAGE($F1037:OFFSET($F1037,(($I$1-1)*-1),0)))</f>
        <v>288.18333333333334</v>
      </c>
      <c r="J1037" s="6">
        <f ca="1">IF(ROW($J1037)-1&lt;$K$1,$F1037,AVERAGE($F1037:OFFSET($F1037,(($K$1-1)*-1),0)))</f>
        <v>276.16428571428565</v>
      </c>
      <c r="L1037" s="7">
        <f t="shared" ca="1" si="96"/>
        <v>1</v>
      </c>
      <c r="M1037" s="7" t="str">
        <f t="shared" ca="1" si="97"/>
        <v/>
      </c>
      <c r="N1037" s="6" t="str">
        <f t="shared" ca="1" si="98"/>
        <v/>
      </c>
      <c r="O1037" s="6">
        <f t="shared" si="99"/>
        <v>-0.60000000000002274</v>
      </c>
      <c r="Q1037" s="6">
        <v>50.049999999999983</v>
      </c>
      <c r="R1037" s="9">
        <f t="shared" si="100"/>
        <v>18768.749999999993</v>
      </c>
      <c r="S1037" s="7">
        <f t="shared" si="95"/>
        <v>-14118.750000000022</v>
      </c>
    </row>
    <row r="1038" spans="1:19" x14ac:dyDescent="0.25">
      <c r="A1038" s="4">
        <f>Sheet1!A1038</f>
        <v>40590</v>
      </c>
      <c r="B1038" s="5">
        <f>Sheet1!B1038</f>
        <v>0.58333333333333337</v>
      </c>
      <c r="C1038" s="6">
        <f>Sheet1!C1038</f>
        <v>291.8</v>
      </c>
      <c r="D1038" s="6">
        <f>Sheet1!D1038</f>
        <v>295.89999999999998</v>
      </c>
      <c r="E1038" s="6">
        <f>Sheet1!E1038</f>
        <v>289.10000000000002</v>
      </c>
      <c r="F1038" s="6">
        <f>Sheet1!F1038</f>
        <v>292.89999999999998</v>
      </c>
      <c r="H1038" s="6">
        <f ca="1">IF(ROW($H1038)-1&lt;$I$1,$F1038,AVERAGE($F1038:OFFSET($F1038,(($I$1-1)*-1),0)))</f>
        <v>290.14166666666665</v>
      </c>
      <c r="J1038" s="6">
        <f ca="1">IF(ROW($J1038)-1&lt;$K$1,$F1038,AVERAGE($F1038:OFFSET($F1038,(($K$1-1)*-1),0)))</f>
        <v>277.10535714285709</v>
      </c>
      <c r="L1038" s="7">
        <f t="shared" ca="1" si="96"/>
        <v>1</v>
      </c>
      <c r="M1038" s="7" t="str">
        <f t="shared" ca="1" si="97"/>
        <v/>
      </c>
      <c r="N1038" s="6" t="str">
        <f t="shared" ca="1" si="98"/>
        <v/>
      </c>
      <c r="O1038" s="6">
        <f t="shared" si="99"/>
        <v>0.5</v>
      </c>
      <c r="Q1038" s="6">
        <v>50.549999999999983</v>
      </c>
      <c r="R1038" s="9">
        <f t="shared" si="100"/>
        <v>18956.249999999993</v>
      </c>
      <c r="S1038" s="7">
        <f t="shared" si="95"/>
        <v>-14118.750000000022</v>
      </c>
    </row>
    <row r="1039" spans="1:19" x14ac:dyDescent="0.25">
      <c r="A1039" s="4">
        <f>Sheet1!A1039</f>
        <v>40591</v>
      </c>
      <c r="B1039" s="5">
        <f>Sheet1!B1039</f>
        <v>0.58333333333333337</v>
      </c>
      <c r="C1039" s="6">
        <f>Sheet1!C1039</f>
        <v>293</v>
      </c>
      <c r="D1039" s="6">
        <f>Sheet1!D1039</f>
        <v>300.8</v>
      </c>
      <c r="E1039" s="6">
        <f>Sheet1!E1039</f>
        <v>293</v>
      </c>
      <c r="F1039" s="6">
        <f>Sheet1!F1039</f>
        <v>300.14999999999998</v>
      </c>
      <c r="H1039" s="6">
        <f ca="1">IF(ROW($H1039)-1&lt;$I$1,$F1039,AVERAGE($F1039:OFFSET($F1039,(($I$1-1)*-1),0)))</f>
        <v>292.30833333333334</v>
      </c>
      <c r="J1039" s="6">
        <f ca="1">IF(ROW($J1039)-1&lt;$K$1,$F1039,AVERAGE($F1039:OFFSET($F1039,(($K$1-1)*-1),0)))</f>
        <v>278.38749999999993</v>
      </c>
      <c r="L1039" s="7">
        <f t="shared" ca="1" si="96"/>
        <v>1</v>
      </c>
      <c r="M1039" s="7" t="str">
        <f t="shared" ca="1" si="97"/>
        <v/>
      </c>
      <c r="N1039" s="6" t="str">
        <f t="shared" ca="1" si="98"/>
        <v/>
      </c>
      <c r="O1039" s="6">
        <f t="shared" si="99"/>
        <v>7.25</v>
      </c>
      <c r="Q1039" s="6">
        <v>57.799999999999983</v>
      </c>
      <c r="R1039" s="9">
        <f t="shared" si="100"/>
        <v>21674.999999999993</v>
      </c>
      <c r="S1039" s="7">
        <f t="shared" si="95"/>
        <v>-14118.750000000022</v>
      </c>
    </row>
    <row r="1040" spans="1:19" x14ac:dyDescent="0.25">
      <c r="A1040" s="4">
        <f>Sheet1!A1040</f>
        <v>40592</v>
      </c>
      <c r="B1040" s="5">
        <f>Sheet1!B1040</f>
        <v>0.58333333333333337</v>
      </c>
      <c r="C1040" s="6">
        <f>Sheet1!C1040</f>
        <v>300.45</v>
      </c>
      <c r="D1040" s="6">
        <f>Sheet1!D1040</f>
        <v>307.2</v>
      </c>
      <c r="E1040" s="6">
        <f>Sheet1!E1040</f>
        <v>298.8</v>
      </c>
      <c r="F1040" s="6">
        <f>Sheet1!F1040</f>
        <v>304.3</v>
      </c>
      <c r="H1040" s="6">
        <f ca="1">IF(ROW($H1040)-1&lt;$I$1,$F1040,AVERAGE($F1040:OFFSET($F1040,(($I$1-1)*-1),0)))</f>
        <v>294.83333333333331</v>
      </c>
      <c r="J1040" s="6">
        <f ca="1">IF(ROW($J1040)-1&lt;$K$1,$F1040,AVERAGE($F1040:OFFSET($F1040,(($K$1-1)*-1),0)))</f>
        <v>279.79821428571421</v>
      </c>
      <c r="L1040" s="7">
        <f t="shared" ca="1" si="96"/>
        <v>1</v>
      </c>
      <c r="M1040" s="7" t="str">
        <f t="shared" ca="1" si="97"/>
        <v/>
      </c>
      <c r="N1040" s="6" t="str">
        <f t="shared" ca="1" si="98"/>
        <v/>
      </c>
      <c r="O1040" s="6">
        <f t="shared" si="99"/>
        <v>4.1500000000000341</v>
      </c>
      <c r="Q1040" s="6">
        <v>61.950000000000017</v>
      </c>
      <c r="R1040" s="9">
        <f t="shared" si="100"/>
        <v>23231.250000000007</v>
      </c>
      <c r="S1040" s="7">
        <f t="shared" ref="S1040:S1103" si="101">S1039+(P1040*375)</f>
        <v>-14118.750000000022</v>
      </c>
    </row>
    <row r="1041" spans="1:19" x14ac:dyDescent="0.25">
      <c r="A1041" s="4">
        <f>Sheet1!A1041</f>
        <v>40595</v>
      </c>
      <c r="B1041" s="5">
        <f>Sheet1!B1041</f>
        <v>0.58333333333333337</v>
      </c>
      <c r="C1041" s="6">
        <f>Sheet1!C1041</f>
        <v>304.3</v>
      </c>
      <c r="D1041" s="6">
        <f>Sheet1!D1041</f>
        <v>304.3</v>
      </c>
      <c r="E1041" s="6">
        <f>Sheet1!E1041</f>
        <v>304.3</v>
      </c>
      <c r="F1041" s="6">
        <f>Sheet1!F1041</f>
        <v>304.3</v>
      </c>
      <c r="H1041" s="6">
        <f ca="1">IF(ROW($H1041)-1&lt;$I$1,$F1041,AVERAGE($F1041:OFFSET($F1041,(($I$1-1)*-1),0)))</f>
        <v>297.84166666666664</v>
      </c>
      <c r="J1041" s="6">
        <f ca="1">IF(ROW($J1041)-1&lt;$K$1,$F1041,AVERAGE($F1041:OFFSET($F1041,(($K$1-1)*-1),0)))</f>
        <v>281.08571428571423</v>
      </c>
      <c r="L1041" s="7">
        <f t="shared" ca="1" si="96"/>
        <v>1</v>
      </c>
      <c r="M1041" s="7" t="str">
        <f t="shared" ca="1" si="97"/>
        <v/>
      </c>
      <c r="N1041" s="6" t="str">
        <f t="shared" ca="1" si="98"/>
        <v/>
      </c>
      <c r="O1041" s="6">
        <f t="shared" si="99"/>
        <v>0</v>
      </c>
      <c r="Q1041" s="6">
        <v>61.950000000000017</v>
      </c>
      <c r="R1041" s="9">
        <f t="shared" si="100"/>
        <v>23231.250000000007</v>
      </c>
      <c r="S1041" s="7">
        <f t="shared" si="101"/>
        <v>-14118.750000000022</v>
      </c>
    </row>
    <row r="1042" spans="1:19" x14ac:dyDescent="0.25">
      <c r="A1042" s="4">
        <f>Sheet1!A1042</f>
        <v>40596</v>
      </c>
      <c r="B1042" s="5">
        <f>Sheet1!B1042</f>
        <v>0.58333333333333337</v>
      </c>
      <c r="C1042" s="6">
        <f>Sheet1!C1042</f>
        <v>304.3</v>
      </c>
      <c r="D1042" s="6">
        <f>Sheet1!D1042</f>
        <v>309.7</v>
      </c>
      <c r="E1042" s="6">
        <f>Sheet1!E1042</f>
        <v>301.64999999999998</v>
      </c>
      <c r="F1042" s="6">
        <f>Sheet1!F1042</f>
        <v>305.64999999999998</v>
      </c>
      <c r="H1042" s="6">
        <f ca="1">IF(ROW($H1042)-1&lt;$I$1,$F1042,AVERAGE($F1042:OFFSET($F1042,(($I$1-1)*-1),0)))</f>
        <v>299.95</v>
      </c>
      <c r="J1042" s="6">
        <f ca="1">IF(ROW($J1042)-1&lt;$K$1,$F1042,AVERAGE($F1042:OFFSET($F1042,(($K$1-1)*-1),0)))</f>
        <v>282.21071428571423</v>
      </c>
      <c r="L1042" s="7">
        <f t="shared" ca="1" si="96"/>
        <v>1</v>
      </c>
      <c r="M1042" s="7" t="str">
        <f t="shared" ca="1" si="97"/>
        <v/>
      </c>
      <c r="N1042" s="6" t="str">
        <f t="shared" ca="1" si="98"/>
        <v/>
      </c>
      <c r="O1042" s="6">
        <f t="shared" si="99"/>
        <v>1.3499999999999659</v>
      </c>
      <c r="Q1042" s="6">
        <v>63.299999999999983</v>
      </c>
      <c r="R1042" s="9">
        <f t="shared" si="100"/>
        <v>23737.499999999993</v>
      </c>
      <c r="S1042" s="7">
        <f t="shared" si="101"/>
        <v>-14118.750000000022</v>
      </c>
    </row>
    <row r="1043" spans="1:19" x14ac:dyDescent="0.25">
      <c r="A1043" s="4">
        <f>Sheet1!A1043</f>
        <v>40597</v>
      </c>
      <c r="B1043" s="5">
        <f>Sheet1!B1043</f>
        <v>0.58333333333333337</v>
      </c>
      <c r="C1043" s="6">
        <f>Sheet1!C1043</f>
        <v>306.10000000000002</v>
      </c>
      <c r="D1043" s="6">
        <f>Sheet1!D1043</f>
        <v>307.25</v>
      </c>
      <c r="E1043" s="6">
        <f>Sheet1!E1043</f>
        <v>299.64999999999998</v>
      </c>
      <c r="F1043" s="6">
        <f>Sheet1!F1043</f>
        <v>300.75</v>
      </c>
      <c r="H1043" s="6">
        <f ca="1">IF(ROW($H1043)-1&lt;$I$1,$F1043,AVERAGE($F1043:OFFSET($F1043,(($I$1-1)*-1),0)))</f>
        <v>301.34166666666664</v>
      </c>
      <c r="J1043" s="6">
        <f ca="1">IF(ROW($J1043)-1&lt;$K$1,$F1043,AVERAGE($F1043:OFFSET($F1043,(($K$1-1)*-1),0)))</f>
        <v>283.27142857142849</v>
      </c>
      <c r="L1043" s="7">
        <f t="shared" ca="1" si="96"/>
        <v>1</v>
      </c>
      <c r="M1043" s="7" t="str">
        <f t="shared" ca="1" si="97"/>
        <v/>
      </c>
      <c r="N1043" s="6" t="str">
        <f t="shared" ca="1" si="98"/>
        <v/>
      </c>
      <c r="O1043" s="6">
        <f t="shared" si="99"/>
        <v>-4.8999999999999773</v>
      </c>
      <c r="Q1043" s="6">
        <v>58.400000000000006</v>
      </c>
      <c r="R1043" s="9">
        <f t="shared" si="100"/>
        <v>21900.000000000004</v>
      </c>
      <c r="S1043" s="7">
        <f t="shared" si="101"/>
        <v>-14118.750000000022</v>
      </c>
    </row>
    <row r="1044" spans="1:19" x14ac:dyDescent="0.25">
      <c r="A1044" s="4">
        <f>Sheet1!A1044</f>
        <v>40598</v>
      </c>
      <c r="B1044" s="5">
        <f>Sheet1!B1044</f>
        <v>0.58333333333333337</v>
      </c>
      <c r="C1044" s="6">
        <f>Sheet1!C1044</f>
        <v>300.89999999999998</v>
      </c>
      <c r="D1044" s="6">
        <f>Sheet1!D1044</f>
        <v>301.8</v>
      </c>
      <c r="E1044" s="6">
        <f>Sheet1!E1044</f>
        <v>293.39999999999998</v>
      </c>
      <c r="F1044" s="6">
        <f>Sheet1!F1044</f>
        <v>295.95</v>
      </c>
      <c r="H1044" s="6">
        <f ca="1">IF(ROW($H1044)-1&lt;$I$1,$F1044,AVERAGE($F1044:OFFSET($F1044,(($I$1-1)*-1),0)))</f>
        <v>301.85000000000002</v>
      </c>
      <c r="J1044" s="6">
        <f ca="1">IF(ROW($J1044)-1&lt;$K$1,$F1044,AVERAGE($F1044:OFFSET($F1044,(($K$1-1)*-1),0)))</f>
        <v>284.26428571428562</v>
      </c>
      <c r="L1044" s="7">
        <f t="shared" ca="1" si="96"/>
        <v>1</v>
      </c>
      <c r="M1044" s="7" t="str">
        <f t="shared" ca="1" si="97"/>
        <v/>
      </c>
      <c r="N1044" s="6" t="str">
        <f t="shared" ca="1" si="98"/>
        <v/>
      </c>
      <c r="O1044" s="6">
        <f t="shared" si="99"/>
        <v>-4.8000000000000114</v>
      </c>
      <c r="Q1044" s="6">
        <v>53.599999999999994</v>
      </c>
      <c r="R1044" s="9">
        <f t="shared" si="100"/>
        <v>20099.999999999996</v>
      </c>
      <c r="S1044" s="7">
        <f t="shared" si="101"/>
        <v>-14118.750000000022</v>
      </c>
    </row>
    <row r="1045" spans="1:19" x14ac:dyDescent="0.25">
      <c r="A1045" s="4">
        <f>Sheet1!A1045</f>
        <v>40599</v>
      </c>
      <c r="B1045" s="5">
        <f>Sheet1!B1045</f>
        <v>0.58333333333333337</v>
      </c>
      <c r="C1045" s="6">
        <f>Sheet1!C1045</f>
        <v>296.25</v>
      </c>
      <c r="D1045" s="6">
        <f>Sheet1!D1045</f>
        <v>300.3</v>
      </c>
      <c r="E1045" s="6">
        <f>Sheet1!E1045</f>
        <v>295.85000000000002</v>
      </c>
      <c r="F1045" s="6">
        <f>Sheet1!F1045</f>
        <v>299.10000000000002</v>
      </c>
      <c r="H1045" s="6">
        <f ca="1">IF(ROW($H1045)-1&lt;$I$1,$F1045,AVERAGE($F1045:OFFSET($F1045,(($I$1-1)*-1),0)))</f>
        <v>301.67500000000001</v>
      </c>
      <c r="J1045" s="6">
        <f ca="1">IF(ROW($J1045)-1&lt;$K$1,$F1045,AVERAGE($F1045:OFFSET($F1045,(($K$1-1)*-1),0)))</f>
        <v>285.3428571428571</v>
      </c>
      <c r="L1045" s="7">
        <f t="shared" ca="1" si="96"/>
        <v>1</v>
      </c>
      <c r="M1045" s="7" t="str">
        <f t="shared" ca="1" si="97"/>
        <v/>
      </c>
      <c r="N1045" s="6" t="str">
        <f t="shared" ca="1" si="98"/>
        <v/>
      </c>
      <c r="O1045" s="6">
        <f t="shared" si="99"/>
        <v>3.1500000000000341</v>
      </c>
      <c r="Q1045" s="6">
        <v>56.750000000000028</v>
      </c>
      <c r="R1045" s="9">
        <f t="shared" si="100"/>
        <v>21281.250000000011</v>
      </c>
      <c r="S1045" s="7">
        <f t="shared" si="101"/>
        <v>-14118.750000000022</v>
      </c>
    </row>
    <row r="1046" spans="1:19" x14ac:dyDescent="0.25">
      <c r="A1046" s="4">
        <f>Sheet1!A1046</f>
        <v>40602</v>
      </c>
      <c r="B1046" s="5">
        <f>Sheet1!B1046</f>
        <v>0.58333333333333337</v>
      </c>
      <c r="C1046" s="6">
        <f>Sheet1!C1046</f>
        <v>298.95</v>
      </c>
      <c r="D1046" s="6">
        <f>Sheet1!D1046</f>
        <v>307.10000000000002</v>
      </c>
      <c r="E1046" s="6">
        <f>Sheet1!E1046</f>
        <v>298.85000000000002</v>
      </c>
      <c r="F1046" s="6">
        <f>Sheet1!F1046</f>
        <v>303</v>
      </c>
      <c r="H1046" s="6">
        <f ca="1">IF(ROW($H1046)-1&lt;$I$1,$F1046,AVERAGE($F1046:OFFSET($F1046,(($I$1-1)*-1),0)))</f>
        <v>301.45833333333331</v>
      </c>
      <c r="J1046" s="6">
        <f ca="1">IF(ROW($J1046)-1&lt;$K$1,$F1046,AVERAGE($F1046:OFFSET($F1046,(($K$1-1)*-1),0)))</f>
        <v>286.66249999999997</v>
      </c>
      <c r="L1046" s="7">
        <f t="shared" ca="1" si="96"/>
        <v>1</v>
      </c>
      <c r="M1046" s="7" t="str">
        <f t="shared" ca="1" si="97"/>
        <v/>
      </c>
      <c r="N1046" s="6" t="str">
        <f t="shared" ca="1" si="98"/>
        <v/>
      </c>
      <c r="O1046" s="6">
        <f t="shared" si="99"/>
        <v>3.8999999999999773</v>
      </c>
      <c r="Q1046" s="6">
        <v>60.650000000000006</v>
      </c>
      <c r="R1046" s="9">
        <f t="shared" si="100"/>
        <v>22743.750000000004</v>
      </c>
      <c r="S1046" s="7">
        <f t="shared" si="101"/>
        <v>-14118.750000000022</v>
      </c>
    </row>
    <row r="1047" spans="1:19" x14ac:dyDescent="0.25">
      <c r="A1047" s="4">
        <f>Sheet1!A1047</f>
        <v>40603</v>
      </c>
      <c r="B1047" s="5">
        <f>Sheet1!B1047</f>
        <v>0.58333333333333337</v>
      </c>
      <c r="C1047" s="6">
        <f>Sheet1!C1047</f>
        <v>303.2</v>
      </c>
      <c r="D1047" s="6">
        <f>Sheet1!D1047</f>
        <v>306.39999999999998</v>
      </c>
      <c r="E1047" s="6">
        <f>Sheet1!E1047</f>
        <v>296.85000000000002</v>
      </c>
      <c r="F1047" s="6">
        <f>Sheet1!F1047</f>
        <v>300.60000000000002</v>
      </c>
      <c r="H1047" s="6">
        <f ca="1">IF(ROW($H1047)-1&lt;$I$1,$F1047,AVERAGE($F1047:OFFSET($F1047,(($I$1-1)*-1),0)))</f>
        <v>300.84166666666664</v>
      </c>
      <c r="J1047" s="6">
        <f ca="1">IF(ROW($J1047)-1&lt;$K$1,$F1047,AVERAGE($F1047:OFFSET($F1047,(($K$1-1)*-1),0)))</f>
        <v>287.92142857142852</v>
      </c>
      <c r="L1047" s="7">
        <f t="shared" ca="1" si="96"/>
        <v>1</v>
      </c>
      <c r="M1047" s="7" t="str">
        <f t="shared" ca="1" si="97"/>
        <v/>
      </c>
      <c r="N1047" s="6" t="str">
        <f t="shared" ca="1" si="98"/>
        <v/>
      </c>
      <c r="O1047" s="6">
        <f t="shared" si="99"/>
        <v>-2.3999999999999773</v>
      </c>
      <c r="Q1047" s="6">
        <v>58.250000000000028</v>
      </c>
      <c r="R1047" s="9">
        <f t="shared" si="100"/>
        <v>21843.750000000011</v>
      </c>
      <c r="S1047" s="7">
        <f t="shared" si="101"/>
        <v>-14118.750000000022</v>
      </c>
    </row>
    <row r="1048" spans="1:19" x14ac:dyDescent="0.25">
      <c r="A1048" s="4">
        <f>Sheet1!A1048</f>
        <v>40604</v>
      </c>
      <c r="B1048" s="5">
        <f>Sheet1!B1048</f>
        <v>0.58333333333333337</v>
      </c>
      <c r="C1048" s="6">
        <f>Sheet1!C1048</f>
        <v>300.10000000000002</v>
      </c>
      <c r="D1048" s="6">
        <f>Sheet1!D1048</f>
        <v>303.5</v>
      </c>
      <c r="E1048" s="6">
        <f>Sheet1!E1048</f>
        <v>297.39999999999998</v>
      </c>
      <c r="F1048" s="6">
        <f>Sheet1!F1048</f>
        <v>300.85000000000002</v>
      </c>
      <c r="H1048" s="6">
        <f ca="1">IF(ROW($H1048)-1&lt;$I$1,$F1048,AVERAGE($F1048:OFFSET($F1048,(($I$1-1)*-1),0)))</f>
        <v>300.04166666666669</v>
      </c>
      <c r="J1048" s="6">
        <f ca="1">IF(ROW($J1048)-1&lt;$K$1,$F1048,AVERAGE($F1048:OFFSET($F1048,(($K$1-1)*-1),0)))</f>
        <v>288.88214285714287</v>
      </c>
      <c r="L1048" s="7">
        <f t="shared" ca="1" si="96"/>
        <v>1</v>
      </c>
      <c r="M1048" s="7" t="str">
        <f t="shared" ca="1" si="97"/>
        <v/>
      </c>
      <c r="N1048" s="6" t="str">
        <f t="shared" ca="1" si="98"/>
        <v/>
      </c>
      <c r="O1048" s="6">
        <f t="shared" si="99"/>
        <v>0.25</v>
      </c>
      <c r="Q1048" s="6">
        <v>58.500000000000028</v>
      </c>
      <c r="R1048" s="9">
        <f t="shared" si="100"/>
        <v>21937.500000000011</v>
      </c>
      <c r="S1048" s="7">
        <f t="shared" si="101"/>
        <v>-14118.750000000022</v>
      </c>
    </row>
    <row r="1049" spans="1:19" x14ac:dyDescent="0.25">
      <c r="A1049" s="4">
        <f>Sheet1!A1049</f>
        <v>40605</v>
      </c>
      <c r="B1049" s="5">
        <f>Sheet1!B1049</f>
        <v>0.58333333333333337</v>
      </c>
      <c r="C1049" s="6">
        <f>Sheet1!C1049</f>
        <v>300.2</v>
      </c>
      <c r="D1049" s="6">
        <f>Sheet1!D1049</f>
        <v>308.05</v>
      </c>
      <c r="E1049" s="6">
        <f>Sheet1!E1049</f>
        <v>299.95</v>
      </c>
      <c r="F1049" s="6">
        <f>Sheet1!F1049</f>
        <v>306.05</v>
      </c>
      <c r="H1049" s="6">
        <f ca="1">IF(ROW($H1049)-1&lt;$I$1,$F1049,AVERAGE($F1049:OFFSET($F1049,(($I$1-1)*-1),0)))</f>
        <v>300.92500000000001</v>
      </c>
      <c r="J1049" s="6">
        <f ca="1">IF(ROW($J1049)-1&lt;$K$1,$F1049,AVERAGE($F1049:OFFSET($F1049,(($K$1-1)*-1),0)))</f>
        <v>290.13928571428573</v>
      </c>
      <c r="L1049" s="7">
        <f t="shared" ca="1" si="96"/>
        <v>1</v>
      </c>
      <c r="M1049" s="7" t="str">
        <f t="shared" ca="1" si="97"/>
        <v/>
      </c>
      <c r="N1049" s="6" t="str">
        <f t="shared" ca="1" si="98"/>
        <v/>
      </c>
      <c r="O1049" s="6">
        <f t="shared" si="99"/>
        <v>5.1999999999999886</v>
      </c>
      <c r="Q1049" s="6">
        <v>63.700000000000017</v>
      </c>
      <c r="R1049" s="9">
        <f t="shared" si="100"/>
        <v>23887.500000000007</v>
      </c>
      <c r="S1049" s="7">
        <f t="shared" si="101"/>
        <v>-14118.750000000022</v>
      </c>
    </row>
    <row r="1050" spans="1:19" x14ac:dyDescent="0.25">
      <c r="A1050" s="4">
        <f>Sheet1!A1050</f>
        <v>40606</v>
      </c>
      <c r="B1050" s="5">
        <f>Sheet1!B1050</f>
        <v>0.58333333333333337</v>
      </c>
      <c r="C1050" s="6">
        <f>Sheet1!C1050</f>
        <v>306.3</v>
      </c>
      <c r="D1050" s="6">
        <f>Sheet1!D1050</f>
        <v>310.5</v>
      </c>
      <c r="E1050" s="6">
        <f>Sheet1!E1050</f>
        <v>302.45</v>
      </c>
      <c r="F1050" s="6">
        <f>Sheet1!F1050</f>
        <v>304.10000000000002</v>
      </c>
      <c r="H1050" s="6">
        <f ca="1">IF(ROW($H1050)-1&lt;$I$1,$F1050,AVERAGE($F1050:OFFSET($F1050,(($I$1-1)*-1),0)))</f>
        <v>302.28333333333336</v>
      </c>
      <c r="J1050" s="6">
        <f ca="1">IF(ROW($J1050)-1&lt;$K$1,$F1050,AVERAGE($F1050:OFFSET($F1050,(($K$1-1)*-1),0)))</f>
        <v>291.54285714285714</v>
      </c>
      <c r="L1050" s="7">
        <f t="shared" ca="1" si="96"/>
        <v>1</v>
      </c>
      <c r="M1050" s="7" t="str">
        <f t="shared" ca="1" si="97"/>
        <v/>
      </c>
      <c r="N1050" s="6" t="str">
        <f t="shared" ca="1" si="98"/>
        <v/>
      </c>
      <c r="O1050" s="6">
        <f t="shared" si="99"/>
        <v>-1.9499999999999886</v>
      </c>
      <c r="Q1050" s="6">
        <v>61.750000000000028</v>
      </c>
      <c r="R1050" s="9">
        <f t="shared" si="100"/>
        <v>23156.250000000011</v>
      </c>
      <c r="S1050" s="7">
        <f t="shared" si="101"/>
        <v>-14118.750000000022</v>
      </c>
    </row>
    <row r="1051" spans="1:19" x14ac:dyDescent="0.25">
      <c r="A1051" s="4">
        <f>Sheet1!A1051</f>
        <v>40609</v>
      </c>
      <c r="B1051" s="5">
        <f>Sheet1!B1051</f>
        <v>0.58333333333333337</v>
      </c>
      <c r="C1051" s="6">
        <f>Sheet1!C1051</f>
        <v>305.10000000000002</v>
      </c>
      <c r="D1051" s="6">
        <f>Sheet1!D1051</f>
        <v>313.14999999999998</v>
      </c>
      <c r="E1051" s="6">
        <f>Sheet1!E1051</f>
        <v>305.10000000000002</v>
      </c>
      <c r="F1051" s="6">
        <f>Sheet1!F1051</f>
        <v>312.45</v>
      </c>
      <c r="H1051" s="6">
        <f ca="1">IF(ROW($H1051)-1&lt;$I$1,$F1051,AVERAGE($F1051:OFFSET($F1051,(($I$1-1)*-1),0)))</f>
        <v>304.50833333333333</v>
      </c>
      <c r="J1051" s="6">
        <f ca="1">IF(ROW($J1051)-1&lt;$K$1,$F1051,AVERAGE($F1051:OFFSET($F1051,(($K$1-1)*-1),0)))</f>
        <v>293.02142857142866</v>
      </c>
      <c r="L1051" s="7">
        <f t="shared" ca="1" si="96"/>
        <v>1</v>
      </c>
      <c r="M1051" s="7" t="str">
        <f t="shared" ca="1" si="97"/>
        <v/>
      </c>
      <c r="N1051" s="6" t="str">
        <f t="shared" ca="1" si="98"/>
        <v/>
      </c>
      <c r="O1051" s="6">
        <f t="shared" si="99"/>
        <v>8.3499999999999659</v>
      </c>
      <c r="Q1051" s="6">
        <v>70.099999999999994</v>
      </c>
      <c r="R1051" s="9">
        <f t="shared" si="100"/>
        <v>26287.499999999996</v>
      </c>
      <c r="S1051" s="7">
        <f t="shared" si="101"/>
        <v>-14118.750000000022</v>
      </c>
    </row>
    <row r="1052" spans="1:19" x14ac:dyDescent="0.25">
      <c r="A1052" s="4">
        <f>Sheet1!A1052</f>
        <v>40610</v>
      </c>
      <c r="B1052" s="5">
        <f>Sheet1!B1052</f>
        <v>0.58333333333333337</v>
      </c>
      <c r="C1052" s="6">
        <f>Sheet1!C1052</f>
        <v>313.7</v>
      </c>
      <c r="D1052" s="6">
        <f>Sheet1!D1052</f>
        <v>318.95</v>
      </c>
      <c r="E1052" s="6">
        <f>Sheet1!E1052</f>
        <v>312.60000000000002</v>
      </c>
      <c r="F1052" s="6">
        <f>Sheet1!F1052</f>
        <v>318.5</v>
      </c>
      <c r="H1052" s="6">
        <f ca="1">IF(ROW($H1052)-1&lt;$I$1,$F1052,AVERAGE($F1052:OFFSET($F1052,(($I$1-1)*-1),0)))</f>
        <v>307.09166666666664</v>
      </c>
      <c r="J1052" s="6">
        <f ca="1">IF(ROW($J1052)-1&lt;$K$1,$F1052,AVERAGE($F1052:OFFSET($F1052,(($K$1-1)*-1),0)))</f>
        <v>294.73571428571438</v>
      </c>
      <c r="L1052" s="7">
        <f t="shared" ca="1" si="96"/>
        <v>1</v>
      </c>
      <c r="M1052" s="7" t="str">
        <f t="shared" ca="1" si="97"/>
        <v/>
      </c>
      <c r="N1052" s="6" t="str">
        <f t="shared" ca="1" si="98"/>
        <v/>
      </c>
      <c r="O1052" s="6">
        <f t="shared" si="99"/>
        <v>6.0500000000000114</v>
      </c>
      <c r="Q1052" s="6">
        <v>76.150000000000006</v>
      </c>
      <c r="R1052" s="9">
        <f t="shared" si="100"/>
        <v>28556.250000000004</v>
      </c>
      <c r="S1052" s="7">
        <f t="shared" si="101"/>
        <v>-14118.750000000022</v>
      </c>
    </row>
    <row r="1053" spans="1:19" x14ac:dyDescent="0.25">
      <c r="A1053" s="4">
        <f>Sheet1!A1053</f>
        <v>40611</v>
      </c>
      <c r="B1053" s="5">
        <f>Sheet1!B1053</f>
        <v>0.58333333333333337</v>
      </c>
      <c r="C1053" s="6">
        <f>Sheet1!C1053</f>
        <v>318.85000000000002</v>
      </c>
      <c r="D1053" s="6">
        <f>Sheet1!D1053</f>
        <v>327.95</v>
      </c>
      <c r="E1053" s="6">
        <f>Sheet1!E1053</f>
        <v>318.64999999999998</v>
      </c>
      <c r="F1053" s="6">
        <f>Sheet1!F1053</f>
        <v>326.14999999999998</v>
      </c>
      <c r="H1053" s="6">
        <f ca="1">IF(ROW($H1053)-1&lt;$I$1,$F1053,AVERAGE($F1053:OFFSET($F1053,(($I$1-1)*-1),0)))</f>
        <v>311.34999999999997</v>
      </c>
      <c r="J1053" s="6">
        <f ca="1">IF(ROW($J1053)-1&lt;$K$1,$F1053,AVERAGE($F1053:OFFSET($F1053,(($K$1-1)*-1),0)))</f>
        <v>296.43571428571431</v>
      </c>
      <c r="L1053" s="7">
        <f t="shared" ca="1" si="96"/>
        <v>1</v>
      </c>
      <c r="M1053" s="7" t="str">
        <f t="shared" ca="1" si="97"/>
        <v/>
      </c>
      <c r="N1053" s="6" t="str">
        <f t="shared" ca="1" si="98"/>
        <v/>
      </c>
      <c r="O1053" s="6">
        <f t="shared" si="99"/>
        <v>7.6499999999999773</v>
      </c>
      <c r="Q1053" s="6">
        <v>83.799999999999983</v>
      </c>
      <c r="R1053" s="9">
        <f t="shared" si="100"/>
        <v>31424.999999999993</v>
      </c>
      <c r="S1053" s="7">
        <f t="shared" si="101"/>
        <v>-14118.750000000022</v>
      </c>
    </row>
    <row r="1054" spans="1:19" x14ac:dyDescent="0.25">
      <c r="A1054" s="4">
        <f>Sheet1!A1054</f>
        <v>40612</v>
      </c>
      <c r="B1054" s="5">
        <f>Sheet1!B1054</f>
        <v>0.58333333333333337</v>
      </c>
      <c r="C1054" s="6">
        <f>Sheet1!C1054</f>
        <v>326.39999999999998</v>
      </c>
      <c r="D1054" s="6">
        <f>Sheet1!D1054</f>
        <v>326.39999999999998</v>
      </c>
      <c r="E1054" s="6">
        <f>Sheet1!E1054</f>
        <v>309.95</v>
      </c>
      <c r="F1054" s="6">
        <f>Sheet1!F1054</f>
        <v>311.85000000000002</v>
      </c>
      <c r="H1054" s="6">
        <f ca="1">IF(ROW($H1054)-1&lt;$I$1,$F1054,AVERAGE($F1054:OFFSET($F1054,(($I$1-1)*-1),0)))</f>
        <v>313.18333333333334</v>
      </c>
      <c r="J1054" s="6">
        <f ca="1">IF(ROW($J1054)-1&lt;$K$1,$F1054,AVERAGE($F1054:OFFSET($F1054,(($K$1-1)*-1),0)))</f>
        <v>297.63214285714287</v>
      </c>
      <c r="L1054" s="7">
        <f t="shared" ca="1" si="96"/>
        <v>1</v>
      </c>
      <c r="M1054" s="7" t="str">
        <f t="shared" ca="1" si="97"/>
        <v/>
      </c>
      <c r="N1054" s="6" t="str">
        <f t="shared" ca="1" si="98"/>
        <v/>
      </c>
      <c r="O1054" s="6">
        <f t="shared" si="99"/>
        <v>-14.299999999999955</v>
      </c>
      <c r="Q1054" s="6">
        <v>69.500000000000028</v>
      </c>
      <c r="R1054" s="9">
        <f t="shared" si="100"/>
        <v>26062.500000000011</v>
      </c>
      <c r="S1054" s="7">
        <f t="shared" si="101"/>
        <v>-14118.750000000022</v>
      </c>
    </row>
    <row r="1055" spans="1:19" x14ac:dyDescent="0.25">
      <c r="A1055" s="4">
        <f>Sheet1!A1055</f>
        <v>40613</v>
      </c>
      <c r="B1055" s="5">
        <f>Sheet1!B1055</f>
        <v>0.58333333333333337</v>
      </c>
      <c r="C1055" s="6">
        <f>Sheet1!C1055</f>
        <v>312.2</v>
      </c>
      <c r="D1055" s="6">
        <f>Sheet1!D1055</f>
        <v>312.95</v>
      </c>
      <c r="E1055" s="6">
        <f>Sheet1!E1055</f>
        <v>303.5</v>
      </c>
      <c r="F1055" s="6">
        <f>Sheet1!F1055</f>
        <v>305.7</v>
      </c>
      <c r="H1055" s="6">
        <f ca="1">IF(ROW($H1055)-1&lt;$I$1,$F1055,AVERAGE($F1055:OFFSET($F1055,(($I$1-1)*-1),0)))</f>
        <v>313.12499999999994</v>
      </c>
      <c r="J1055" s="6">
        <f ca="1">IF(ROW($J1055)-1&lt;$K$1,$F1055,AVERAGE($F1055:OFFSET($F1055,(($K$1-1)*-1),0)))</f>
        <v>298.44464285714292</v>
      </c>
      <c r="L1055" s="7">
        <f t="shared" ca="1" si="96"/>
        <v>1</v>
      </c>
      <c r="M1055" s="7" t="str">
        <f t="shared" ca="1" si="97"/>
        <v/>
      </c>
      <c r="N1055" s="6" t="str">
        <f t="shared" ca="1" si="98"/>
        <v/>
      </c>
      <c r="O1055" s="6">
        <f t="shared" si="99"/>
        <v>-6.1500000000000341</v>
      </c>
      <c r="Q1055" s="6">
        <v>63.349999999999994</v>
      </c>
      <c r="R1055" s="9">
        <f t="shared" si="100"/>
        <v>23756.249999999996</v>
      </c>
      <c r="S1055" s="7">
        <f t="shared" si="101"/>
        <v>-14118.750000000022</v>
      </c>
    </row>
    <row r="1056" spans="1:19" x14ac:dyDescent="0.25">
      <c r="A1056" s="4">
        <f>Sheet1!A1056</f>
        <v>40616</v>
      </c>
      <c r="B1056" s="5">
        <f>Sheet1!B1056</f>
        <v>0.58333333333333337</v>
      </c>
      <c r="C1056" s="6">
        <f>Sheet1!C1056</f>
        <v>305.39999999999998</v>
      </c>
      <c r="D1056" s="6">
        <f>Sheet1!D1056</f>
        <v>307.7</v>
      </c>
      <c r="E1056" s="6">
        <f>Sheet1!E1056</f>
        <v>300.14999999999998</v>
      </c>
      <c r="F1056" s="6">
        <f>Sheet1!F1056</f>
        <v>304.60000000000002</v>
      </c>
      <c r="H1056" s="6">
        <f ca="1">IF(ROW($H1056)-1&lt;$I$1,$F1056,AVERAGE($F1056:OFFSET($F1056,(($I$1-1)*-1),0)))</f>
        <v>313.20833333333331</v>
      </c>
      <c r="J1056" s="6">
        <f ca="1">IF(ROW($J1056)-1&lt;$K$1,$F1056,AVERAGE($F1056:OFFSET($F1056,(($K$1-1)*-1),0)))</f>
        <v>299.18214285714294</v>
      </c>
      <c r="L1056" s="7">
        <f t="shared" ca="1" si="96"/>
        <v>1</v>
      </c>
      <c r="M1056" s="7" t="str">
        <f t="shared" ca="1" si="97"/>
        <v/>
      </c>
      <c r="N1056" s="6" t="str">
        <f t="shared" ca="1" si="98"/>
        <v/>
      </c>
      <c r="O1056" s="6">
        <f t="shared" si="99"/>
        <v>-1.0999999999999659</v>
      </c>
      <c r="Q1056" s="6">
        <v>62.250000000000028</v>
      </c>
      <c r="R1056" s="9">
        <f t="shared" si="100"/>
        <v>23343.750000000011</v>
      </c>
      <c r="S1056" s="7">
        <f t="shared" si="101"/>
        <v>-14118.750000000022</v>
      </c>
    </row>
    <row r="1057" spans="1:19" x14ac:dyDescent="0.25">
      <c r="A1057" s="4">
        <f>Sheet1!A1057</f>
        <v>40617</v>
      </c>
      <c r="B1057" s="5">
        <f>Sheet1!B1057</f>
        <v>0.58333333333333337</v>
      </c>
      <c r="C1057" s="6">
        <f>Sheet1!C1057</f>
        <v>302.60000000000002</v>
      </c>
      <c r="D1057" s="6">
        <f>Sheet1!D1057</f>
        <v>304.55</v>
      </c>
      <c r="E1057" s="6">
        <f>Sheet1!E1057</f>
        <v>292.25</v>
      </c>
      <c r="F1057" s="6">
        <f>Sheet1!F1057</f>
        <v>294.25</v>
      </c>
      <c r="H1057" s="6">
        <f ca="1">IF(ROW($H1057)-1&lt;$I$1,$F1057,AVERAGE($F1057:OFFSET($F1057,(($I$1-1)*-1),0)))</f>
        <v>310.17500000000001</v>
      </c>
      <c r="J1057" s="6">
        <f ca="1">IF(ROW($J1057)-1&lt;$K$1,$F1057,AVERAGE($F1057:OFFSET($F1057,(($K$1-1)*-1),0)))</f>
        <v>299.51607142857154</v>
      </c>
      <c r="L1057" s="7">
        <f t="shared" ca="1" si="96"/>
        <v>1</v>
      </c>
      <c r="M1057" s="7" t="str">
        <f t="shared" ca="1" si="97"/>
        <v/>
      </c>
      <c r="N1057" s="6" t="str">
        <f t="shared" ca="1" si="98"/>
        <v/>
      </c>
      <c r="O1057" s="6">
        <f t="shared" si="99"/>
        <v>-10.350000000000023</v>
      </c>
      <c r="Q1057" s="6">
        <v>51.900000000000006</v>
      </c>
      <c r="R1057" s="9">
        <f t="shared" si="100"/>
        <v>19462.500000000004</v>
      </c>
      <c r="S1057" s="7">
        <f t="shared" si="101"/>
        <v>-14118.750000000022</v>
      </c>
    </row>
    <row r="1058" spans="1:19" x14ac:dyDescent="0.25">
      <c r="A1058" s="4">
        <f>Sheet1!A1058</f>
        <v>40618</v>
      </c>
      <c r="B1058" s="5">
        <f>Sheet1!B1058</f>
        <v>0.58333333333333337</v>
      </c>
      <c r="C1058" s="6">
        <f>Sheet1!C1058</f>
        <v>295.10000000000002</v>
      </c>
      <c r="D1058" s="6">
        <f>Sheet1!D1058</f>
        <v>304.3</v>
      </c>
      <c r="E1058" s="6">
        <f>Sheet1!E1058</f>
        <v>294.89999999999998</v>
      </c>
      <c r="F1058" s="6">
        <f>Sheet1!F1058</f>
        <v>296.64999999999998</v>
      </c>
      <c r="H1058" s="6">
        <f ca="1">IF(ROW($H1058)-1&lt;$I$1,$F1058,AVERAGE($F1058:OFFSET($F1058,(($I$1-1)*-1),0)))</f>
        <v>306.53333333333336</v>
      </c>
      <c r="J1058" s="6">
        <f ca="1">IF(ROW($J1058)-1&lt;$K$1,$F1058,AVERAGE($F1058:OFFSET($F1058,(($K$1-1)*-1),0)))</f>
        <v>300.00892857142861</v>
      </c>
      <c r="L1058" s="7">
        <f t="shared" ca="1" si="96"/>
        <v>1</v>
      </c>
      <c r="M1058" s="7" t="str">
        <f t="shared" ca="1" si="97"/>
        <v/>
      </c>
      <c r="N1058" s="6" t="str">
        <f t="shared" ca="1" si="98"/>
        <v/>
      </c>
      <c r="O1058" s="6">
        <f t="shared" si="99"/>
        <v>2.3999999999999773</v>
      </c>
      <c r="Q1058" s="6">
        <v>54.299999999999983</v>
      </c>
      <c r="R1058" s="9">
        <f t="shared" si="100"/>
        <v>20362.499999999993</v>
      </c>
      <c r="S1058" s="7">
        <f t="shared" si="101"/>
        <v>-14118.750000000022</v>
      </c>
    </row>
    <row r="1059" spans="1:19" x14ac:dyDescent="0.25">
      <c r="A1059" s="4">
        <f>Sheet1!A1059</f>
        <v>40619</v>
      </c>
      <c r="B1059" s="5">
        <f>Sheet1!B1059</f>
        <v>0.58333333333333337</v>
      </c>
      <c r="C1059" s="6">
        <f>Sheet1!C1059</f>
        <v>297.3</v>
      </c>
      <c r="D1059" s="6">
        <f>Sheet1!D1059</f>
        <v>305.60000000000002</v>
      </c>
      <c r="E1059" s="6">
        <f>Sheet1!E1059</f>
        <v>297.10000000000002</v>
      </c>
      <c r="F1059" s="6">
        <f>Sheet1!F1059</f>
        <v>302.2</v>
      </c>
      <c r="H1059" s="6">
        <f ca="1">IF(ROW($H1059)-1&lt;$I$1,$F1059,AVERAGE($F1059:OFFSET($F1059,(($I$1-1)*-1),0)))</f>
        <v>302.54166666666669</v>
      </c>
      <c r="J1059" s="6">
        <f ca="1">IF(ROW($J1059)-1&lt;$K$1,$F1059,AVERAGE($F1059:OFFSET($F1059,(($K$1-1)*-1),0)))</f>
        <v>300.68392857142862</v>
      </c>
      <c r="L1059" s="7">
        <f t="shared" ca="1" si="96"/>
        <v>1</v>
      </c>
      <c r="M1059" s="7" t="str">
        <f t="shared" ca="1" si="97"/>
        <v/>
      </c>
      <c r="N1059" s="6" t="str">
        <f t="shared" ca="1" si="98"/>
        <v/>
      </c>
      <c r="O1059" s="6">
        <f t="shared" si="99"/>
        <v>5.5500000000000114</v>
      </c>
      <c r="Q1059" s="6">
        <v>59.849999999999994</v>
      </c>
      <c r="R1059" s="9">
        <f t="shared" si="100"/>
        <v>22443.749999999996</v>
      </c>
      <c r="S1059" s="7">
        <f t="shared" si="101"/>
        <v>-14118.750000000022</v>
      </c>
    </row>
    <row r="1060" spans="1:19" x14ac:dyDescent="0.25">
      <c r="A1060" s="4">
        <f>Sheet1!A1060</f>
        <v>40620</v>
      </c>
      <c r="B1060" s="5">
        <f>Sheet1!B1060</f>
        <v>0.58333333333333337</v>
      </c>
      <c r="C1060" s="6">
        <f>Sheet1!C1060</f>
        <v>304.3</v>
      </c>
      <c r="D1060" s="6">
        <f>Sheet1!D1060</f>
        <v>309.45</v>
      </c>
      <c r="E1060" s="6">
        <f>Sheet1!E1060</f>
        <v>303.7</v>
      </c>
      <c r="F1060" s="6">
        <f>Sheet1!F1060</f>
        <v>307.5</v>
      </c>
      <c r="H1060" s="6">
        <f ca="1">IF(ROW($H1060)-1&lt;$I$1,$F1060,AVERAGE($F1060:OFFSET($F1060,(($I$1-1)*-1),0)))</f>
        <v>301.81666666666666</v>
      </c>
      <c r="J1060" s="6">
        <f ca="1">IF(ROW($J1060)-1&lt;$K$1,$F1060,AVERAGE($F1060:OFFSET($F1060,(($K$1-1)*-1),0)))</f>
        <v>301.625</v>
      </c>
      <c r="L1060" s="7">
        <f t="shared" ca="1" si="96"/>
        <v>1</v>
      </c>
      <c r="M1060" s="7" t="str">
        <f t="shared" ca="1" si="97"/>
        <v/>
      </c>
      <c r="N1060" s="6" t="str">
        <f t="shared" ca="1" si="98"/>
        <v/>
      </c>
      <c r="O1060" s="6">
        <f t="shared" si="99"/>
        <v>5.3000000000000114</v>
      </c>
      <c r="Q1060" s="6">
        <v>65.150000000000006</v>
      </c>
      <c r="R1060" s="9">
        <f t="shared" si="100"/>
        <v>24431.250000000004</v>
      </c>
      <c r="S1060" s="7">
        <f t="shared" si="101"/>
        <v>-14118.750000000022</v>
      </c>
    </row>
    <row r="1061" spans="1:19" x14ac:dyDescent="0.25">
      <c r="A1061" s="4">
        <f>Sheet1!A1061</f>
        <v>40623</v>
      </c>
      <c r="B1061" s="5">
        <f>Sheet1!B1061</f>
        <v>0.58333333333333337</v>
      </c>
      <c r="C1061" s="6">
        <f>Sheet1!C1061</f>
        <v>309.2</v>
      </c>
      <c r="D1061" s="6">
        <f>Sheet1!D1061</f>
        <v>312.45</v>
      </c>
      <c r="E1061" s="6">
        <f>Sheet1!E1061</f>
        <v>306.8</v>
      </c>
      <c r="F1061" s="6">
        <f>Sheet1!F1061</f>
        <v>308.3</v>
      </c>
      <c r="H1061" s="6">
        <f ca="1">IF(ROW($H1061)-1&lt;$I$1,$F1061,AVERAGE($F1061:OFFSET($F1061,(($I$1-1)*-1),0)))</f>
        <v>302.25</v>
      </c>
      <c r="J1061" s="6">
        <f ca="1">IF(ROW($J1061)-1&lt;$K$1,$F1061,AVERAGE($F1061:OFFSET($F1061,(($K$1-1)*-1),0)))</f>
        <v>302.38035714285712</v>
      </c>
      <c r="L1061" s="7">
        <f t="shared" ca="1" si="96"/>
        <v>-1</v>
      </c>
      <c r="M1061" s="7">
        <f t="shared" ca="1" si="97"/>
        <v>-1</v>
      </c>
      <c r="N1061" s="6" t="str">
        <f t="shared" ca="1" si="98"/>
        <v/>
      </c>
      <c r="O1061" s="6">
        <f t="shared" si="99"/>
        <v>0.80000000000001137</v>
      </c>
      <c r="Q1061" s="6">
        <v>65.950000000000017</v>
      </c>
      <c r="R1061" s="9">
        <f t="shared" si="100"/>
        <v>24731.250000000007</v>
      </c>
      <c r="S1061" s="7">
        <f t="shared" si="101"/>
        <v>-14118.750000000022</v>
      </c>
    </row>
    <row r="1062" spans="1:19" x14ac:dyDescent="0.25">
      <c r="A1062" s="4">
        <f>Sheet1!A1062</f>
        <v>40624</v>
      </c>
      <c r="B1062" s="5">
        <f>Sheet1!B1062</f>
        <v>0.58333333333333337</v>
      </c>
      <c r="C1062" s="6">
        <f>Sheet1!C1062</f>
        <v>308.35000000000002</v>
      </c>
      <c r="D1062" s="6">
        <f>Sheet1!D1062</f>
        <v>309</v>
      </c>
      <c r="E1062" s="6">
        <f>Sheet1!E1062</f>
        <v>299.45</v>
      </c>
      <c r="F1062" s="6">
        <f>Sheet1!F1062</f>
        <v>304.75</v>
      </c>
      <c r="H1062" s="6">
        <f ca="1">IF(ROW($H1062)-1&lt;$I$1,$F1062,AVERAGE($F1062:OFFSET($F1062,(($I$1-1)*-1),0)))</f>
        <v>302.27499999999998</v>
      </c>
      <c r="J1062" s="6">
        <f ca="1">IF(ROW($J1062)-1&lt;$K$1,$F1062,AVERAGE($F1062:OFFSET($F1062,(($K$1-1)*-1),0)))</f>
        <v>302.9375</v>
      </c>
      <c r="L1062" s="7">
        <f t="shared" ca="1" si="96"/>
        <v>-1</v>
      </c>
      <c r="M1062" s="7" t="str">
        <f t="shared" ca="1" si="97"/>
        <v/>
      </c>
      <c r="N1062" s="6">
        <f t="shared" ca="1" si="98"/>
        <v>308.35000000000002</v>
      </c>
      <c r="O1062" s="6">
        <f t="shared" si="99"/>
        <v>-3.5500000000000114</v>
      </c>
      <c r="P1062" s="6">
        <v>66.000000000000028</v>
      </c>
      <c r="Q1062" s="6">
        <v>3.6000000000000227</v>
      </c>
      <c r="R1062" s="9">
        <f t="shared" si="100"/>
        <v>1350.0000000000086</v>
      </c>
      <c r="S1062" s="7">
        <f t="shared" si="101"/>
        <v>10631.249999999989</v>
      </c>
    </row>
    <row r="1063" spans="1:19" x14ac:dyDescent="0.25">
      <c r="A1063" s="4">
        <f>Sheet1!A1063</f>
        <v>40625</v>
      </c>
      <c r="B1063" s="5">
        <f>Sheet1!B1063</f>
        <v>0.58333333333333337</v>
      </c>
      <c r="C1063" s="6">
        <f>Sheet1!C1063</f>
        <v>305.55</v>
      </c>
      <c r="D1063" s="6">
        <f>Sheet1!D1063</f>
        <v>306.7</v>
      </c>
      <c r="E1063" s="6">
        <f>Sheet1!E1063</f>
        <v>299.7</v>
      </c>
      <c r="F1063" s="6">
        <f>Sheet1!F1063</f>
        <v>299.89999999999998</v>
      </c>
      <c r="H1063" s="6">
        <f ca="1">IF(ROW($H1063)-1&lt;$I$1,$F1063,AVERAGE($F1063:OFFSET($F1063,(($I$1-1)*-1),0)))</f>
        <v>303.21666666666664</v>
      </c>
      <c r="J1063" s="6">
        <f ca="1">IF(ROW($J1063)-1&lt;$K$1,$F1063,AVERAGE($F1063:OFFSET($F1063,(($K$1-1)*-1),0)))</f>
        <v>303.42500000000001</v>
      </c>
      <c r="L1063" s="7">
        <f t="shared" ca="1" si="96"/>
        <v>-1</v>
      </c>
      <c r="M1063" s="7" t="str">
        <f t="shared" ca="1" si="97"/>
        <v/>
      </c>
      <c r="N1063" s="6" t="str">
        <f t="shared" ca="1" si="98"/>
        <v/>
      </c>
      <c r="O1063" s="6">
        <f t="shared" si="99"/>
        <v>-4.8500000000000227</v>
      </c>
      <c r="Q1063" s="6">
        <v>8.4500000000000455</v>
      </c>
      <c r="R1063" s="9">
        <f t="shared" si="100"/>
        <v>3168.7500000000173</v>
      </c>
      <c r="S1063" s="7">
        <f t="shared" si="101"/>
        <v>10631.249999999989</v>
      </c>
    </row>
    <row r="1064" spans="1:19" x14ac:dyDescent="0.25">
      <c r="A1064" s="4">
        <f>Sheet1!A1064</f>
        <v>40626</v>
      </c>
      <c r="B1064" s="5">
        <f>Sheet1!B1064</f>
        <v>0.58333333333333337</v>
      </c>
      <c r="C1064" s="6">
        <f>Sheet1!C1064</f>
        <v>299.7</v>
      </c>
      <c r="D1064" s="6">
        <f>Sheet1!D1064</f>
        <v>300.25</v>
      </c>
      <c r="E1064" s="6">
        <f>Sheet1!E1064</f>
        <v>291.85000000000002</v>
      </c>
      <c r="F1064" s="6">
        <f>Sheet1!F1064</f>
        <v>297.10000000000002</v>
      </c>
      <c r="H1064" s="6">
        <f ca="1">IF(ROW($H1064)-1&lt;$I$1,$F1064,AVERAGE($F1064:OFFSET($F1064,(($I$1-1)*-1),0)))</f>
        <v>303.29166666666669</v>
      </c>
      <c r="J1064" s="6">
        <f ca="1">IF(ROW($J1064)-1&lt;$K$1,$F1064,AVERAGE($F1064:OFFSET($F1064,(($K$1-1)*-1),0)))</f>
        <v>303.57142857142856</v>
      </c>
      <c r="L1064" s="7">
        <f t="shared" ca="1" si="96"/>
        <v>-1</v>
      </c>
      <c r="M1064" s="7" t="str">
        <f t="shared" ca="1" si="97"/>
        <v/>
      </c>
      <c r="N1064" s="6" t="str">
        <f t="shared" ca="1" si="98"/>
        <v/>
      </c>
      <c r="O1064" s="6">
        <f t="shared" si="99"/>
        <v>-2.7999999999999545</v>
      </c>
      <c r="Q1064" s="6">
        <v>11.25</v>
      </c>
      <c r="R1064" s="9">
        <f t="shared" si="100"/>
        <v>4218.75</v>
      </c>
      <c r="S1064" s="7">
        <f t="shared" si="101"/>
        <v>10631.249999999989</v>
      </c>
    </row>
    <row r="1065" spans="1:19" x14ac:dyDescent="0.25">
      <c r="A1065" s="4">
        <f>Sheet1!A1065</f>
        <v>40627</v>
      </c>
      <c r="B1065" s="5">
        <f>Sheet1!B1065</f>
        <v>0.58333333333333337</v>
      </c>
      <c r="C1065" s="6">
        <f>Sheet1!C1065</f>
        <v>298.45</v>
      </c>
      <c r="D1065" s="6">
        <f>Sheet1!D1065</f>
        <v>301.3</v>
      </c>
      <c r="E1065" s="6">
        <f>Sheet1!E1065</f>
        <v>297.45</v>
      </c>
      <c r="F1065" s="6">
        <f>Sheet1!F1065</f>
        <v>300.89999999999998</v>
      </c>
      <c r="H1065" s="6">
        <f ca="1">IF(ROW($H1065)-1&lt;$I$1,$F1065,AVERAGE($F1065:OFFSET($F1065,(($I$1-1)*-1),0)))</f>
        <v>303.07499999999999</v>
      </c>
      <c r="J1065" s="6">
        <f ca="1">IF(ROW($J1065)-1&lt;$K$1,$F1065,AVERAGE($F1065:OFFSET($F1065,(($K$1-1)*-1),0)))</f>
        <v>303.87499999999994</v>
      </c>
      <c r="L1065" s="7">
        <f t="shared" ca="1" si="96"/>
        <v>-1</v>
      </c>
      <c r="M1065" s="7" t="str">
        <f t="shared" ca="1" si="97"/>
        <v/>
      </c>
      <c r="N1065" s="6" t="str">
        <f t="shared" ca="1" si="98"/>
        <v/>
      </c>
      <c r="O1065" s="6">
        <f t="shared" si="99"/>
        <v>3.7999999999999545</v>
      </c>
      <c r="Q1065" s="6">
        <v>7.4500000000000455</v>
      </c>
      <c r="R1065" s="9">
        <f t="shared" si="100"/>
        <v>2793.7500000000173</v>
      </c>
      <c r="S1065" s="7">
        <f t="shared" si="101"/>
        <v>10631.249999999989</v>
      </c>
    </row>
    <row r="1066" spans="1:19" x14ac:dyDescent="0.25">
      <c r="A1066" s="4">
        <f>Sheet1!A1066</f>
        <v>40630</v>
      </c>
      <c r="B1066" s="5">
        <f>Sheet1!B1066</f>
        <v>0.58333333333333337</v>
      </c>
      <c r="C1066" s="6">
        <f>Sheet1!C1066</f>
        <v>300.89999999999998</v>
      </c>
      <c r="D1066" s="6">
        <f>Sheet1!D1066</f>
        <v>301</v>
      </c>
      <c r="E1066" s="6">
        <f>Sheet1!E1066</f>
        <v>294.35000000000002</v>
      </c>
      <c r="F1066" s="6">
        <f>Sheet1!F1066</f>
        <v>295.60000000000002</v>
      </c>
      <c r="H1066" s="6">
        <f ca="1">IF(ROW($H1066)-1&lt;$I$1,$F1066,AVERAGE($F1066:OFFSET($F1066,(($I$1-1)*-1),0)))</f>
        <v>301.09166666666664</v>
      </c>
      <c r="J1066" s="6">
        <f ca="1">IF(ROW($J1066)-1&lt;$K$1,$F1066,AVERAGE($F1066:OFFSET($F1066,(($K$1-1)*-1),0)))</f>
        <v>303.97142857142859</v>
      </c>
      <c r="L1066" s="7">
        <f t="shared" ca="1" si="96"/>
        <v>-1</v>
      </c>
      <c r="M1066" s="7" t="str">
        <f t="shared" ca="1" si="97"/>
        <v/>
      </c>
      <c r="N1066" s="6" t="str">
        <f t="shared" ca="1" si="98"/>
        <v/>
      </c>
      <c r="O1066" s="6">
        <f t="shared" si="99"/>
        <v>-5.2999999999999545</v>
      </c>
      <c r="Q1066" s="6">
        <v>12.75</v>
      </c>
      <c r="R1066" s="9">
        <f t="shared" si="100"/>
        <v>4781.25</v>
      </c>
      <c r="S1066" s="7">
        <f t="shared" si="101"/>
        <v>10631.249999999989</v>
      </c>
    </row>
    <row r="1067" spans="1:19" x14ac:dyDescent="0.25">
      <c r="A1067" s="4">
        <f>Sheet1!A1067</f>
        <v>40631</v>
      </c>
      <c r="B1067" s="5">
        <f>Sheet1!B1067</f>
        <v>0.58333333333333337</v>
      </c>
      <c r="C1067" s="6">
        <f>Sheet1!C1067</f>
        <v>295.25</v>
      </c>
      <c r="D1067" s="6">
        <f>Sheet1!D1067</f>
        <v>295.3</v>
      </c>
      <c r="E1067" s="6">
        <f>Sheet1!E1067</f>
        <v>289.10000000000002</v>
      </c>
      <c r="F1067" s="6">
        <f>Sheet1!F1067</f>
        <v>293.55</v>
      </c>
      <c r="H1067" s="6">
        <f ca="1">IF(ROW($H1067)-1&lt;$I$1,$F1067,AVERAGE($F1067:OFFSET($F1067,(($I$1-1)*-1),0)))</f>
        <v>298.63333333333333</v>
      </c>
      <c r="J1067" s="6">
        <f ca="1">IF(ROW($J1067)-1&lt;$K$1,$F1067,AVERAGE($F1067:OFFSET($F1067,(($K$1-1)*-1),0)))</f>
        <v>303.73571428571421</v>
      </c>
      <c r="L1067" s="7">
        <f t="shared" ca="1" si="96"/>
        <v>-1</v>
      </c>
      <c r="M1067" s="7" t="str">
        <f t="shared" ca="1" si="97"/>
        <v/>
      </c>
      <c r="N1067" s="6" t="str">
        <f t="shared" ca="1" si="98"/>
        <v/>
      </c>
      <c r="O1067" s="6">
        <f t="shared" si="99"/>
        <v>-2.0500000000000114</v>
      </c>
      <c r="Q1067" s="6">
        <v>14.800000000000011</v>
      </c>
      <c r="R1067" s="9">
        <f t="shared" si="100"/>
        <v>5550.0000000000045</v>
      </c>
      <c r="S1067" s="7">
        <f t="shared" si="101"/>
        <v>10631.249999999989</v>
      </c>
    </row>
    <row r="1068" spans="1:19" x14ac:dyDescent="0.25">
      <c r="A1068" s="4">
        <f>Sheet1!A1068</f>
        <v>40632</v>
      </c>
      <c r="B1068" s="5">
        <f>Sheet1!B1068</f>
        <v>0.58333333333333337</v>
      </c>
      <c r="C1068" s="6">
        <f>Sheet1!C1068</f>
        <v>293.8</v>
      </c>
      <c r="D1068" s="6">
        <f>Sheet1!D1068</f>
        <v>297</v>
      </c>
      <c r="E1068" s="6">
        <f>Sheet1!E1068</f>
        <v>290.39999999999998</v>
      </c>
      <c r="F1068" s="6">
        <f>Sheet1!F1068</f>
        <v>296.45</v>
      </c>
      <c r="H1068" s="6">
        <f ca="1">IF(ROW($H1068)-1&lt;$I$1,$F1068,AVERAGE($F1068:OFFSET($F1068,(($I$1-1)*-1),0)))</f>
        <v>297.25</v>
      </c>
      <c r="J1068" s="6">
        <f ca="1">IF(ROW($J1068)-1&lt;$K$1,$F1068,AVERAGE($F1068:OFFSET($F1068,(($K$1-1)*-1),0)))</f>
        <v>303.45535714285717</v>
      </c>
      <c r="L1068" s="7">
        <f t="shared" ca="1" si="96"/>
        <v>-1</v>
      </c>
      <c r="M1068" s="7" t="str">
        <f t="shared" ca="1" si="97"/>
        <v/>
      </c>
      <c r="N1068" s="6" t="str">
        <f t="shared" ca="1" si="98"/>
        <v/>
      </c>
      <c r="O1068" s="6">
        <f t="shared" si="99"/>
        <v>2.8999999999999773</v>
      </c>
      <c r="Q1068" s="6">
        <v>11.900000000000034</v>
      </c>
      <c r="R1068" s="9">
        <f t="shared" si="100"/>
        <v>4462.5000000000127</v>
      </c>
      <c r="S1068" s="7">
        <f t="shared" si="101"/>
        <v>10631.249999999989</v>
      </c>
    </row>
    <row r="1069" spans="1:19" x14ac:dyDescent="0.25">
      <c r="A1069" s="4">
        <f>Sheet1!A1069</f>
        <v>40633</v>
      </c>
      <c r="B1069" s="5">
        <f>Sheet1!B1069</f>
        <v>0.58333333333333337</v>
      </c>
      <c r="C1069" s="6">
        <f>Sheet1!C1069</f>
        <v>296.7</v>
      </c>
      <c r="D1069" s="6">
        <f>Sheet1!D1069</f>
        <v>298.7</v>
      </c>
      <c r="E1069" s="6">
        <f>Sheet1!E1069</f>
        <v>293.35000000000002</v>
      </c>
      <c r="F1069" s="6">
        <f>Sheet1!F1069</f>
        <v>295.45</v>
      </c>
      <c r="H1069" s="6">
        <f ca="1">IF(ROW($H1069)-1&lt;$I$1,$F1069,AVERAGE($F1069:OFFSET($F1069,(($I$1-1)*-1),0)))</f>
        <v>296.50833333333338</v>
      </c>
      <c r="J1069" s="6">
        <f ca="1">IF(ROW($J1069)-1&lt;$K$1,$F1069,AVERAGE($F1069:OFFSET($F1069,(($K$1-1)*-1),0)))</f>
        <v>303.13928571428579</v>
      </c>
      <c r="L1069" s="7">
        <f t="shared" ca="1" si="96"/>
        <v>-1</v>
      </c>
      <c r="M1069" s="7" t="str">
        <f t="shared" ca="1" si="97"/>
        <v/>
      </c>
      <c r="N1069" s="6" t="str">
        <f t="shared" ca="1" si="98"/>
        <v/>
      </c>
      <c r="O1069" s="6">
        <f t="shared" si="99"/>
        <v>-1</v>
      </c>
      <c r="Q1069" s="6">
        <v>12.900000000000034</v>
      </c>
      <c r="R1069" s="9">
        <f t="shared" si="100"/>
        <v>4837.5000000000127</v>
      </c>
      <c r="S1069" s="7">
        <f t="shared" si="101"/>
        <v>10631.249999999989</v>
      </c>
    </row>
    <row r="1070" spans="1:19" x14ac:dyDescent="0.25">
      <c r="A1070" s="4">
        <f>Sheet1!A1070</f>
        <v>40634</v>
      </c>
      <c r="B1070" s="5">
        <f>Sheet1!B1070</f>
        <v>0.58333333333333337</v>
      </c>
      <c r="C1070" s="6">
        <f>Sheet1!C1070</f>
        <v>296.8</v>
      </c>
      <c r="D1070" s="6">
        <f>Sheet1!D1070</f>
        <v>297.55</v>
      </c>
      <c r="E1070" s="6">
        <f>Sheet1!E1070</f>
        <v>290.10000000000002</v>
      </c>
      <c r="F1070" s="6">
        <f>Sheet1!F1070</f>
        <v>291.75</v>
      </c>
      <c r="H1070" s="6">
        <f ca="1">IF(ROW($H1070)-1&lt;$I$1,$F1070,AVERAGE($F1070:OFFSET($F1070,(($I$1-1)*-1),0)))</f>
        <v>295.61666666666667</v>
      </c>
      <c r="J1070" s="6">
        <f ca="1">IF(ROW($J1070)-1&lt;$K$1,$F1070,AVERAGE($F1070:OFFSET($F1070,(($K$1-1)*-1),0)))</f>
        <v>302.64285714285717</v>
      </c>
      <c r="L1070" s="7">
        <f t="shared" ca="1" si="96"/>
        <v>-1</v>
      </c>
      <c r="M1070" s="7" t="str">
        <f t="shared" ca="1" si="97"/>
        <v/>
      </c>
      <c r="N1070" s="6" t="str">
        <f t="shared" ca="1" si="98"/>
        <v/>
      </c>
      <c r="O1070" s="6">
        <f t="shared" si="99"/>
        <v>-3.6999999999999886</v>
      </c>
      <c r="Q1070" s="6">
        <v>16.600000000000023</v>
      </c>
      <c r="R1070" s="9">
        <f t="shared" si="100"/>
        <v>6225.0000000000082</v>
      </c>
      <c r="S1070" s="7">
        <f t="shared" si="101"/>
        <v>10631.249999999989</v>
      </c>
    </row>
    <row r="1071" spans="1:19" x14ac:dyDescent="0.25">
      <c r="A1071" s="4">
        <f>Sheet1!A1071</f>
        <v>40637</v>
      </c>
      <c r="B1071" s="5">
        <f>Sheet1!B1071</f>
        <v>0.58333333333333337</v>
      </c>
      <c r="C1071" s="6">
        <f>Sheet1!C1071</f>
        <v>291.35000000000002</v>
      </c>
      <c r="D1071" s="6">
        <f>Sheet1!D1071</f>
        <v>292.3</v>
      </c>
      <c r="E1071" s="6">
        <f>Sheet1!E1071</f>
        <v>286.95</v>
      </c>
      <c r="F1071" s="6">
        <f>Sheet1!F1071</f>
        <v>287.5</v>
      </c>
      <c r="H1071" s="6">
        <f ca="1">IF(ROW($H1071)-1&lt;$I$1,$F1071,AVERAGE($F1071:OFFSET($F1071,(($I$1-1)*-1),0)))</f>
        <v>293.38333333333338</v>
      </c>
      <c r="J1071" s="6">
        <f ca="1">IF(ROW($J1071)-1&lt;$K$1,$F1071,AVERAGE($F1071:OFFSET($F1071,(($K$1-1)*-1),0)))</f>
        <v>302.16964285714283</v>
      </c>
      <c r="L1071" s="7">
        <f t="shared" ca="1" si="96"/>
        <v>-1</v>
      </c>
      <c r="M1071" s="7" t="str">
        <f t="shared" ca="1" si="97"/>
        <v/>
      </c>
      <c r="N1071" s="6" t="str">
        <f t="shared" ca="1" si="98"/>
        <v/>
      </c>
      <c r="O1071" s="6">
        <f t="shared" si="99"/>
        <v>-4.25</v>
      </c>
      <c r="Q1071" s="6">
        <v>20.850000000000023</v>
      </c>
      <c r="R1071" s="9">
        <f t="shared" si="100"/>
        <v>7818.7500000000082</v>
      </c>
      <c r="S1071" s="7">
        <f t="shared" si="101"/>
        <v>10631.249999999989</v>
      </c>
    </row>
    <row r="1072" spans="1:19" x14ac:dyDescent="0.25">
      <c r="A1072" s="4">
        <f>Sheet1!A1072</f>
        <v>40638</v>
      </c>
      <c r="B1072" s="5">
        <f>Sheet1!B1072</f>
        <v>0.58333333333333337</v>
      </c>
      <c r="C1072" s="6">
        <f>Sheet1!C1072</f>
        <v>286.39999999999998</v>
      </c>
      <c r="D1072" s="6">
        <f>Sheet1!D1072</f>
        <v>301.25</v>
      </c>
      <c r="E1072" s="6">
        <f>Sheet1!E1072</f>
        <v>285.35000000000002</v>
      </c>
      <c r="F1072" s="6">
        <f>Sheet1!F1072</f>
        <v>299.55</v>
      </c>
      <c r="H1072" s="6">
        <f ca="1">IF(ROW($H1072)-1&lt;$I$1,$F1072,AVERAGE($F1072:OFFSET($F1072,(($I$1-1)*-1),0)))</f>
        <v>294.04166666666669</v>
      </c>
      <c r="J1072" s="6">
        <f ca="1">IF(ROW($J1072)-1&lt;$K$1,$F1072,AVERAGE($F1072:OFFSET($F1072,(($K$1-1)*-1),0)))</f>
        <v>302.29821428571421</v>
      </c>
      <c r="L1072" s="7">
        <f t="shared" ca="1" si="96"/>
        <v>-1</v>
      </c>
      <c r="M1072" s="7" t="str">
        <f t="shared" ca="1" si="97"/>
        <v/>
      </c>
      <c r="N1072" s="6" t="str">
        <f t="shared" ca="1" si="98"/>
        <v/>
      </c>
      <c r="O1072" s="6">
        <f t="shared" si="99"/>
        <v>12.050000000000011</v>
      </c>
      <c r="Q1072" s="6">
        <v>8.8000000000000114</v>
      </c>
      <c r="R1072" s="9">
        <f t="shared" si="100"/>
        <v>3300.0000000000041</v>
      </c>
      <c r="S1072" s="7">
        <f t="shared" si="101"/>
        <v>10631.249999999989</v>
      </c>
    </row>
    <row r="1073" spans="1:19" x14ac:dyDescent="0.25">
      <c r="A1073" s="4">
        <f>Sheet1!A1073</f>
        <v>40639</v>
      </c>
      <c r="B1073" s="5">
        <f>Sheet1!B1073</f>
        <v>0.58333333333333337</v>
      </c>
      <c r="C1073" s="6">
        <f>Sheet1!C1073</f>
        <v>299.39999999999998</v>
      </c>
      <c r="D1073" s="6">
        <f>Sheet1!D1073</f>
        <v>300.64999999999998</v>
      </c>
      <c r="E1073" s="6">
        <f>Sheet1!E1073</f>
        <v>295.55</v>
      </c>
      <c r="F1073" s="6">
        <f>Sheet1!F1073</f>
        <v>296.45</v>
      </c>
      <c r="H1073" s="6">
        <f ca="1">IF(ROW($H1073)-1&lt;$I$1,$F1073,AVERAGE($F1073:OFFSET($F1073,(($I$1-1)*-1),0)))</f>
        <v>294.52500000000003</v>
      </c>
      <c r="J1073" s="6">
        <f ca="1">IF(ROW($J1073)-1&lt;$K$1,$F1073,AVERAGE($F1073:OFFSET($F1073,(($K$1-1)*-1),0)))</f>
        <v>302.20357142857148</v>
      </c>
      <c r="L1073" s="7">
        <f t="shared" ca="1" si="96"/>
        <v>-1</v>
      </c>
      <c r="M1073" s="7" t="str">
        <f t="shared" ca="1" si="97"/>
        <v/>
      </c>
      <c r="N1073" s="6" t="str">
        <f t="shared" ca="1" si="98"/>
        <v/>
      </c>
      <c r="O1073" s="6">
        <f t="shared" si="99"/>
        <v>-3.1000000000000227</v>
      </c>
      <c r="Q1073" s="6">
        <v>11.900000000000034</v>
      </c>
      <c r="R1073" s="9">
        <f t="shared" si="100"/>
        <v>4462.5000000000127</v>
      </c>
      <c r="S1073" s="7">
        <f t="shared" si="101"/>
        <v>10631.249999999989</v>
      </c>
    </row>
    <row r="1074" spans="1:19" x14ac:dyDescent="0.25">
      <c r="A1074" s="4">
        <f>Sheet1!A1074</f>
        <v>40640</v>
      </c>
      <c r="B1074" s="5">
        <f>Sheet1!B1074</f>
        <v>0.58333333333333337</v>
      </c>
      <c r="C1074" s="6">
        <f>Sheet1!C1074</f>
        <v>296.5</v>
      </c>
      <c r="D1074" s="6">
        <f>Sheet1!D1074</f>
        <v>307.14999999999998</v>
      </c>
      <c r="E1074" s="6">
        <f>Sheet1!E1074</f>
        <v>296.39999999999998</v>
      </c>
      <c r="F1074" s="6">
        <f>Sheet1!F1074</f>
        <v>304.10000000000002</v>
      </c>
      <c r="H1074" s="6">
        <f ca="1">IF(ROW($H1074)-1&lt;$I$1,$F1074,AVERAGE($F1074:OFFSET($F1074,(($I$1-1)*-1),0)))</f>
        <v>295.8</v>
      </c>
      <c r="J1074" s="6">
        <f ca="1">IF(ROW($J1074)-1&lt;$K$1,$F1074,AVERAGE($F1074:OFFSET($F1074,(($K$1-1)*-1),0)))</f>
        <v>302.24285714285713</v>
      </c>
      <c r="L1074" s="7">
        <f t="shared" ca="1" si="96"/>
        <v>-1</v>
      </c>
      <c r="M1074" s="7" t="str">
        <f t="shared" ca="1" si="97"/>
        <v/>
      </c>
      <c r="N1074" s="6" t="str">
        <f t="shared" ca="1" si="98"/>
        <v/>
      </c>
      <c r="O1074" s="6">
        <f t="shared" si="99"/>
        <v>7.6500000000000341</v>
      </c>
      <c r="Q1074" s="6">
        <v>4.25</v>
      </c>
      <c r="R1074" s="9">
        <f t="shared" si="100"/>
        <v>1593.75</v>
      </c>
      <c r="S1074" s="7">
        <f t="shared" si="101"/>
        <v>10631.249999999989</v>
      </c>
    </row>
    <row r="1075" spans="1:19" x14ac:dyDescent="0.25">
      <c r="A1075" s="4">
        <f>Sheet1!A1075</f>
        <v>40641</v>
      </c>
      <c r="B1075" s="5">
        <f>Sheet1!B1075</f>
        <v>0.58333333333333337</v>
      </c>
      <c r="C1075" s="6">
        <f>Sheet1!C1075</f>
        <v>304.10000000000002</v>
      </c>
      <c r="D1075" s="6">
        <f>Sheet1!D1075</f>
        <v>309.8</v>
      </c>
      <c r="E1075" s="6">
        <f>Sheet1!E1075</f>
        <v>303.39999999999998</v>
      </c>
      <c r="F1075" s="6">
        <f>Sheet1!F1075</f>
        <v>306.25</v>
      </c>
      <c r="H1075" s="6">
        <f ca="1">IF(ROW($H1075)-1&lt;$I$1,$F1075,AVERAGE($F1075:OFFSET($F1075,(($I$1-1)*-1),0)))</f>
        <v>297.59999999999997</v>
      </c>
      <c r="J1075" s="6">
        <f ca="1">IF(ROW($J1075)-1&lt;$K$1,$F1075,AVERAGE($F1075:OFFSET($F1075,(($K$1-1)*-1),0)))</f>
        <v>302.44464285714287</v>
      </c>
      <c r="L1075" s="7">
        <f t="shared" ca="1" si="96"/>
        <v>-1</v>
      </c>
      <c r="M1075" s="7" t="str">
        <f t="shared" ca="1" si="97"/>
        <v/>
      </c>
      <c r="N1075" s="6" t="str">
        <f t="shared" ca="1" si="98"/>
        <v/>
      </c>
      <c r="O1075" s="6">
        <f t="shared" si="99"/>
        <v>2.1499999999999773</v>
      </c>
      <c r="Q1075" s="6">
        <v>2.1000000000000227</v>
      </c>
      <c r="R1075" s="9">
        <f t="shared" si="100"/>
        <v>787.50000000000853</v>
      </c>
      <c r="S1075" s="7">
        <f t="shared" si="101"/>
        <v>10631.249999999989</v>
      </c>
    </row>
    <row r="1076" spans="1:19" x14ac:dyDescent="0.25">
      <c r="A1076" s="4">
        <f>Sheet1!A1076</f>
        <v>40644</v>
      </c>
      <c r="B1076" s="5">
        <f>Sheet1!B1076</f>
        <v>0.58333333333333337</v>
      </c>
      <c r="C1076" s="6">
        <f>Sheet1!C1076</f>
        <v>305.3</v>
      </c>
      <c r="D1076" s="6">
        <f>Sheet1!D1076</f>
        <v>308.2</v>
      </c>
      <c r="E1076" s="6">
        <f>Sheet1!E1076</f>
        <v>301.2</v>
      </c>
      <c r="F1076" s="6">
        <f>Sheet1!F1076</f>
        <v>306</v>
      </c>
      <c r="H1076" s="6">
        <f ca="1">IF(ROW($H1076)-1&lt;$I$1,$F1076,AVERAGE($F1076:OFFSET($F1076,(($I$1-1)*-1),0)))</f>
        <v>299.97499999999997</v>
      </c>
      <c r="J1076" s="6">
        <f ca="1">IF(ROW($J1076)-1&lt;$K$1,$F1076,AVERAGE($F1076:OFFSET($F1076,(($K$1-1)*-1),0)))</f>
        <v>302.62857142857138</v>
      </c>
      <c r="L1076" s="7">
        <f t="shared" ca="1" si="96"/>
        <v>-1</v>
      </c>
      <c r="M1076" s="7" t="str">
        <f t="shared" ca="1" si="97"/>
        <v/>
      </c>
      <c r="N1076" s="6" t="str">
        <f t="shared" ca="1" si="98"/>
        <v/>
      </c>
      <c r="O1076" s="6">
        <f t="shared" si="99"/>
        <v>-0.25</v>
      </c>
      <c r="Q1076" s="6">
        <v>2.3500000000000227</v>
      </c>
      <c r="R1076" s="9">
        <f t="shared" si="100"/>
        <v>881.25000000000853</v>
      </c>
      <c r="S1076" s="7">
        <f t="shared" si="101"/>
        <v>10631.249999999989</v>
      </c>
    </row>
    <row r="1077" spans="1:19" x14ac:dyDescent="0.25">
      <c r="A1077" s="4">
        <f>Sheet1!A1077</f>
        <v>40645</v>
      </c>
      <c r="B1077" s="5">
        <f>Sheet1!B1077</f>
        <v>0.58333333333333337</v>
      </c>
      <c r="C1077" s="6">
        <f>Sheet1!C1077</f>
        <v>303.8</v>
      </c>
      <c r="D1077" s="6">
        <f>Sheet1!D1077</f>
        <v>307.05</v>
      </c>
      <c r="E1077" s="6">
        <f>Sheet1!E1077</f>
        <v>301.89999999999998</v>
      </c>
      <c r="F1077" s="6">
        <f>Sheet1!F1077</f>
        <v>305.3</v>
      </c>
      <c r="H1077" s="6">
        <f ca="1">IF(ROW($H1077)-1&lt;$I$1,$F1077,AVERAGE($F1077:OFFSET($F1077,(($I$1-1)*-1),0)))</f>
        <v>302.94166666666666</v>
      </c>
      <c r="J1077" s="6">
        <f ca="1">IF(ROW($J1077)-1&lt;$K$1,$F1077,AVERAGE($F1077:OFFSET($F1077,(($K$1-1)*-1),0)))</f>
        <v>302.60178571428571</v>
      </c>
      <c r="L1077" s="7">
        <f t="shared" ca="1" si="96"/>
        <v>1</v>
      </c>
      <c r="M1077" s="7">
        <f t="shared" ca="1" si="97"/>
        <v>1</v>
      </c>
      <c r="N1077" s="6" t="str">
        <f t="shared" ca="1" si="98"/>
        <v/>
      </c>
      <c r="O1077" s="6">
        <f t="shared" si="99"/>
        <v>-0.69999999999998863</v>
      </c>
      <c r="Q1077" s="6">
        <v>3.0500000000000114</v>
      </c>
      <c r="R1077" s="9">
        <f t="shared" si="100"/>
        <v>1143.7500000000043</v>
      </c>
      <c r="S1077" s="7">
        <f t="shared" si="101"/>
        <v>10631.249999999989</v>
      </c>
    </row>
    <row r="1078" spans="1:19" x14ac:dyDescent="0.25">
      <c r="A1078" s="4">
        <f>Sheet1!A1078</f>
        <v>40646</v>
      </c>
      <c r="B1078" s="5">
        <f>Sheet1!B1078</f>
        <v>0.58333333333333337</v>
      </c>
      <c r="C1078" s="6">
        <f>Sheet1!C1078</f>
        <v>304.14999999999998</v>
      </c>
      <c r="D1078" s="6">
        <f>Sheet1!D1078</f>
        <v>313.45</v>
      </c>
      <c r="E1078" s="6">
        <f>Sheet1!E1078</f>
        <v>303.8</v>
      </c>
      <c r="F1078" s="6">
        <f>Sheet1!F1078</f>
        <v>312.10000000000002</v>
      </c>
      <c r="H1078" s="6">
        <f ca="1">IF(ROW($H1078)-1&lt;$I$1,$F1078,AVERAGE($F1078:OFFSET($F1078,(($I$1-1)*-1),0)))</f>
        <v>305.0333333333333</v>
      </c>
      <c r="J1078" s="6">
        <f ca="1">IF(ROW($J1078)-1&lt;$K$1,$F1078,AVERAGE($F1078:OFFSET($F1078,(($K$1-1)*-1),0)))</f>
        <v>302.88749999999999</v>
      </c>
      <c r="L1078" s="7">
        <f t="shared" ca="1" si="96"/>
        <v>1</v>
      </c>
      <c r="M1078" s="7" t="str">
        <f t="shared" ca="1" si="97"/>
        <v/>
      </c>
      <c r="N1078" s="6">
        <f t="shared" ca="1" si="98"/>
        <v>304.14999999999998</v>
      </c>
      <c r="O1078" s="6">
        <f t="shared" si="99"/>
        <v>6.8000000000000114</v>
      </c>
      <c r="P1078" s="6">
        <v>4.2000000000000455</v>
      </c>
      <c r="Q1078" s="6">
        <v>7.9500000000000455</v>
      </c>
      <c r="R1078" s="9">
        <f t="shared" si="100"/>
        <v>2981.2500000000173</v>
      </c>
      <c r="S1078" s="7">
        <f t="shared" si="101"/>
        <v>12206.250000000005</v>
      </c>
    </row>
    <row r="1079" spans="1:19" x14ac:dyDescent="0.25">
      <c r="A1079" s="4">
        <f>Sheet1!A1079</f>
        <v>40647</v>
      </c>
      <c r="B1079" s="5">
        <f>Sheet1!B1079</f>
        <v>0.58333333333333337</v>
      </c>
      <c r="C1079" s="6">
        <f>Sheet1!C1079</f>
        <v>311.89999999999998</v>
      </c>
      <c r="D1079" s="6">
        <f>Sheet1!D1079</f>
        <v>316.10000000000002</v>
      </c>
      <c r="E1079" s="6">
        <f>Sheet1!E1079</f>
        <v>310</v>
      </c>
      <c r="F1079" s="6">
        <f>Sheet1!F1079</f>
        <v>313.55</v>
      </c>
      <c r="H1079" s="6">
        <f ca="1">IF(ROW($H1079)-1&lt;$I$1,$F1079,AVERAGE($F1079:OFFSET($F1079,(($I$1-1)*-1),0)))</f>
        <v>307.88333333333333</v>
      </c>
      <c r="J1079" s="6">
        <f ca="1">IF(ROW($J1079)-1&lt;$K$1,$F1079,AVERAGE($F1079:OFFSET($F1079,(($K$1-1)*-1),0)))</f>
        <v>302.92678571428576</v>
      </c>
      <c r="L1079" s="7">
        <f t="shared" ca="1" si="96"/>
        <v>1</v>
      </c>
      <c r="M1079" s="7" t="str">
        <f t="shared" ca="1" si="97"/>
        <v/>
      </c>
      <c r="N1079" s="6" t="str">
        <f t="shared" ca="1" si="98"/>
        <v/>
      </c>
      <c r="O1079" s="6">
        <f t="shared" si="99"/>
        <v>1.4499999999999886</v>
      </c>
      <c r="Q1079" s="6">
        <v>9.4000000000000341</v>
      </c>
      <c r="R1079" s="9">
        <f t="shared" si="100"/>
        <v>3525.0000000000127</v>
      </c>
      <c r="S1079" s="7">
        <f t="shared" si="101"/>
        <v>12206.250000000005</v>
      </c>
    </row>
    <row r="1080" spans="1:19" x14ac:dyDescent="0.25">
      <c r="A1080" s="4">
        <f>Sheet1!A1080</f>
        <v>40648</v>
      </c>
      <c r="B1080" s="5">
        <f>Sheet1!B1080</f>
        <v>0.58333333333333337</v>
      </c>
      <c r="C1080" s="6">
        <f>Sheet1!C1080</f>
        <v>314.25</v>
      </c>
      <c r="D1080" s="6">
        <f>Sheet1!D1080</f>
        <v>320.05</v>
      </c>
      <c r="E1080" s="6">
        <f>Sheet1!E1080</f>
        <v>313.60000000000002</v>
      </c>
      <c r="F1080" s="6">
        <f>Sheet1!F1080</f>
        <v>319.5</v>
      </c>
      <c r="H1080" s="6">
        <f ca="1">IF(ROW($H1080)-1&lt;$I$1,$F1080,AVERAGE($F1080:OFFSET($F1080,(($I$1-1)*-1),0)))</f>
        <v>310.45</v>
      </c>
      <c r="J1080" s="6">
        <f ca="1">IF(ROW($J1080)-1&lt;$K$1,$F1080,AVERAGE($F1080:OFFSET($F1080,(($K$1-1)*-1),0)))</f>
        <v>302.96250000000003</v>
      </c>
      <c r="L1080" s="7">
        <f t="shared" ca="1" si="96"/>
        <v>1</v>
      </c>
      <c r="M1080" s="7" t="str">
        <f t="shared" ca="1" si="97"/>
        <v/>
      </c>
      <c r="N1080" s="6" t="str">
        <f t="shared" ca="1" si="98"/>
        <v/>
      </c>
      <c r="O1080" s="6">
        <f t="shared" si="99"/>
        <v>5.9499999999999886</v>
      </c>
      <c r="Q1080" s="6">
        <v>15.350000000000023</v>
      </c>
      <c r="R1080" s="9">
        <f t="shared" si="100"/>
        <v>5756.2500000000082</v>
      </c>
      <c r="S1080" s="7">
        <f t="shared" si="101"/>
        <v>12206.250000000005</v>
      </c>
    </row>
    <row r="1081" spans="1:19" x14ac:dyDescent="0.25">
      <c r="A1081" s="4">
        <f>Sheet1!A1081</f>
        <v>40651</v>
      </c>
      <c r="B1081" s="5">
        <f>Sheet1!B1081</f>
        <v>0.58333333333333337</v>
      </c>
      <c r="C1081" s="6">
        <f>Sheet1!C1081</f>
        <v>319.39999999999998</v>
      </c>
      <c r="D1081" s="6">
        <f>Sheet1!D1081</f>
        <v>321.5</v>
      </c>
      <c r="E1081" s="6">
        <f>Sheet1!E1081</f>
        <v>314.10000000000002</v>
      </c>
      <c r="F1081" s="6">
        <f>Sheet1!F1081</f>
        <v>315.8</v>
      </c>
      <c r="H1081" s="6">
        <f ca="1">IF(ROW($H1081)-1&lt;$I$1,$F1081,AVERAGE($F1081:OFFSET($F1081,(($I$1-1)*-1),0)))</f>
        <v>312.04166666666669</v>
      </c>
      <c r="J1081" s="6">
        <f ca="1">IF(ROW($J1081)-1&lt;$K$1,$F1081,AVERAGE($F1081:OFFSET($F1081,(($K$1-1)*-1),0)))</f>
        <v>302.59285714285716</v>
      </c>
      <c r="L1081" s="7">
        <f t="shared" ca="1" si="96"/>
        <v>1</v>
      </c>
      <c r="M1081" s="7" t="str">
        <f t="shared" ca="1" si="97"/>
        <v/>
      </c>
      <c r="N1081" s="6" t="str">
        <f t="shared" ca="1" si="98"/>
        <v/>
      </c>
      <c r="O1081" s="6">
        <f t="shared" si="99"/>
        <v>-3.6999999999999886</v>
      </c>
      <c r="Q1081" s="6">
        <v>11.650000000000034</v>
      </c>
      <c r="R1081" s="9">
        <f t="shared" si="100"/>
        <v>4368.7500000000127</v>
      </c>
      <c r="S1081" s="7">
        <f t="shared" si="101"/>
        <v>12206.250000000005</v>
      </c>
    </row>
    <row r="1082" spans="1:19" x14ac:dyDescent="0.25">
      <c r="A1082" s="4">
        <f>Sheet1!A1082</f>
        <v>40652</v>
      </c>
      <c r="B1082" s="5">
        <f>Sheet1!B1082</f>
        <v>0.58333333333333337</v>
      </c>
      <c r="C1082" s="6">
        <f>Sheet1!C1082</f>
        <v>315.89999999999998</v>
      </c>
      <c r="D1082" s="6">
        <f>Sheet1!D1082</f>
        <v>323.05</v>
      </c>
      <c r="E1082" s="6">
        <f>Sheet1!E1082</f>
        <v>314.39999999999998</v>
      </c>
      <c r="F1082" s="6">
        <f>Sheet1!F1082</f>
        <v>322.64999999999998</v>
      </c>
      <c r="H1082" s="6">
        <f ca="1">IF(ROW($H1082)-1&lt;$I$1,$F1082,AVERAGE($F1082:OFFSET($F1082,(($I$1-1)*-1),0)))</f>
        <v>314.81666666666666</v>
      </c>
      <c r="J1082" s="6">
        <f ca="1">IF(ROW($J1082)-1&lt;$K$1,$F1082,AVERAGE($F1082:OFFSET($F1082,(($K$1-1)*-1),0)))</f>
        <v>302.97857142857146</v>
      </c>
      <c r="L1082" s="7">
        <f t="shared" ca="1" si="96"/>
        <v>1</v>
      </c>
      <c r="M1082" s="7" t="str">
        <f t="shared" ca="1" si="97"/>
        <v/>
      </c>
      <c r="N1082" s="6" t="str">
        <f t="shared" ca="1" si="98"/>
        <v/>
      </c>
      <c r="O1082" s="6">
        <f t="shared" si="99"/>
        <v>6.8499999999999659</v>
      </c>
      <c r="Q1082" s="6">
        <v>18.5</v>
      </c>
      <c r="R1082" s="9">
        <f t="shared" si="100"/>
        <v>6937.5</v>
      </c>
      <c r="S1082" s="7">
        <f t="shared" si="101"/>
        <v>12206.250000000005</v>
      </c>
    </row>
    <row r="1083" spans="1:19" x14ac:dyDescent="0.25">
      <c r="A1083" s="4">
        <f>Sheet1!A1083</f>
        <v>40653</v>
      </c>
      <c r="B1083" s="5">
        <f>Sheet1!B1083</f>
        <v>0.58333333333333337</v>
      </c>
      <c r="C1083" s="6">
        <f>Sheet1!C1083</f>
        <v>322.64999999999998</v>
      </c>
      <c r="D1083" s="6">
        <f>Sheet1!D1083</f>
        <v>330.9</v>
      </c>
      <c r="E1083" s="6">
        <f>Sheet1!E1083</f>
        <v>322.64999999999998</v>
      </c>
      <c r="F1083" s="6">
        <f>Sheet1!F1083</f>
        <v>327.85</v>
      </c>
      <c r="H1083" s="6">
        <f ca="1">IF(ROW($H1083)-1&lt;$I$1,$F1083,AVERAGE($F1083:OFFSET($F1083,(($I$1-1)*-1),0)))</f>
        <v>318.57499999999999</v>
      </c>
      <c r="J1083" s="6">
        <f ca="1">IF(ROW($J1083)-1&lt;$K$1,$F1083,AVERAGE($F1083:OFFSET($F1083,(($K$1-1)*-1),0)))</f>
        <v>303.76964285714291</v>
      </c>
      <c r="L1083" s="7">
        <f t="shared" ca="1" si="96"/>
        <v>1</v>
      </c>
      <c r="M1083" s="7" t="str">
        <f t="shared" ca="1" si="97"/>
        <v/>
      </c>
      <c r="N1083" s="6" t="str">
        <f t="shared" ca="1" si="98"/>
        <v/>
      </c>
      <c r="O1083" s="6">
        <f t="shared" si="99"/>
        <v>5.2000000000000455</v>
      </c>
      <c r="Q1083" s="6">
        <v>23.700000000000045</v>
      </c>
      <c r="R1083" s="9">
        <f t="shared" si="100"/>
        <v>8887.5000000000164</v>
      </c>
      <c r="S1083" s="7">
        <f t="shared" si="101"/>
        <v>12206.250000000005</v>
      </c>
    </row>
    <row r="1084" spans="1:19" x14ac:dyDescent="0.25">
      <c r="A1084" s="4">
        <f>Sheet1!A1084</f>
        <v>40654</v>
      </c>
      <c r="B1084" s="5">
        <f>Sheet1!B1084</f>
        <v>0.58333333333333337</v>
      </c>
      <c r="C1084" s="6">
        <f>Sheet1!C1084</f>
        <v>327.55</v>
      </c>
      <c r="D1084" s="6">
        <f>Sheet1!D1084</f>
        <v>328.95</v>
      </c>
      <c r="E1084" s="6">
        <f>Sheet1!E1084</f>
        <v>322.14999999999998</v>
      </c>
      <c r="F1084" s="6">
        <f>Sheet1!F1084</f>
        <v>322.95</v>
      </c>
      <c r="H1084" s="6">
        <f ca="1">IF(ROW($H1084)-1&lt;$I$1,$F1084,AVERAGE($F1084:OFFSET($F1084,(($I$1-1)*-1),0)))</f>
        <v>320.38333333333333</v>
      </c>
      <c r="J1084" s="6">
        <f ca="1">IF(ROW($J1084)-1&lt;$K$1,$F1084,AVERAGE($F1084:OFFSET($F1084,(($K$1-1)*-1),0)))</f>
        <v>304.42500000000007</v>
      </c>
      <c r="L1084" s="7">
        <f t="shared" ca="1" si="96"/>
        <v>1</v>
      </c>
      <c r="M1084" s="7" t="str">
        <f t="shared" ca="1" si="97"/>
        <v/>
      </c>
      <c r="N1084" s="6" t="str">
        <f t="shared" ca="1" si="98"/>
        <v/>
      </c>
      <c r="O1084" s="6">
        <f t="shared" si="99"/>
        <v>-4.9000000000000341</v>
      </c>
      <c r="Q1084" s="6">
        <v>18.800000000000011</v>
      </c>
      <c r="R1084" s="9">
        <f t="shared" si="100"/>
        <v>7050.0000000000045</v>
      </c>
      <c r="S1084" s="7">
        <f t="shared" si="101"/>
        <v>12206.250000000005</v>
      </c>
    </row>
    <row r="1085" spans="1:19" x14ac:dyDescent="0.25">
      <c r="A1085" s="4">
        <f>Sheet1!A1085</f>
        <v>40658</v>
      </c>
      <c r="B1085" s="5">
        <f>Sheet1!B1085</f>
        <v>0.58333333333333337</v>
      </c>
      <c r="C1085" s="6">
        <f>Sheet1!C1085</f>
        <v>325.2</v>
      </c>
      <c r="D1085" s="6">
        <f>Sheet1!D1085</f>
        <v>325.3</v>
      </c>
      <c r="E1085" s="6">
        <f>Sheet1!E1085</f>
        <v>317.5</v>
      </c>
      <c r="F1085" s="6">
        <f>Sheet1!F1085</f>
        <v>319.2</v>
      </c>
      <c r="H1085" s="6">
        <f ca="1">IF(ROW($H1085)-1&lt;$I$1,$F1085,AVERAGE($F1085:OFFSET($F1085,(($I$1-1)*-1),0)))</f>
        <v>321.32499999999999</v>
      </c>
      <c r="J1085" s="6">
        <f ca="1">IF(ROW($J1085)-1&lt;$K$1,$F1085,AVERAGE($F1085:OFFSET($F1085,(($K$1-1)*-1),0)))</f>
        <v>305.31607142857149</v>
      </c>
      <c r="L1085" s="7">
        <f t="shared" ca="1" si="96"/>
        <v>1</v>
      </c>
      <c r="M1085" s="7" t="str">
        <f t="shared" ca="1" si="97"/>
        <v/>
      </c>
      <c r="N1085" s="6" t="str">
        <f t="shared" ca="1" si="98"/>
        <v/>
      </c>
      <c r="O1085" s="6">
        <f t="shared" si="99"/>
        <v>-3.75</v>
      </c>
      <c r="Q1085" s="6">
        <v>15.050000000000011</v>
      </c>
      <c r="R1085" s="9">
        <f t="shared" si="100"/>
        <v>5643.7500000000045</v>
      </c>
      <c r="S1085" s="7">
        <f t="shared" si="101"/>
        <v>12206.250000000005</v>
      </c>
    </row>
    <row r="1086" spans="1:19" x14ac:dyDescent="0.25">
      <c r="A1086" s="4">
        <f>Sheet1!A1086</f>
        <v>40659</v>
      </c>
      <c r="B1086" s="5">
        <f>Sheet1!B1086</f>
        <v>0.58333333333333337</v>
      </c>
      <c r="C1086" s="6">
        <f>Sheet1!C1086</f>
        <v>317.95</v>
      </c>
      <c r="D1086" s="6">
        <f>Sheet1!D1086</f>
        <v>327.9</v>
      </c>
      <c r="E1086" s="6">
        <f>Sheet1!E1086</f>
        <v>315.25</v>
      </c>
      <c r="F1086" s="6">
        <f>Sheet1!F1086</f>
        <v>324.7</v>
      </c>
      <c r="H1086" s="6">
        <f ca="1">IF(ROW($H1086)-1&lt;$I$1,$F1086,AVERAGE($F1086:OFFSET($F1086,(($I$1-1)*-1),0)))</f>
        <v>322.19166666666666</v>
      </c>
      <c r="J1086" s="6">
        <f ca="1">IF(ROW($J1086)-1&lt;$K$1,$F1086,AVERAGE($F1086:OFFSET($F1086,(($K$1-1)*-1),0)))</f>
        <v>306.31785714285718</v>
      </c>
      <c r="L1086" s="7">
        <f t="shared" ca="1" si="96"/>
        <v>1</v>
      </c>
      <c r="M1086" s="7" t="str">
        <f t="shared" ca="1" si="97"/>
        <v/>
      </c>
      <c r="N1086" s="6" t="str">
        <f t="shared" ca="1" si="98"/>
        <v/>
      </c>
      <c r="O1086" s="6">
        <f t="shared" si="99"/>
        <v>5.5</v>
      </c>
      <c r="Q1086" s="6">
        <v>20.550000000000011</v>
      </c>
      <c r="R1086" s="9">
        <f t="shared" si="100"/>
        <v>7706.2500000000045</v>
      </c>
      <c r="S1086" s="7">
        <f t="shared" si="101"/>
        <v>12206.250000000005</v>
      </c>
    </row>
    <row r="1087" spans="1:19" x14ac:dyDescent="0.25">
      <c r="A1087" s="4">
        <f>Sheet1!A1087</f>
        <v>40660</v>
      </c>
      <c r="B1087" s="5">
        <f>Sheet1!B1087</f>
        <v>0.58333333333333337</v>
      </c>
      <c r="C1087" s="6">
        <f>Sheet1!C1087</f>
        <v>324.05</v>
      </c>
      <c r="D1087" s="6">
        <f>Sheet1!D1087</f>
        <v>327.14999999999998</v>
      </c>
      <c r="E1087" s="6">
        <f>Sheet1!E1087</f>
        <v>321.89999999999998</v>
      </c>
      <c r="F1087" s="6">
        <f>Sheet1!F1087</f>
        <v>324.8</v>
      </c>
      <c r="H1087" s="6">
        <f ca="1">IF(ROW($H1087)-1&lt;$I$1,$F1087,AVERAGE($F1087:OFFSET($F1087,(($I$1-1)*-1),0)))</f>
        <v>323.69166666666666</v>
      </c>
      <c r="J1087" s="6">
        <f ca="1">IF(ROW($J1087)-1&lt;$K$1,$F1087,AVERAGE($F1087:OFFSET($F1087,(($K$1-1)*-1),0)))</f>
        <v>307.125</v>
      </c>
      <c r="L1087" s="7">
        <f t="shared" ca="1" si="96"/>
        <v>1</v>
      </c>
      <c r="M1087" s="7" t="str">
        <f t="shared" ca="1" si="97"/>
        <v/>
      </c>
      <c r="N1087" s="6" t="str">
        <f t="shared" ca="1" si="98"/>
        <v/>
      </c>
      <c r="O1087" s="6">
        <f t="shared" si="99"/>
        <v>0.10000000000002274</v>
      </c>
      <c r="Q1087" s="6">
        <v>20.650000000000034</v>
      </c>
      <c r="R1087" s="9">
        <f t="shared" si="100"/>
        <v>7743.7500000000127</v>
      </c>
      <c r="S1087" s="7">
        <f t="shared" si="101"/>
        <v>12206.250000000005</v>
      </c>
    </row>
    <row r="1088" spans="1:19" x14ac:dyDescent="0.25">
      <c r="A1088" s="4">
        <f>Sheet1!A1088</f>
        <v>40661</v>
      </c>
      <c r="B1088" s="5">
        <f>Sheet1!B1088</f>
        <v>0.58333333333333337</v>
      </c>
      <c r="C1088" s="6">
        <f>Sheet1!C1088</f>
        <v>325.39999999999998</v>
      </c>
      <c r="D1088" s="6">
        <f>Sheet1!D1088</f>
        <v>331.8</v>
      </c>
      <c r="E1088" s="6">
        <f>Sheet1!E1088</f>
        <v>324.39999999999998</v>
      </c>
      <c r="F1088" s="6">
        <f>Sheet1!F1088</f>
        <v>327.60000000000002</v>
      </c>
      <c r="H1088" s="6">
        <f ca="1">IF(ROW($H1088)-1&lt;$I$1,$F1088,AVERAGE($F1088:OFFSET($F1088,(($I$1-1)*-1),0)))</f>
        <v>324.51666666666665</v>
      </c>
      <c r="J1088" s="6">
        <f ca="1">IF(ROW($J1088)-1&lt;$K$1,$F1088,AVERAGE($F1088:OFFSET($F1088,(($K$1-1)*-1),0)))</f>
        <v>307.84285714285716</v>
      </c>
      <c r="L1088" s="7">
        <f t="shared" ca="1" si="96"/>
        <v>1</v>
      </c>
      <c r="M1088" s="7" t="str">
        <f t="shared" ca="1" si="97"/>
        <v/>
      </c>
      <c r="N1088" s="6" t="str">
        <f t="shared" ca="1" si="98"/>
        <v/>
      </c>
      <c r="O1088" s="6">
        <f t="shared" si="99"/>
        <v>2.8000000000000114</v>
      </c>
      <c r="Q1088" s="6">
        <v>23.450000000000045</v>
      </c>
      <c r="R1088" s="9">
        <f t="shared" si="100"/>
        <v>8793.7500000000164</v>
      </c>
      <c r="S1088" s="7">
        <f t="shared" si="101"/>
        <v>12206.250000000005</v>
      </c>
    </row>
    <row r="1089" spans="1:19" x14ac:dyDescent="0.25">
      <c r="A1089" s="4">
        <f>Sheet1!A1089</f>
        <v>40662</v>
      </c>
      <c r="B1089" s="5">
        <f>Sheet1!B1089</f>
        <v>0.58333333333333337</v>
      </c>
      <c r="C1089" s="6">
        <f>Sheet1!C1089</f>
        <v>326.7</v>
      </c>
      <c r="D1089" s="6">
        <f>Sheet1!D1089</f>
        <v>329.9</v>
      </c>
      <c r="E1089" s="6">
        <f>Sheet1!E1089</f>
        <v>323.10000000000002</v>
      </c>
      <c r="F1089" s="6">
        <f>Sheet1!F1089</f>
        <v>328.25</v>
      </c>
      <c r="H1089" s="6">
        <f ca="1">IF(ROW($H1089)-1&lt;$I$1,$F1089,AVERAGE($F1089:OFFSET($F1089,(($I$1-1)*-1),0)))</f>
        <v>324.58333333333331</v>
      </c>
      <c r="J1089" s="6">
        <f ca="1">IF(ROW($J1089)-1&lt;$K$1,$F1089,AVERAGE($F1089:OFFSET($F1089,(($K$1-1)*-1),0)))</f>
        <v>308.55535714285713</v>
      </c>
      <c r="L1089" s="7">
        <f t="shared" ca="1" si="96"/>
        <v>1</v>
      </c>
      <c r="M1089" s="7" t="str">
        <f t="shared" ca="1" si="97"/>
        <v/>
      </c>
      <c r="N1089" s="6" t="str">
        <f t="shared" ca="1" si="98"/>
        <v/>
      </c>
      <c r="O1089" s="6">
        <f t="shared" si="99"/>
        <v>0.64999999999997726</v>
      </c>
      <c r="Q1089" s="6">
        <v>24.100000000000023</v>
      </c>
      <c r="R1089" s="9">
        <f t="shared" si="100"/>
        <v>9037.5000000000091</v>
      </c>
      <c r="S1089" s="7">
        <f t="shared" si="101"/>
        <v>12206.250000000005</v>
      </c>
    </row>
    <row r="1090" spans="1:19" x14ac:dyDescent="0.25">
      <c r="A1090" s="4">
        <f>Sheet1!A1090</f>
        <v>40665</v>
      </c>
      <c r="B1090" s="5">
        <f>Sheet1!B1090</f>
        <v>0.58333333333333337</v>
      </c>
      <c r="C1090" s="6">
        <f>Sheet1!C1090</f>
        <v>328.05</v>
      </c>
      <c r="D1090" s="6">
        <f>Sheet1!D1090</f>
        <v>335.6</v>
      </c>
      <c r="E1090" s="6">
        <f>Sheet1!E1090</f>
        <v>325.14999999999998</v>
      </c>
      <c r="F1090" s="6">
        <f>Sheet1!F1090</f>
        <v>333.5</v>
      </c>
      <c r="H1090" s="6">
        <f ca="1">IF(ROW($H1090)-1&lt;$I$1,$F1090,AVERAGE($F1090:OFFSET($F1090,(($I$1-1)*-1),0)))</f>
        <v>326.3416666666667</v>
      </c>
      <c r="J1090" s="6">
        <f ca="1">IF(ROW($J1090)-1&lt;$K$1,$F1090,AVERAGE($F1090:OFFSET($F1090,(($K$1-1)*-1),0)))</f>
        <v>309.58214285714286</v>
      </c>
      <c r="L1090" s="7">
        <f t="shared" ca="1" si="96"/>
        <v>1</v>
      </c>
      <c r="M1090" s="7" t="str">
        <f t="shared" ca="1" si="97"/>
        <v/>
      </c>
      <c r="N1090" s="6" t="str">
        <f t="shared" ca="1" si="98"/>
        <v/>
      </c>
      <c r="O1090" s="6">
        <f t="shared" si="99"/>
        <v>5.25</v>
      </c>
      <c r="Q1090" s="6">
        <v>29.350000000000023</v>
      </c>
      <c r="R1090" s="9">
        <f t="shared" si="100"/>
        <v>11006.250000000009</v>
      </c>
      <c r="S1090" s="7">
        <f t="shared" si="101"/>
        <v>12206.250000000005</v>
      </c>
    </row>
    <row r="1091" spans="1:19" x14ac:dyDescent="0.25">
      <c r="A1091" s="4">
        <f>Sheet1!A1091</f>
        <v>40666</v>
      </c>
      <c r="B1091" s="5">
        <f>Sheet1!B1091</f>
        <v>0.58333333333333337</v>
      </c>
      <c r="C1091" s="6">
        <f>Sheet1!C1091</f>
        <v>333.6</v>
      </c>
      <c r="D1091" s="6">
        <f>Sheet1!D1091</f>
        <v>337.3</v>
      </c>
      <c r="E1091" s="6">
        <f>Sheet1!E1091</f>
        <v>332.4</v>
      </c>
      <c r="F1091" s="6">
        <f>Sheet1!F1091</f>
        <v>334.55</v>
      </c>
      <c r="H1091" s="6">
        <f ca="1">IF(ROW($H1091)-1&lt;$I$1,$F1091,AVERAGE($F1091:OFFSET($F1091,(($I$1-1)*-1),0)))</f>
        <v>328.9</v>
      </c>
      <c r="J1091" s="6">
        <f ca="1">IF(ROW($J1091)-1&lt;$K$1,$F1091,AVERAGE($F1091:OFFSET($F1091,(($K$1-1)*-1),0)))</f>
        <v>310.81964285714287</v>
      </c>
      <c r="L1091" s="7">
        <f t="shared" ref="L1091:L1154" ca="1" si="102">IF(ROW($L1091)&gt;($K$1),IF($H1091&gt;$J1091,1,IF($H1091&lt;$J1091,-1,$L1090*-1)),0)</f>
        <v>1</v>
      </c>
      <c r="M1091" s="7" t="str">
        <f t="shared" ca="1" si="97"/>
        <v/>
      </c>
      <c r="N1091" s="6" t="str">
        <f t="shared" ca="1" si="98"/>
        <v/>
      </c>
      <c r="O1091" s="6">
        <f t="shared" si="99"/>
        <v>1.0500000000000114</v>
      </c>
      <c r="Q1091" s="6">
        <v>30.400000000000034</v>
      </c>
      <c r="R1091" s="9">
        <f t="shared" si="100"/>
        <v>11400.000000000013</v>
      </c>
      <c r="S1091" s="7">
        <f t="shared" si="101"/>
        <v>12206.250000000005</v>
      </c>
    </row>
    <row r="1092" spans="1:19" x14ac:dyDescent="0.25">
      <c r="A1092" s="4">
        <f>Sheet1!A1092</f>
        <v>40667</v>
      </c>
      <c r="B1092" s="5">
        <f>Sheet1!B1092</f>
        <v>0.58333333333333337</v>
      </c>
      <c r="C1092" s="6">
        <f>Sheet1!C1092</f>
        <v>333.6</v>
      </c>
      <c r="D1092" s="6">
        <f>Sheet1!D1092</f>
        <v>335.2</v>
      </c>
      <c r="E1092" s="6">
        <f>Sheet1!E1092</f>
        <v>319.60000000000002</v>
      </c>
      <c r="F1092" s="6">
        <f>Sheet1!F1092</f>
        <v>322.89999999999998</v>
      </c>
      <c r="H1092" s="6">
        <f ca="1">IF(ROW($H1092)-1&lt;$I$1,$F1092,AVERAGE($F1092:OFFSET($F1092,(($I$1-1)*-1),0)))</f>
        <v>328.59999999999997</v>
      </c>
      <c r="J1092" s="6">
        <f ca="1">IF(ROW($J1092)-1&lt;$K$1,$F1092,AVERAGE($F1092:OFFSET($F1092,(($K$1-1)*-1),0)))</f>
        <v>311.74107142857144</v>
      </c>
      <c r="L1092" s="7">
        <f t="shared" ca="1" si="102"/>
        <v>1</v>
      </c>
      <c r="M1092" s="7" t="str">
        <f t="shared" ref="M1092:M1155" ca="1" si="103">IF(L1092&lt;&gt;L1091,L1092,"")</f>
        <v/>
      </c>
      <c r="N1092" s="6" t="str">
        <f t="shared" ref="N1092:N1155" ca="1" si="104">IF(M1091&lt;&gt;"",C1092,"")</f>
        <v/>
      </c>
      <c r="O1092" s="6">
        <f t="shared" ref="O1092:O1155" si="105">F1092-F1091</f>
        <v>-11.650000000000034</v>
      </c>
      <c r="Q1092" s="6">
        <v>18.75</v>
      </c>
      <c r="R1092" s="9">
        <f t="shared" ref="R1092:R1155" si="106">IF(Q1092="","",Q1092*375)</f>
        <v>7031.25</v>
      </c>
      <c r="S1092" s="7">
        <f t="shared" si="101"/>
        <v>12206.250000000005</v>
      </c>
    </row>
    <row r="1093" spans="1:19" x14ac:dyDescent="0.25">
      <c r="A1093" s="4">
        <f>Sheet1!A1093</f>
        <v>40668</v>
      </c>
      <c r="B1093" s="5">
        <f>Sheet1!B1093</f>
        <v>0.58333333333333337</v>
      </c>
      <c r="C1093" s="6">
        <f>Sheet1!C1093</f>
        <v>322.89999999999998</v>
      </c>
      <c r="D1093" s="6">
        <f>Sheet1!D1093</f>
        <v>323.60000000000002</v>
      </c>
      <c r="E1093" s="6">
        <f>Sheet1!E1093</f>
        <v>312.5</v>
      </c>
      <c r="F1093" s="6">
        <f>Sheet1!F1093</f>
        <v>316.64999999999998</v>
      </c>
      <c r="H1093" s="6">
        <f ca="1">IF(ROW($H1093)-1&lt;$I$1,$F1093,AVERAGE($F1093:OFFSET($F1093,(($I$1-1)*-1),0)))</f>
        <v>327.24166666666673</v>
      </c>
      <c r="J1093" s="6">
        <f ca="1">IF(ROW($J1093)-1&lt;$K$1,$F1093,AVERAGE($F1093:OFFSET($F1093,(($K$1-1)*-1),0)))</f>
        <v>312.30357142857144</v>
      </c>
      <c r="L1093" s="7">
        <f t="shared" ca="1" si="102"/>
        <v>1</v>
      </c>
      <c r="M1093" s="7" t="str">
        <f t="shared" ca="1" si="103"/>
        <v/>
      </c>
      <c r="N1093" s="6" t="str">
        <f t="shared" ca="1" si="104"/>
        <v/>
      </c>
      <c r="O1093" s="6">
        <f t="shared" si="105"/>
        <v>-6.25</v>
      </c>
      <c r="Q1093" s="6">
        <v>12.5</v>
      </c>
      <c r="R1093" s="9">
        <f t="shared" si="106"/>
        <v>4687.5</v>
      </c>
      <c r="S1093" s="7">
        <f t="shared" si="101"/>
        <v>12206.250000000005</v>
      </c>
    </row>
    <row r="1094" spans="1:19" x14ac:dyDescent="0.25">
      <c r="A1094" s="4">
        <f>Sheet1!A1094</f>
        <v>40669</v>
      </c>
      <c r="B1094" s="5">
        <f>Sheet1!B1094</f>
        <v>0.58333333333333337</v>
      </c>
      <c r="C1094" s="6">
        <f>Sheet1!C1094</f>
        <v>315.45</v>
      </c>
      <c r="D1094" s="6">
        <f>Sheet1!D1094</f>
        <v>323.3</v>
      </c>
      <c r="E1094" s="6">
        <f>Sheet1!E1094</f>
        <v>311.89999999999998</v>
      </c>
      <c r="F1094" s="6">
        <f>Sheet1!F1094</f>
        <v>315.95</v>
      </c>
      <c r="H1094" s="6">
        <f ca="1">IF(ROW($H1094)-1&lt;$I$1,$F1094,AVERAGE($F1094:OFFSET($F1094,(($I$1-1)*-1),0)))</f>
        <v>325.3</v>
      </c>
      <c r="J1094" s="6">
        <f ca="1">IF(ROW($J1094)-1&lt;$K$1,$F1094,AVERAGE($F1094:OFFSET($F1094,(($K$1-1)*-1),0)))</f>
        <v>313.03035714285716</v>
      </c>
      <c r="L1094" s="7">
        <f t="shared" ca="1" si="102"/>
        <v>1</v>
      </c>
      <c r="M1094" s="7" t="str">
        <f t="shared" ca="1" si="103"/>
        <v/>
      </c>
      <c r="N1094" s="6" t="str">
        <f t="shared" ca="1" si="104"/>
        <v/>
      </c>
      <c r="O1094" s="6">
        <f t="shared" si="105"/>
        <v>-0.69999999999998863</v>
      </c>
      <c r="Q1094" s="6">
        <v>11.800000000000011</v>
      </c>
      <c r="R1094" s="9">
        <f t="shared" si="106"/>
        <v>4425.0000000000045</v>
      </c>
      <c r="S1094" s="7">
        <f t="shared" si="101"/>
        <v>12206.250000000005</v>
      </c>
    </row>
    <row r="1095" spans="1:19" x14ac:dyDescent="0.25">
      <c r="A1095" s="4">
        <f>Sheet1!A1095</f>
        <v>40672</v>
      </c>
      <c r="B1095" s="5">
        <f>Sheet1!B1095</f>
        <v>0.58333333333333337</v>
      </c>
      <c r="C1095" s="6">
        <f>Sheet1!C1095</f>
        <v>318.39999999999998</v>
      </c>
      <c r="D1095" s="6">
        <f>Sheet1!D1095</f>
        <v>322.64999999999998</v>
      </c>
      <c r="E1095" s="6">
        <f>Sheet1!E1095</f>
        <v>315.39999999999998</v>
      </c>
      <c r="F1095" s="6">
        <f>Sheet1!F1095</f>
        <v>315.8</v>
      </c>
      <c r="H1095" s="6">
        <f ca="1">IF(ROW($H1095)-1&lt;$I$1,$F1095,AVERAGE($F1095:OFFSET($F1095,(($I$1-1)*-1),0)))</f>
        <v>323.22499999999997</v>
      </c>
      <c r="J1095" s="6">
        <f ca="1">IF(ROW($J1095)-1&lt;$K$1,$F1095,AVERAGE($F1095:OFFSET($F1095,(($K$1-1)*-1),0)))</f>
        <v>313.82499999999993</v>
      </c>
      <c r="L1095" s="7">
        <f t="shared" ca="1" si="102"/>
        <v>1</v>
      </c>
      <c r="M1095" s="7" t="str">
        <f t="shared" ca="1" si="103"/>
        <v/>
      </c>
      <c r="N1095" s="6" t="str">
        <f t="shared" ca="1" si="104"/>
        <v/>
      </c>
      <c r="O1095" s="6">
        <f t="shared" si="105"/>
        <v>-0.14999999999997726</v>
      </c>
      <c r="Q1095" s="6">
        <v>11.650000000000034</v>
      </c>
      <c r="R1095" s="9">
        <f t="shared" si="106"/>
        <v>4368.7500000000127</v>
      </c>
      <c r="S1095" s="7">
        <f t="shared" si="101"/>
        <v>12206.250000000005</v>
      </c>
    </row>
    <row r="1096" spans="1:19" x14ac:dyDescent="0.25">
      <c r="A1096" s="4">
        <f>Sheet1!A1096</f>
        <v>40673</v>
      </c>
      <c r="B1096" s="5">
        <f>Sheet1!B1096</f>
        <v>0.58333333333333337</v>
      </c>
      <c r="C1096" s="6">
        <f>Sheet1!C1096</f>
        <v>317.3</v>
      </c>
      <c r="D1096" s="6">
        <f>Sheet1!D1096</f>
        <v>318.85000000000002</v>
      </c>
      <c r="E1096" s="6">
        <f>Sheet1!E1096</f>
        <v>310.05</v>
      </c>
      <c r="F1096" s="6">
        <f>Sheet1!F1096</f>
        <v>311</v>
      </c>
      <c r="H1096" s="6">
        <f ca="1">IF(ROW($H1096)-1&lt;$I$1,$F1096,AVERAGE($F1096:OFFSET($F1096,(($I$1-1)*-1),0)))</f>
        <v>319.47499999999997</v>
      </c>
      <c r="J1096" s="6">
        <f ca="1">IF(ROW($J1096)-1&lt;$K$1,$F1096,AVERAGE($F1096:OFFSET($F1096,(($K$1-1)*-1),0)))</f>
        <v>314.34464285714284</v>
      </c>
      <c r="L1096" s="7">
        <f t="shared" ca="1" si="102"/>
        <v>1</v>
      </c>
      <c r="M1096" s="7" t="str">
        <f t="shared" ca="1" si="103"/>
        <v/>
      </c>
      <c r="N1096" s="6" t="str">
        <f t="shared" ca="1" si="104"/>
        <v/>
      </c>
      <c r="O1096" s="6">
        <f t="shared" si="105"/>
        <v>-4.8000000000000114</v>
      </c>
      <c r="Q1096" s="6">
        <v>6.8500000000000227</v>
      </c>
      <c r="R1096" s="9">
        <f t="shared" si="106"/>
        <v>2568.7500000000086</v>
      </c>
      <c r="S1096" s="7">
        <f t="shared" si="101"/>
        <v>12206.250000000005</v>
      </c>
    </row>
    <row r="1097" spans="1:19" x14ac:dyDescent="0.25">
      <c r="A1097" s="4">
        <f>Sheet1!A1097</f>
        <v>40674</v>
      </c>
      <c r="B1097" s="5">
        <f>Sheet1!B1097</f>
        <v>0.58333333333333337</v>
      </c>
      <c r="C1097" s="6">
        <f>Sheet1!C1097</f>
        <v>311.39999999999998</v>
      </c>
      <c r="D1097" s="6">
        <f>Sheet1!D1097</f>
        <v>312</v>
      </c>
      <c r="E1097" s="6">
        <f>Sheet1!E1097</f>
        <v>300.95</v>
      </c>
      <c r="F1097" s="6">
        <f>Sheet1!F1097</f>
        <v>301.55</v>
      </c>
      <c r="H1097" s="6">
        <f ca="1">IF(ROW($H1097)-1&lt;$I$1,$F1097,AVERAGE($F1097:OFFSET($F1097,(($I$1-1)*-1),0)))</f>
        <v>313.97499999999997</v>
      </c>
      <c r="J1097" s="6">
        <f ca="1">IF(ROW($J1097)-1&lt;$K$1,$F1097,AVERAGE($F1097:OFFSET($F1097,(($K$1-1)*-1),0)))</f>
        <v>314.56249999999994</v>
      </c>
      <c r="L1097" s="7">
        <f t="shared" ca="1" si="102"/>
        <v>-1</v>
      </c>
      <c r="M1097" s="7">
        <f t="shared" ca="1" si="103"/>
        <v>-1</v>
      </c>
      <c r="N1097" s="6" t="str">
        <f t="shared" ca="1" si="104"/>
        <v/>
      </c>
      <c r="O1097" s="6">
        <f t="shared" si="105"/>
        <v>-9.4499999999999886</v>
      </c>
      <c r="Q1097" s="6">
        <v>-2.5999999999999659</v>
      </c>
      <c r="R1097" s="9">
        <f t="shared" si="106"/>
        <v>-974.99999999998727</v>
      </c>
      <c r="S1097" s="7">
        <f t="shared" si="101"/>
        <v>12206.250000000005</v>
      </c>
    </row>
    <row r="1098" spans="1:19" x14ac:dyDescent="0.25">
      <c r="A1098" s="4">
        <f>Sheet1!A1098</f>
        <v>40675</v>
      </c>
      <c r="B1098" s="5">
        <f>Sheet1!B1098</f>
        <v>0.58333333333333337</v>
      </c>
      <c r="C1098" s="6">
        <f>Sheet1!C1098</f>
        <v>302.05</v>
      </c>
      <c r="D1098" s="6">
        <f>Sheet1!D1098</f>
        <v>305.2</v>
      </c>
      <c r="E1098" s="6">
        <f>Sheet1!E1098</f>
        <v>299.3</v>
      </c>
      <c r="F1098" s="6">
        <f>Sheet1!F1098</f>
        <v>303.35000000000002</v>
      </c>
      <c r="H1098" s="6">
        <f ca="1">IF(ROW($H1098)-1&lt;$I$1,$F1098,AVERAGE($F1098:OFFSET($F1098,(($I$1-1)*-1),0)))</f>
        <v>310.71666666666664</v>
      </c>
      <c r="J1098" s="6">
        <f ca="1">IF(ROW($J1098)-1&lt;$K$1,$F1098,AVERAGE($F1098:OFFSET($F1098,(($K$1-1)*-1),0)))</f>
        <v>314.97678571428571</v>
      </c>
      <c r="L1098" s="7">
        <f t="shared" ca="1" si="102"/>
        <v>-1</v>
      </c>
      <c r="M1098" s="7" t="str">
        <f t="shared" ca="1" si="103"/>
        <v/>
      </c>
      <c r="N1098" s="6">
        <f t="shared" ca="1" si="104"/>
        <v>302.05</v>
      </c>
      <c r="O1098" s="6">
        <f t="shared" si="105"/>
        <v>1.8000000000000114</v>
      </c>
      <c r="P1098" s="6">
        <v>-2.0999999999999659</v>
      </c>
      <c r="Q1098" s="6">
        <v>-1.3000000000000114</v>
      </c>
      <c r="R1098" s="9">
        <f t="shared" si="106"/>
        <v>-487.50000000000426</v>
      </c>
      <c r="S1098" s="7">
        <f t="shared" si="101"/>
        <v>11418.750000000018</v>
      </c>
    </row>
    <row r="1099" spans="1:19" x14ac:dyDescent="0.25">
      <c r="A1099" s="4">
        <f>Sheet1!A1099</f>
        <v>40676</v>
      </c>
      <c r="B1099" s="5">
        <f>Sheet1!B1099</f>
        <v>0.58333333333333337</v>
      </c>
      <c r="C1099" s="6">
        <f>Sheet1!C1099</f>
        <v>305.2</v>
      </c>
      <c r="D1099" s="6">
        <f>Sheet1!D1099</f>
        <v>306.39999999999998</v>
      </c>
      <c r="E1099" s="6">
        <f>Sheet1!E1099</f>
        <v>297.05</v>
      </c>
      <c r="F1099" s="6">
        <f>Sheet1!F1099</f>
        <v>297.8</v>
      </c>
      <c r="H1099" s="6">
        <f ca="1">IF(ROW($H1099)-1&lt;$I$1,$F1099,AVERAGE($F1099:OFFSET($F1099,(($I$1-1)*-1),0)))</f>
        <v>307.57499999999999</v>
      </c>
      <c r="J1099" s="6">
        <f ca="1">IF(ROW($J1099)-1&lt;$K$1,$F1099,AVERAGE($F1099:OFFSET($F1099,(($K$1-1)*-1),0)))</f>
        <v>315.34464285714284</v>
      </c>
      <c r="L1099" s="7">
        <f t="shared" ca="1" si="102"/>
        <v>-1</v>
      </c>
      <c r="M1099" s="7" t="str">
        <f t="shared" ca="1" si="103"/>
        <v/>
      </c>
      <c r="N1099" s="6" t="str">
        <f t="shared" ca="1" si="104"/>
        <v/>
      </c>
      <c r="O1099" s="6">
        <f t="shared" si="105"/>
        <v>-5.5500000000000114</v>
      </c>
      <c r="Q1099" s="6">
        <v>4.25</v>
      </c>
      <c r="R1099" s="9">
        <f t="shared" si="106"/>
        <v>1593.75</v>
      </c>
      <c r="S1099" s="7">
        <f t="shared" si="101"/>
        <v>11418.750000000018</v>
      </c>
    </row>
    <row r="1100" spans="1:19" x14ac:dyDescent="0.25">
      <c r="A1100" s="4">
        <f>Sheet1!A1100</f>
        <v>40679</v>
      </c>
      <c r="B1100" s="5">
        <f>Sheet1!B1100</f>
        <v>0.58333333333333337</v>
      </c>
      <c r="C1100" s="6">
        <f>Sheet1!C1100</f>
        <v>297.7</v>
      </c>
      <c r="D1100" s="6">
        <f>Sheet1!D1100</f>
        <v>300.55</v>
      </c>
      <c r="E1100" s="6">
        <f>Sheet1!E1100</f>
        <v>291.45</v>
      </c>
      <c r="F1100" s="6">
        <f>Sheet1!F1100</f>
        <v>292.5</v>
      </c>
      <c r="H1100" s="6">
        <f ca="1">IF(ROW($H1100)-1&lt;$I$1,$F1100,AVERAGE($F1100:OFFSET($F1100,(($I$1-1)*-1),0)))</f>
        <v>303.66666666666663</v>
      </c>
      <c r="J1100" s="6">
        <f ca="1">IF(ROW($J1100)-1&lt;$K$1,$F1100,AVERAGE($F1100:OFFSET($F1100,(($K$1-1)*-1),0)))</f>
        <v>315.0928571428571</v>
      </c>
      <c r="L1100" s="7">
        <f t="shared" ca="1" si="102"/>
        <v>-1</v>
      </c>
      <c r="M1100" s="7" t="str">
        <f t="shared" ca="1" si="103"/>
        <v/>
      </c>
      <c r="N1100" s="6" t="str">
        <f t="shared" ca="1" si="104"/>
        <v/>
      </c>
      <c r="O1100" s="6">
        <f t="shared" si="105"/>
        <v>-5.3000000000000114</v>
      </c>
      <c r="Q1100" s="6">
        <v>9.5500000000000114</v>
      </c>
      <c r="R1100" s="9">
        <f t="shared" si="106"/>
        <v>3581.2500000000041</v>
      </c>
      <c r="S1100" s="7">
        <f t="shared" si="101"/>
        <v>11418.750000000018</v>
      </c>
    </row>
    <row r="1101" spans="1:19" x14ac:dyDescent="0.25">
      <c r="A1101" s="4">
        <f>Sheet1!A1101</f>
        <v>40680</v>
      </c>
      <c r="B1101" s="5">
        <f>Sheet1!B1101</f>
        <v>0.58333333333333337</v>
      </c>
      <c r="C1101" s="6">
        <f>Sheet1!C1101</f>
        <v>292.5</v>
      </c>
      <c r="D1101" s="6">
        <f>Sheet1!D1101</f>
        <v>296.8</v>
      </c>
      <c r="E1101" s="6">
        <f>Sheet1!E1101</f>
        <v>292</v>
      </c>
      <c r="F1101" s="6">
        <f>Sheet1!F1101</f>
        <v>294.5</v>
      </c>
      <c r="H1101" s="6">
        <f ca="1">IF(ROW($H1101)-1&lt;$I$1,$F1101,AVERAGE($F1101:OFFSET($F1101,(($I$1-1)*-1),0)))</f>
        <v>300.11666666666667</v>
      </c>
      <c r="J1101" s="6">
        <f ca="1">IF(ROW($J1101)-1&lt;$K$1,$F1101,AVERAGE($F1101:OFFSET($F1101,(($K$1-1)*-1),0)))</f>
        <v>315.02321428571429</v>
      </c>
      <c r="L1101" s="7">
        <f t="shared" ca="1" si="102"/>
        <v>-1</v>
      </c>
      <c r="M1101" s="7" t="str">
        <f t="shared" ca="1" si="103"/>
        <v/>
      </c>
      <c r="N1101" s="6" t="str">
        <f t="shared" ca="1" si="104"/>
        <v/>
      </c>
      <c r="O1101" s="6">
        <f t="shared" si="105"/>
        <v>2</v>
      </c>
      <c r="Q1101" s="6">
        <v>7.5500000000000114</v>
      </c>
      <c r="R1101" s="9">
        <f t="shared" si="106"/>
        <v>2831.2500000000041</v>
      </c>
      <c r="S1101" s="7">
        <f t="shared" si="101"/>
        <v>11418.750000000018</v>
      </c>
    </row>
    <row r="1102" spans="1:19" x14ac:dyDescent="0.25">
      <c r="A1102" s="4">
        <f>Sheet1!A1102</f>
        <v>40681</v>
      </c>
      <c r="B1102" s="5">
        <f>Sheet1!B1102</f>
        <v>0.58333333333333337</v>
      </c>
      <c r="C1102" s="6">
        <f>Sheet1!C1102</f>
        <v>296.55</v>
      </c>
      <c r="D1102" s="6">
        <f>Sheet1!D1102</f>
        <v>303.35000000000002</v>
      </c>
      <c r="E1102" s="6">
        <f>Sheet1!E1102</f>
        <v>296.10000000000002</v>
      </c>
      <c r="F1102" s="6">
        <f>Sheet1!F1102</f>
        <v>298.45</v>
      </c>
      <c r="H1102" s="6">
        <f ca="1">IF(ROW($H1102)-1&lt;$I$1,$F1102,AVERAGE($F1102:OFFSET($F1102,(($I$1-1)*-1),0)))</f>
        <v>298.02500000000003</v>
      </c>
      <c r="J1102" s="6">
        <f ca="1">IF(ROW($J1102)-1&lt;$K$1,$F1102,AVERAGE($F1102:OFFSET($F1102,(($K$1-1)*-1),0)))</f>
        <v>314.82142857142856</v>
      </c>
      <c r="L1102" s="7">
        <f t="shared" ca="1" si="102"/>
        <v>-1</v>
      </c>
      <c r="M1102" s="7" t="str">
        <f t="shared" ca="1" si="103"/>
        <v/>
      </c>
      <c r="N1102" s="6" t="str">
        <f t="shared" ca="1" si="104"/>
        <v/>
      </c>
      <c r="O1102" s="6">
        <f t="shared" si="105"/>
        <v>3.9499999999999886</v>
      </c>
      <c r="Q1102" s="6">
        <v>3.6000000000000227</v>
      </c>
      <c r="R1102" s="9">
        <f t="shared" si="106"/>
        <v>1350.0000000000086</v>
      </c>
      <c r="S1102" s="7">
        <f t="shared" si="101"/>
        <v>11418.750000000018</v>
      </c>
    </row>
    <row r="1103" spans="1:19" x14ac:dyDescent="0.25">
      <c r="A1103" s="4">
        <f>Sheet1!A1103</f>
        <v>40682</v>
      </c>
      <c r="B1103" s="5">
        <f>Sheet1!B1103</f>
        <v>0.58333333333333337</v>
      </c>
      <c r="C1103" s="6">
        <f>Sheet1!C1103</f>
        <v>298.8</v>
      </c>
      <c r="D1103" s="6">
        <f>Sheet1!D1103</f>
        <v>299.89999999999998</v>
      </c>
      <c r="E1103" s="6">
        <f>Sheet1!E1103</f>
        <v>290.85000000000002</v>
      </c>
      <c r="F1103" s="6">
        <f>Sheet1!F1103</f>
        <v>292.10000000000002</v>
      </c>
      <c r="H1103" s="6">
        <f ca="1">IF(ROW($H1103)-1&lt;$I$1,$F1103,AVERAGE($F1103:OFFSET($F1103,(($I$1-1)*-1),0)))</f>
        <v>296.45000000000005</v>
      </c>
      <c r="J1103" s="6">
        <f ca="1">IF(ROW($J1103)-1&lt;$K$1,$F1103,AVERAGE($F1103:OFFSET($F1103,(($K$1-1)*-1),0)))</f>
        <v>314.31607142857143</v>
      </c>
      <c r="L1103" s="7">
        <f t="shared" ca="1" si="102"/>
        <v>-1</v>
      </c>
      <c r="M1103" s="7" t="str">
        <f t="shared" ca="1" si="103"/>
        <v/>
      </c>
      <c r="N1103" s="6" t="str">
        <f t="shared" ca="1" si="104"/>
        <v/>
      </c>
      <c r="O1103" s="6">
        <f t="shared" si="105"/>
        <v>-6.3499999999999659</v>
      </c>
      <c r="Q1103" s="6">
        <v>9.9499999999999886</v>
      </c>
      <c r="R1103" s="9">
        <f t="shared" si="106"/>
        <v>3731.2499999999959</v>
      </c>
      <c r="S1103" s="7">
        <f t="shared" si="101"/>
        <v>11418.750000000018</v>
      </c>
    </row>
    <row r="1104" spans="1:19" x14ac:dyDescent="0.25">
      <c r="A1104" s="4">
        <f>Sheet1!A1104</f>
        <v>40683</v>
      </c>
      <c r="B1104" s="5">
        <f>Sheet1!B1104</f>
        <v>0.58333333333333337</v>
      </c>
      <c r="C1104" s="6">
        <f>Sheet1!C1104</f>
        <v>293.39999999999998</v>
      </c>
      <c r="D1104" s="6">
        <f>Sheet1!D1104</f>
        <v>296.35000000000002</v>
      </c>
      <c r="E1104" s="6">
        <f>Sheet1!E1104</f>
        <v>287</v>
      </c>
      <c r="F1104" s="6">
        <f>Sheet1!F1104</f>
        <v>287.55</v>
      </c>
      <c r="H1104" s="6">
        <f ca="1">IF(ROW($H1104)-1&lt;$I$1,$F1104,AVERAGE($F1104:OFFSET($F1104,(($I$1-1)*-1),0)))</f>
        <v>293.81666666666666</v>
      </c>
      <c r="J1104" s="6">
        <f ca="1">IF(ROW($J1104)-1&lt;$K$1,$F1104,AVERAGE($F1104:OFFSET($F1104,(($K$1-1)*-1),0)))</f>
        <v>313.65714285714284</v>
      </c>
      <c r="L1104" s="7">
        <f t="shared" ca="1" si="102"/>
        <v>-1</v>
      </c>
      <c r="M1104" s="7" t="str">
        <f t="shared" ca="1" si="103"/>
        <v/>
      </c>
      <c r="N1104" s="6" t="str">
        <f t="shared" ca="1" si="104"/>
        <v/>
      </c>
      <c r="O1104" s="6">
        <f t="shared" si="105"/>
        <v>-4.5500000000000114</v>
      </c>
      <c r="Q1104" s="6">
        <v>14.5</v>
      </c>
      <c r="R1104" s="9">
        <f t="shared" si="106"/>
        <v>5437.5</v>
      </c>
      <c r="S1104" s="7">
        <f t="shared" ref="S1104:S1167" si="107">S1103+(P1104*375)</f>
        <v>11418.750000000018</v>
      </c>
    </row>
    <row r="1105" spans="1:19" x14ac:dyDescent="0.25">
      <c r="A1105" s="4">
        <f>Sheet1!A1105</f>
        <v>40686</v>
      </c>
      <c r="B1105" s="5">
        <f>Sheet1!B1105</f>
        <v>0.58333333333333337</v>
      </c>
      <c r="C1105" s="6">
        <f>Sheet1!C1105</f>
        <v>287.55</v>
      </c>
      <c r="D1105" s="6">
        <f>Sheet1!D1105</f>
        <v>293.05</v>
      </c>
      <c r="E1105" s="6">
        <f>Sheet1!E1105</f>
        <v>287.3</v>
      </c>
      <c r="F1105" s="6">
        <f>Sheet1!F1105</f>
        <v>290.95</v>
      </c>
      <c r="H1105" s="6">
        <f ca="1">IF(ROW($H1105)-1&lt;$I$1,$F1105,AVERAGE($F1105:OFFSET($F1105,(($I$1-1)*-1),0)))</f>
        <v>292.67500000000001</v>
      </c>
      <c r="J1105" s="6">
        <f ca="1">IF(ROW($J1105)-1&lt;$K$1,$F1105,AVERAGE($F1105:OFFSET($F1105,(($K$1-1)*-1),0)))</f>
        <v>313.14464285714286</v>
      </c>
      <c r="L1105" s="7">
        <f t="shared" ca="1" si="102"/>
        <v>-1</v>
      </c>
      <c r="M1105" s="7" t="str">
        <f t="shared" ca="1" si="103"/>
        <v/>
      </c>
      <c r="N1105" s="6" t="str">
        <f t="shared" ca="1" si="104"/>
        <v/>
      </c>
      <c r="O1105" s="6">
        <f t="shared" si="105"/>
        <v>3.3999999999999773</v>
      </c>
      <c r="Q1105" s="6">
        <v>11.100000000000023</v>
      </c>
      <c r="R1105" s="9">
        <f t="shared" si="106"/>
        <v>4162.5000000000082</v>
      </c>
      <c r="S1105" s="7">
        <f t="shared" si="107"/>
        <v>11418.750000000018</v>
      </c>
    </row>
    <row r="1106" spans="1:19" x14ac:dyDescent="0.25">
      <c r="A1106" s="4">
        <f>Sheet1!A1106</f>
        <v>40687</v>
      </c>
      <c r="B1106" s="5">
        <f>Sheet1!B1106</f>
        <v>0.58333333333333337</v>
      </c>
      <c r="C1106" s="6">
        <f>Sheet1!C1106</f>
        <v>291.8</v>
      </c>
      <c r="D1106" s="6">
        <f>Sheet1!D1106</f>
        <v>293.89999999999998</v>
      </c>
      <c r="E1106" s="6">
        <f>Sheet1!E1106</f>
        <v>289.10000000000002</v>
      </c>
      <c r="F1106" s="6">
        <f>Sheet1!F1106</f>
        <v>289.60000000000002</v>
      </c>
      <c r="H1106" s="6">
        <f ca="1">IF(ROW($H1106)-1&lt;$I$1,$F1106,AVERAGE($F1106:OFFSET($F1106,(($I$1-1)*-1),0)))</f>
        <v>292.19166666666666</v>
      </c>
      <c r="J1106" s="6">
        <f ca="1">IF(ROW($J1106)-1&lt;$K$1,$F1106,AVERAGE($F1106:OFFSET($F1106,(($K$1-1)*-1),0)))</f>
        <v>312.34107142857147</v>
      </c>
      <c r="L1106" s="7">
        <f t="shared" ca="1" si="102"/>
        <v>-1</v>
      </c>
      <c r="M1106" s="7" t="str">
        <f t="shared" ca="1" si="103"/>
        <v/>
      </c>
      <c r="N1106" s="6" t="str">
        <f t="shared" ca="1" si="104"/>
        <v/>
      </c>
      <c r="O1106" s="6">
        <f t="shared" si="105"/>
        <v>-1.3499999999999659</v>
      </c>
      <c r="Q1106" s="6">
        <v>12.449999999999989</v>
      </c>
      <c r="R1106" s="9">
        <f t="shared" si="106"/>
        <v>4668.7499999999955</v>
      </c>
      <c r="S1106" s="7">
        <f t="shared" si="107"/>
        <v>11418.750000000018</v>
      </c>
    </row>
    <row r="1107" spans="1:19" x14ac:dyDescent="0.25">
      <c r="A1107" s="4">
        <f>Sheet1!A1107</f>
        <v>40688</v>
      </c>
      <c r="B1107" s="5">
        <f>Sheet1!B1107</f>
        <v>0.58333333333333337</v>
      </c>
      <c r="C1107" s="6">
        <f>Sheet1!C1107</f>
        <v>289.8</v>
      </c>
      <c r="D1107" s="6">
        <f>Sheet1!D1107</f>
        <v>297.85000000000002</v>
      </c>
      <c r="E1107" s="6">
        <f>Sheet1!E1107</f>
        <v>287.39999999999998</v>
      </c>
      <c r="F1107" s="6">
        <f>Sheet1!F1107</f>
        <v>293.25</v>
      </c>
      <c r="H1107" s="6">
        <f ca="1">IF(ROW($H1107)-1&lt;$I$1,$F1107,AVERAGE($F1107:OFFSET($F1107,(($I$1-1)*-1),0)))</f>
        <v>291.98333333333335</v>
      </c>
      <c r="J1107" s="6">
        <f ca="1">IF(ROW($J1107)-1&lt;$K$1,$F1107,AVERAGE($F1107:OFFSET($F1107,(($K$1-1)*-1),0)))</f>
        <v>311.61607142857144</v>
      </c>
      <c r="L1107" s="7">
        <f t="shared" ca="1" si="102"/>
        <v>-1</v>
      </c>
      <c r="M1107" s="7" t="str">
        <f t="shared" ca="1" si="103"/>
        <v/>
      </c>
      <c r="N1107" s="6" t="str">
        <f t="shared" ca="1" si="104"/>
        <v/>
      </c>
      <c r="O1107" s="6">
        <f t="shared" si="105"/>
        <v>3.6499999999999773</v>
      </c>
      <c r="Q1107" s="6">
        <v>8.8000000000000114</v>
      </c>
      <c r="R1107" s="9">
        <f t="shared" si="106"/>
        <v>3300.0000000000041</v>
      </c>
      <c r="S1107" s="7">
        <f t="shared" si="107"/>
        <v>11418.750000000018</v>
      </c>
    </row>
    <row r="1108" spans="1:19" x14ac:dyDescent="0.25">
      <c r="A1108" s="4">
        <f>Sheet1!A1108</f>
        <v>40689</v>
      </c>
      <c r="B1108" s="5">
        <f>Sheet1!B1108</f>
        <v>0.58333333333333337</v>
      </c>
      <c r="C1108" s="6">
        <f>Sheet1!C1108</f>
        <v>295.25</v>
      </c>
      <c r="D1108" s="6">
        <f>Sheet1!D1108</f>
        <v>295.89999999999998</v>
      </c>
      <c r="E1108" s="6">
        <f>Sheet1!E1108</f>
        <v>290.55</v>
      </c>
      <c r="F1108" s="6">
        <f>Sheet1!F1108</f>
        <v>294</v>
      </c>
      <c r="H1108" s="6">
        <f ca="1">IF(ROW($H1108)-1&lt;$I$1,$F1108,AVERAGE($F1108:OFFSET($F1108,(($I$1-1)*-1),0)))</f>
        <v>291.24166666666673</v>
      </c>
      <c r="J1108" s="6">
        <f ca="1">IF(ROW($J1108)-1&lt;$K$1,$F1108,AVERAGE($F1108:OFFSET($F1108,(($K$1-1)*-1),0)))</f>
        <v>310.70535714285722</v>
      </c>
      <c r="L1108" s="7">
        <f t="shared" ca="1" si="102"/>
        <v>-1</v>
      </c>
      <c r="M1108" s="7" t="str">
        <f t="shared" ca="1" si="103"/>
        <v/>
      </c>
      <c r="N1108" s="6" t="str">
        <f t="shared" ca="1" si="104"/>
        <v/>
      </c>
      <c r="O1108" s="6">
        <f t="shared" si="105"/>
        <v>0.75</v>
      </c>
      <c r="Q1108" s="6">
        <v>8.0500000000000114</v>
      </c>
      <c r="R1108" s="9">
        <f t="shared" si="106"/>
        <v>3018.7500000000041</v>
      </c>
      <c r="S1108" s="7">
        <f t="shared" si="107"/>
        <v>11418.750000000018</v>
      </c>
    </row>
    <row r="1109" spans="1:19" x14ac:dyDescent="0.25">
      <c r="A1109" s="4">
        <f>Sheet1!A1109</f>
        <v>40690</v>
      </c>
      <c r="B1109" s="5">
        <f>Sheet1!B1109</f>
        <v>0.58333333333333337</v>
      </c>
      <c r="C1109" s="6">
        <f>Sheet1!C1109</f>
        <v>295.3</v>
      </c>
      <c r="D1109" s="6">
        <f>Sheet1!D1109</f>
        <v>298.7</v>
      </c>
      <c r="E1109" s="6">
        <f>Sheet1!E1109</f>
        <v>290.75</v>
      </c>
      <c r="F1109" s="6">
        <f>Sheet1!F1109</f>
        <v>292.10000000000002</v>
      </c>
      <c r="H1109" s="6">
        <f ca="1">IF(ROW($H1109)-1&lt;$I$1,$F1109,AVERAGE($F1109:OFFSET($F1109,(($I$1-1)*-1),0)))</f>
        <v>291.24166666666662</v>
      </c>
      <c r="J1109" s="6">
        <f ca="1">IF(ROW($J1109)-1&lt;$K$1,$F1109,AVERAGE($F1109:OFFSET($F1109,(($K$1-1)*-1),0)))</f>
        <v>309.85892857142863</v>
      </c>
      <c r="L1109" s="7">
        <f t="shared" ca="1" si="102"/>
        <v>-1</v>
      </c>
      <c r="M1109" s="7" t="str">
        <f t="shared" ca="1" si="103"/>
        <v/>
      </c>
      <c r="N1109" s="6" t="str">
        <f t="shared" ca="1" si="104"/>
        <v/>
      </c>
      <c r="O1109" s="6">
        <f t="shared" si="105"/>
        <v>-1.8999999999999773</v>
      </c>
      <c r="Q1109" s="6">
        <v>9.9499999999999886</v>
      </c>
      <c r="R1109" s="9">
        <f t="shared" si="106"/>
        <v>3731.2499999999959</v>
      </c>
      <c r="S1109" s="7">
        <f t="shared" si="107"/>
        <v>11418.750000000018</v>
      </c>
    </row>
    <row r="1110" spans="1:19" x14ac:dyDescent="0.25">
      <c r="A1110" s="4">
        <f>Sheet1!A1110</f>
        <v>40694</v>
      </c>
      <c r="B1110" s="5">
        <f>Sheet1!B1110</f>
        <v>0.58333333333333337</v>
      </c>
      <c r="C1110" s="6">
        <f>Sheet1!C1110</f>
        <v>293.10000000000002</v>
      </c>
      <c r="D1110" s="6">
        <f>Sheet1!D1110</f>
        <v>296.8</v>
      </c>
      <c r="E1110" s="6">
        <f>Sheet1!E1110</f>
        <v>291.89999999999998</v>
      </c>
      <c r="F1110" s="6">
        <f>Sheet1!F1110</f>
        <v>293</v>
      </c>
      <c r="H1110" s="6">
        <f ca="1">IF(ROW($H1110)-1&lt;$I$1,$F1110,AVERAGE($F1110:OFFSET($F1110,(($I$1-1)*-1),0)))</f>
        <v>292.15000000000003</v>
      </c>
      <c r="J1110" s="6">
        <f ca="1">IF(ROW($J1110)-1&lt;$K$1,$F1110,AVERAGE($F1110:OFFSET($F1110,(($K$1-1)*-1),0)))</f>
        <v>308.80000000000007</v>
      </c>
      <c r="L1110" s="7">
        <f t="shared" ca="1" si="102"/>
        <v>-1</v>
      </c>
      <c r="M1110" s="7" t="str">
        <f t="shared" ca="1" si="103"/>
        <v/>
      </c>
      <c r="N1110" s="6" t="str">
        <f t="shared" ca="1" si="104"/>
        <v/>
      </c>
      <c r="O1110" s="6">
        <f t="shared" si="105"/>
        <v>0.89999999999997726</v>
      </c>
      <c r="Q1110" s="6">
        <v>9.0500000000000114</v>
      </c>
      <c r="R1110" s="9">
        <f t="shared" si="106"/>
        <v>3393.7500000000041</v>
      </c>
      <c r="S1110" s="7">
        <f t="shared" si="107"/>
        <v>11418.750000000018</v>
      </c>
    </row>
    <row r="1111" spans="1:19" x14ac:dyDescent="0.25">
      <c r="A1111" s="4">
        <f>Sheet1!A1111</f>
        <v>40695</v>
      </c>
      <c r="B1111" s="5">
        <f>Sheet1!B1111</f>
        <v>0.58333333333333337</v>
      </c>
      <c r="C1111" s="6">
        <f>Sheet1!C1111</f>
        <v>292.64999999999998</v>
      </c>
      <c r="D1111" s="6">
        <f>Sheet1!D1111</f>
        <v>293.3</v>
      </c>
      <c r="E1111" s="6">
        <f>Sheet1!E1111</f>
        <v>283.64999999999998</v>
      </c>
      <c r="F1111" s="6">
        <f>Sheet1!F1111</f>
        <v>284.35000000000002</v>
      </c>
      <c r="H1111" s="6">
        <f ca="1">IF(ROW($H1111)-1&lt;$I$1,$F1111,AVERAGE($F1111:OFFSET($F1111,(($I$1-1)*-1),0)))</f>
        <v>291.05</v>
      </c>
      <c r="J1111" s="6">
        <f ca="1">IF(ROW($J1111)-1&lt;$K$1,$F1111,AVERAGE($F1111:OFFSET($F1111,(($K$1-1)*-1),0)))</f>
        <v>307.24642857142868</v>
      </c>
      <c r="L1111" s="7">
        <f t="shared" ca="1" si="102"/>
        <v>-1</v>
      </c>
      <c r="M1111" s="7" t="str">
        <f t="shared" ca="1" si="103"/>
        <v/>
      </c>
      <c r="N1111" s="6" t="str">
        <f t="shared" ca="1" si="104"/>
        <v/>
      </c>
      <c r="O1111" s="6">
        <f t="shared" si="105"/>
        <v>-8.6499999999999773</v>
      </c>
      <c r="Q1111" s="6">
        <v>17.699999999999989</v>
      </c>
      <c r="R1111" s="9">
        <f t="shared" si="106"/>
        <v>6637.4999999999955</v>
      </c>
      <c r="S1111" s="7">
        <f t="shared" si="107"/>
        <v>11418.750000000018</v>
      </c>
    </row>
    <row r="1112" spans="1:19" x14ac:dyDescent="0.25">
      <c r="A1112" s="4">
        <f>Sheet1!A1112</f>
        <v>40696</v>
      </c>
      <c r="B1112" s="5">
        <f>Sheet1!B1112</f>
        <v>0.58333333333333337</v>
      </c>
      <c r="C1112" s="6">
        <f>Sheet1!C1112</f>
        <v>284.35000000000002</v>
      </c>
      <c r="D1112" s="6">
        <f>Sheet1!D1112</f>
        <v>291.05</v>
      </c>
      <c r="E1112" s="6">
        <f>Sheet1!E1112</f>
        <v>281.7</v>
      </c>
      <c r="F1112" s="6">
        <f>Sheet1!F1112</f>
        <v>289.64999999999998</v>
      </c>
      <c r="H1112" s="6">
        <f ca="1">IF(ROW($H1112)-1&lt;$I$1,$F1112,AVERAGE($F1112:OFFSET($F1112,(($I$1-1)*-1),0)))</f>
        <v>291.05833333333334</v>
      </c>
      <c r="J1112" s="6">
        <f ca="1">IF(ROW($J1112)-1&lt;$K$1,$F1112,AVERAGE($F1112:OFFSET($F1112,(($K$1-1)*-1),0)))</f>
        <v>306.05714285714294</v>
      </c>
      <c r="L1112" s="7">
        <f t="shared" ca="1" si="102"/>
        <v>-1</v>
      </c>
      <c r="M1112" s="7" t="str">
        <f t="shared" ca="1" si="103"/>
        <v/>
      </c>
      <c r="N1112" s="6" t="str">
        <f t="shared" ca="1" si="104"/>
        <v/>
      </c>
      <c r="O1112" s="6">
        <f t="shared" si="105"/>
        <v>5.2999999999999545</v>
      </c>
      <c r="Q1112" s="6">
        <v>12.400000000000034</v>
      </c>
      <c r="R1112" s="9">
        <f t="shared" si="106"/>
        <v>4650.0000000000127</v>
      </c>
      <c r="S1112" s="7">
        <f t="shared" si="107"/>
        <v>11418.750000000018</v>
      </c>
    </row>
    <row r="1113" spans="1:19" x14ac:dyDescent="0.25">
      <c r="A1113" s="4">
        <f>Sheet1!A1113</f>
        <v>40697</v>
      </c>
      <c r="B1113" s="5">
        <f>Sheet1!B1113</f>
        <v>0.58333333333333337</v>
      </c>
      <c r="C1113" s="6">
        <f>Sheet1!C1113</f>
        <v>289.64999999999998</v>
      </c>
      <c r="D1113" s="6">
        <f>Sheet1!D1113</f>
        <v>302.2</v>
      </c>
      <c r="E1113" s="6">
        <f>Sheet1!E1113</f>
        <v>285.25</v>
      </c>
      <c r="F1113" s="6">
        <f>Sheet1!F1113</f>
        <v>299.35000000000002</v>
      </c>
      <c r="H1113" s="6">
        <f ca="1">IF(ROW($H1113)-1&lt;$I$1,$F1113,AVERAGE($F1113:OFFSET($F1113,(($I$1-1)*-1),0)))</f>
        <v>292.07499999999999</v>
      </c>
      <c r="J1113" s="6">
        <f ca="1">IF(ROW($J1113)-1&lt;$K$1,$F1113,AVERAGE($F1113:OFFSET($F1113,(($K$1-1)*-1),0)))</f>
        <v>305.34821428571433</v>
      </c>
      <c r="L1113" s="7">
        <f t="shared" ca="1" si="102"/>
        <v>-1</v>
      </c>
      <c r="M1113" s="7" t="str">
        <f t="shared" ca="1" si="103"/>
        <v/>
      </c>
      <c r="N1113" s="6" t="str">
        <f t="shared" ca="1" si="104"/>
        <v/>
      </c>
      <c r="O1113" s="6">
        <f t="shared" si="105"/>
        <v>9.7000000000000455</v>
      </c>
      <c r="Q1113" s="6">
        <v>2.6999999999999886</v>
      </c>
      <c r="R1113" s="9">
        <f t="shared" si="106"/>
        <v>1012.4999999999957</v>
      </c>
      <c r="S1113" s="7">
        <f t="shared" si="107"/>
        <v>11418.750000000018</v>
      </c>
    </row>
    <row r="1114" spans="1:19" x14ac:dyDescent="0.25">
      <c r="A1114" s="4">
        <f>Sheet1!A1114</f>
        <v>40700</v>
      </c>
      <c r="B1114" s="5">
        <f>Sheet1!B1114</f>
        <v>0.58333333333333337</v>
      </c>
      <c r="C1114" s="6">
        <f>Sheet1!C1114</f>
        <v>298.75</v>
      </c>
      <c r="D1114" s="6">
        <f>Sheet1!D1114</f>
        <v>299.14999999999998</v>
      </c>
      <c r="E1114" s="6">
        <f>Sheet1!E1114</f>
        <v>287.89999999999998</v>
      </c>
      <c r="F1114" s="6">
        <f>Sheet1!F1114</f>
        <v>288.89999999999998</v>
      </c>
      <c r="H1114" s="6">
        <f ca="1">IF(ROW($H1114)-1&lt;$I$1,$F1114,AVERAGE($F1114:OFFSET($F1114,(($I$1-1)*-1),0)))</f>
        <v>291.22499999999997</v>
      </c>
      <c r="J1114" s="6">
        <f ca="1">IF(ROW($J1114)-1&lt;$K$1,$F1114,AVERAGE($F1114:OFFSET($F1114,(($K$1-1)*-1),0)))</f>
        <v>304.06964285714287</v>
      </c>
      <c r="L1114" s="7">
        <f t="shared" ca="1" si="102"/>
        <v>-1</v>
      </c>
      <c r="M1114" s="7" t="str">
        <f t="shared" ca="1" si="103"/>
        <v/>
      </c>
      <c r="N1114" s="6" t="str">
        <f t="shared" ca="1" si="104"/>
        <v/>
      </c>
      <c r="O1114" s="6">
        <f t="shared" si="105"/>
        <v>-10.450000000000045</v>
      </c>
      <c r="Q1114" s="6">
        <v>13.150000000000034</v>
      </c>
      <c r="R1114" s="9">
        <f t="shared" si="106"/>
        <v>4931.2500000000127</v>
      </c>
      <c r="S1114" s="7">
        <f t="shared" si="107"/>
        <v>11418.750000000018</v>
      </c>
    </row>
    <row r="1115" spans="1:19" x14ac:dyDescent="0.25">
      <c r="A1115" s="4">
        <f>Sheet1!A1115</f>
        <v>40701</v>
      </c>
      <c r="B1115" s="5">
        <f>Sheet1!B1115</f>
        <v>0.58333333333333337</v>
      </c>
      <c r="C1115" s="6">
        <f>Sheet1!C1115</f>
        <v>288.39999999999998</v>
      </c>
      <c r="D1115" s="6">
        <f>Sheet1!D1115</f>
        <v>293.89999999999998</v>
      </c>
      <c r="E1115" s="6">
        <f>Sheet1!E1115</f>
        <v>288.39999999999998</v>
      </c>
      <c r="F1115" s="6">
        <f>Sheet1!F1115</f>
        <v>291.39999999999998</v>
      </c>
      <c r="H1115" s="6">
        <f ca="1">IF(ROW($H1115)-1&lt;$I$1,$F1115,AVERAGE($F1115:OFFSET($F1115,(($I$1-1)*-1),0)))</f>
        <v>291.10833333333335</v>
      </c>
      <c r="J1115" s="6">
        <f ca="1">IF(ROW($J1115)-1&lt;$K$1,$F1115,AVERAGE($F1115:OFFSET($F1115,(($K$1-1)*-1),0)))</f>
        <v>302.87678571428575</v>
      </c>
      <c r="L1115" s="7">
        <f t="shared" ca="1" si="102"/>
        <v>-1</v>
      </c>
      <c r="M1115" s="7" t="str">
        <f t="shared" ca="1" si="103"/>
        <v/>
      </c>
      <c r="N1115" s="6" t="str">
        <f t="shared" ca="1" si="104"/>
        <v/>
      </c>
      <c r="O1115" s="6">
        <f t="shared" si="105"/>
        <v>2.5</v>
      </c>
      <c r="Q1115" s="6">
        <v>10.650000000000034</v>
      </c>
      <c r="R1115" s="9">
        <f t="shared" si="106"/>
        <v>3993.7500000000127</v>
      </c>
      <c r="S1115" s="7">
        <f t="shared" si="107"/>
        <v>11418.750000000018</v>
      </c>
    </row>
    <row r="1116" spans="1:19" x14ac:dyDescent="0.25">
      <c r="A1116" s="4">
        <f>Sheet1!A1116</f>
        <v>40702</v>
      </c>
      <c r="B1116" s="5">
        <f>Sheet1!B1116</f>
        <v>0.58333333333333337</v>
      </c>
      <c r="C1116" s="6">
        <f>Sheet1!C1116</f>
        <v>291</v>
      </c>
      <c r="D1116" s="6">
        <f>Sheet1!D1116</f>
        <v>293.2</v>
      </c>
      <c r="E1116" s="6">
        <f>Sheet1!E1116</f>
        <v>286.39999999999998</v>
      </c>
      <c r="F1116" s="6">
        <f>Sheet1!F1116</f>
        <v>292.25</v>
      </c>
      <c r="H1116" s="6">
        <f ca="1">IF(ROW($H1116)-1&lt;$I$1,$F1116,AVERAGE($F1116:OFFSET($F1116,(($I$1-1)*-1),0)))</f>
        <v>290.98333333333335</v>
      </c>
      <c r="J1116" s="6">
        <f ca="1">IF(ROW($J1116)-1&lt;$K$1,$F1116,AVERAGE($F1116:OFFSET($F1116,(($K$1-1)*-1),0)))</f>
        <v>301.61428571428576</v>
      </c>
      <c r="L1116" s="7">
        <f t="shared" ca="1" si="102"/>
        <v>-1</v>
      </c>
      <c r="M1116" s="7" t="str">
        <f t="shared" ca="1" si="103"/>
        <v/>
      </c>
      <c r="N1116" s="6" t="str">
        <f t="shared" ca="1" si="104"/>
        <v/>
      </c>
      <c r="O1116" s="6">
        <f t="shared" si="105"/>
        <v>0.85000000000002274</v>
      </c>
      <c r="Q1116" s="6">
        <v>9.8000000000000114</v>
      </c>
      <c r="R1116" s="9">
        <f t="shared" si="106"/>
        <v>3675.0000000000041</v>
      </c>
      <c r="S1116" s="7">
        <f t="shared" si="107"/>
        <v>11418.750000000018</v>
      </c>
    </row>
    <row r="1117" spans="1:19" x14ac:dyDescent="0.25">
      <c r="A1117" s="4">
        <f>Sheet1!A1117</f>
        <v>40703</v>
      </c>
      <c r="B1117" s="5">
        <f>Sheet1!B1117</f>
        <v>0.58333333333333337</v>
      </c>
      <c r="C1117" s="6">
        <f>Sheet1!C1117</f>
        <v>293.2</v>
      </c>
      <c r="D1117" s="6">
        <f>Sheet1!D1117</f>
        <v>297.10000000000002</v>
      </c>
      <c r="E1117" s="6">
        <f>Sheet1!E1117</f>
        <v>292.8</v>
      </c>
      <c r="F1117" s="6">
        <f>Sheet1!F1117</f>
        <v>295.2</v>
      </c>
      <c r="H1117" s="6">
        <f ca="1">IF(ROW($H1117)-1&lt;$I$1,$F1117,AVERAGE($F1117:OFFSET($F1117,(($I$1-1)*-1),0)))</f>
        <v>292.79166666666669</v>
      </c>
      <c r="J1117" s="6">
        <f ca="1">IF(ROW($J1117)-1&lt;$K$1,$F1117,AVERAGE($F1117:OFFSET($F1117,(($K$1-1)*-1),0)))</f>
        <v>300.43392857142862</v>
      </c>
      <c r="L1117" s="7">
        <f t="shared" ca="1" si="102"/>
        <v>-1</v>
      </c>
      <c r="M1117" s="7" t="str">
        <f t="shared" ca="1" si="103"/>
        <v/>
      </c>
      <c r="N1117" s="6" t="str">
        <f t="shared" ca="1" si="104"/>
        <v/>
      </c>
      <c r="O1117" s="6">
        <f t="shared" si="105"/>
        <v>2.9499999999999886</v>
      </c>
      <c r="Q1117" s="6">
        <v>6.8500000000000227</v>
      </c>
      <c r="R1117" s="9">
        <f t="shared" si="106"/>
        <v>2568.7500000000086</v>
      </c>
      <c r="S1117" s="7">
        <f t="shared" si="107"/>
        <v>11418.750000000018</v>
      </c>
    </row>
    <row r="1118" spans="1:19" x14ac:dyDescent="0.25">
      <c r="A1118" s="4">
        <f>Sheet1!A1118</f>
        <v>40704</v>
      </c>
      <c r="B1118" s="5">
        <f>Sheet1!B1118</f>
        <v>0.58333333333333337</v>
      </c>
      <c r="C1118" s="6">
        <f>Sheet1!C1118</f>
        <v>295.60000000000002</v>
      </c>
      <c r="D1118" s="6">
        <f>Sheet1!D1118</f>
        <v>297.2</v>
      </c>
      <c r="E1118" s="6">
        <f>Sheet1!E1118</f>
        <v>289.95</v>
      </c>
      <c r="F1118" s="6">
        <f>Sheet1!F1118</f>
        <v>293.35000000000002</v>
      </c>
      <c r="H1118" s="6">
        <f ca="1">IF(ROW($H1118)-1&lt;$I$1,$F1118,AVERAGE($F1118:OFFSET($F1118,(($I$1-1)*-1),0)))</f>
        <v>293.40833333333336</v>
      </c>
      <c r="J1118" s="6">
        <f ca="1">IF(ROW($J1118)-1&lt;$K$1,$F1118,AVERAGE($F1118:OFFSET($F1118,(($K$1-1)*-1),0)))</f>
        <v>299</v>
      </c>
      <c r="L1118" s="7">
        <f t="shared" ca="1" si="102"/>
        <v>-1</v>
      </c>
      <c r="M1118" s="7" t="str">
        <f t="shared" ca="1" si="103"/>
        <v/>
      </c>
      <c r="N1118" s="6" t="str">
        <f t="shared" ca="1" si="104"/>
        <v/>
      </c>
      <c r="O1118" s="6">
        <f t="shared" si="105"/>
        <v>-1.8499999999999659</v>
      </c>
      <c r="Q1118" s="6">
        <v>8.6999999999999886</v>
      </c>
      <c r="R1118" s="9">
        <f t="shared" si="106"/>
        <v>3262.4999999999959</v>
      </c>
      <c r="S1118" s="7">
        <f t="shared" si="107"/>
        <v>11418.750000000018</v>
      </c>
    </row>
    <row r="1119" spans="1:19" x14ac:dyDescent="0.25">
      <c r="A1119" s="4">
        <f>Sheet1!A1119</f>
        <v>40707</v>
      </c>
      <c r="B1119" s="5">
        <f>Sheet1!B1119</f>
        <v>0.58333333333333337</v>
      </c>
      <c r="C1119" s="6">
        <f>Sheet1!C1119</f>
        <v>291</v>
      </c>
      <c r="D1119" s="6">
        <f>Sheet1!D1119</f>
        <v>298.45</v>
      </c>
      <c r="E1119" s="6">
        <f>Sheet1!E1119</f>
        <v>289.39999999999998</v>
      </c>
      <c r="F1119" s="6">
        <f>Sheet1!F1119</f>
        <v>295.5</v>
      </c>
      <c r="H1119" s="6">
        <f ca="1">IF(ROW($H1119)-1&lt;$I$1,$F1119,AVERAGE($F1119:OFFSET($F1119,(($I$1-1)*-1),0)))</f>
        <v>292.76666666666665</v>
      </c>
      <c r="J1119" s="6">
        <f ca="1">IF(ROW($J1119)-1&lt;$K$1,$F1119,AVERAGE($F1119:OFFSET($F1119,(($K$1-1)*-1),0)))</f>
        <v>297.60535714285714</v>
      </c>
      <c r="L1119" s="7">
        <f t="shared" ca="1" si="102"/>
        <v>-1</v>
      </c>
      <c r="M1119" s="7" t="str">
        <f t="shared" ca="1" si="103"/>
        <v/>
      </c>
      <c r="N1119" s="6" t="str">
        <f t="shared" ca="1" si="104"/>
        <v/>
      </c>
      <c r="O1119" s="6">
        <f t="shared" si="105"/>
        <v>2.1499999999999773</v>
      </c>
      <c r="Q1119" s="6">
        <v>6.5500000000000114</v>
      </c>
      <c r="R1119" s="9">
        <f t="shared" si="106"/>
        <v>2456.2500000000041</v>
      </c>
      <c r="S1119" s="7">
        <f t="shared" si="107"/>
        <v>11418.750000000018</v>
      </c>
    </row>
    <row r="1120" spans="1:19" x14ac:dyDescent="0.25">
      <c r="A1120" s="4">
        <f>Sheet1!A1120</f>
        <v>40708</v>
      </c>
      <c r="B1120" s="5">
        <f>Sheet1!B1120</f>
        <v>0.58333333333333337</v>
      </c>
      <c r="C1120" s="6">
        <f>Sheet1!C1120</f>
        <v>295.95</v>
      </c>
      <c r="D1120" s="6">
        <f>Sheet1!D1120</f>
        <v>297.75</v>
      </c>
      <c r="E1120" s="6">
        <f>Sheet1!E1120</f>
        <v>293.10000000000002</v>
      </c>
      <c r="F1120" s="6">
        <f>Sheet1!F1120</f>
        <v>297.3</v>
      </c>
      <c r="H1120" s="6">
        <f ca="1">IF(ROW($H1120)-1&lt;$I$1,$F1120,AVERAGE($F1120:OFFSET($F1120,(($I$1-1)*-1),0)))</f>
        <v>294.16666666666663</v>
      </c>
      <c r="J1120" s="6">
        <f ca="1">IF(ROW($J1120)-1&lt;$K$1,$F1120,AVERAGE($F1120:OFFSET($F1120,(($K$1-1)*-1),0)))</f>
        <v>296.69107142857143</v>
      </c>
      <c r="L1120" s="7">
        <f t="shared" ca="1" si="102"/>
        <v>-1</v>
      </c>
      <c r="M1120" s="7" t="str">
        <f t="shared" ca="1" si="103"/>
        <v/>
      </c>
      <c r="N1120" s="6" t="str">
        <f t="shared" ca="1" si="104"/>
        <v/>
      </c>
      <c r="O1120" s="6">
        <f t="shared" si="105"/>
        <v>1.8000000000000114</v>
      </c>
      <c r="Q1120" s="6">
        <v>4.75</v>
      </c>
      <c r="R1120" s="9">
        <f t="shared" si="106"/>
        <v>1781.25</v>
      </c>
      <c r="S1120" s="7">
        <f t="shared" si="107"/>
        <v>11418.750000000018</v>
      </c>
    </row>
    <row r="1121" spans="1:19" x14ac:dyDescent="0.25">
      <c r="A1121" s="4">
        <f>Sheet1!A1121</f>
        <v>40709</v>
      </c>
      <c r="B1121" s="5">
        <f>Sheet1!B1121</f>
        <v>0.58333333333333337</v>
      </c>
      <c r="C1121" s="6">
        <f>Sheet1!C1121</f>
        <v>296.14999999999998</v>
      </c>
      <c r="D1121" s="6">
        <f>Sheet1!D1121</f>
        <v>298</v>
      </c>
      <c r="E1121" s="6">
        <f>Sheet1!E1121</f>
        <v>288.45</v>
      </c>
      <c r="F1121" s="6">
        <f>Sheet1!F1121</f>
        <v>290.85000000000002</v>
      </c>
      <c r="H1121" s="6">
        <f ca="1">IF(ROW($H1121)-1&lt;$I$1,$F1121,AVERAGE($F1121:OFFSET($F1121,(($I$1-1)*-1),0)))</f>
        <v>294.07500000000005</v>
      </c>
      <c r="J1121" s="6">
        <f ca="1">IF(ROW($J1121)-1&lt;$K$1,$F1121,AVERAGE($F1121:OFFSET($F1121,(($K$1-1)*-1),0)))</f>
        <v>295.76964285714286</v>
      </c>
      <c r="L1121" s="7">
        <f t="shared" ca="1" si="102"/>
        <v>-1</v>
      </c>
      <c r="M1121" s="7" t="str">
        <f t="shared" ca="1" si="103"/>
        <v/>
      </c>
      <c r="N1121" s="6" t="str">
        <f t="shared" ca="1" si="104"/>
        <v/>
      </c>
      <c r="O1121" s="6">
        <f t="shared" si="105"/>
        <v>-6.4499999999999886</v>
      </c>
      <c r="Q1121" s="6">
        <v>11.199999999999989</v>
      </c>
      <c r="R1121" s="9">
        <f t="shared" si="106"/>
        <v>4199.9999999999955</v>
      </c>
      <c r="S1121" s="7">
        <f t="shared" si="107"/>
        <v>11418.750000000018</v>
      </c>
    </row>
    <row r="1122" spans="1:19" x14ac:dyDescent="0.25">
      <c r="A1122" s="4">
        <f>Sheet1!A1122</f>
        <v>40710</v>
      </c>
      <c r="B1122" s="5">
        <f>Sheet1!B1122</f>
        <v>0.58333333333333337</v>
      </c>
      <c r="C1122" s="6">
        <f>Sheet1!C1122</f>
        <v>290.7</v>
      </c>
      <c r="D1122" s="6">
        <f>Sheet1!D1122</f>
        <v>292.64999999999998</v>
      </c>
      <c r="E1122" s="6">
        <f>Sheet1!E1122</f>
        <v>285.55</v>
      </c>
      <c r="F1122" s="6">
        <f>Sheet1!F1122</f>
        <v>286.14999999999998</v>
      </c>
      <c r="H1122" s="6">
        <f ca="1">IF(ROW($H1122)-1&lt;$I$1,$F1122,AVERAGE($F1122:OFFSET($F1122,(($I$1-1)*-1),0)))</f>
        <v>293.05833333333334</v>
      </c>
      <c r="J1122" s="6">
        <f ca="1">IF(ROW($J1122)-1&lt;$K$1,$F1122,AVERAGE($F1122:OFFSET($F1122,(($K$1-1)*-1),0)))</f>
        <v>294.70535714285717</v>
      </c>
      <c r="L1122" s="7">
        <f t="shared" ca="1" si="102"/>
        <v>-1</v>
      </c>
      <c r="M1122" s="7" t="str">
        <f t="shared" ca="1" si="103"/>
        <v/>
      </c>
      <c r="N1122" s="6" t="str">
        <f t="shared" ca="1" si="104"/>
        <v/>
      </c>
      <c r="O1122" s="6">
        <f t="shared" si="105"/>
        <v>-4.7000000000000455</v>
      </c>
      <c r="Q1122" s="6">
        <v>15.900000000000034</v>
      </c>
      <c r="R1122" s="9">
        <f t="shared" si="106"/>
        <v>5962.5000000000127</v>
      </c>
      <c r="S1122" s="7">
        <f t="shared" si="107"/>
        <v>11418.750000000018</v>
      </c>
    </row>
    <row r="1123" spans="1:19" x14ac:dyDescent="0.25">
      <c r="A1123" s="4">
        <f>Sheet1!A1123</f>
        <v>40711</v>
      </c>
      <c r="B1123" s="5">
        <f>Sheet1!B1123</f>
        <v>0.58333333333333337</v>
      </c>
      <c r="C1123" s="6">
        <f>Sheet1!C1123</f>
        <v>286</v>
      </c>
      <c r="D1123" s="6">
        <f>Sheet1!D1123</f>
        <v>289.25</v>
      </c>
      <c r="E1123" s="6">
        <f>Sheet1!E1123</f>
        <v>277.14999999999998</v>
      </c>
      <c r="F1123" s="6">
        <f>Sheet1!F1123</f>
        <v>277.5</v>
      </c>
      <c r="H1123" s="6">
        <f ca="1">IF(ROW($H1123)-1&lt;$I$1,$F1123,AVERAGE($F1123:OFFSET($F1123,(($I$1-1)*-1),0)))</f>
        <v>290.10833333333335</v>
      </c>
      <c r="J1123" s="6">
        <f ca="1">IF(ROW($J1123)-1&lt;$K$1,$F1123,AVERAGE($F1123:OFFSET($F1123,(($K$1-1)*-1),0)))</f>
        <v>293.33750000000003</v>
      </c>
      <c r="L1123" s="7">
        <f t="shared" ca="1" si="102"/>
        <v>-1</v>
      </c>
      <c r="M1123" s="7" t="str">
        <f t="shared" ca="1" si="103"/>
        <v/>
      </c>
      <c r="N1123" s="6" t="str">
        <f t="shared" ca="1" si="104"/>
        <v/>
      </c>
      <c r="O1123" s="6">
        <f t="shared" si="105"/>
        <v>-8.6499999999999773</v>
      </c>
      <c r="Q1123" s="6">
        <v>24.550000000000011</v>
      </c>
      <c r="R1123" s="9">
        <f t="shared" si="106"/>
        <v>9206.2500000000036</v>
      </c>
      <c r="S1123" s="7">
        <f t="shared" si="107"/>
        <v>11418.750000000018</v>
      </c>
    </row>
    <row r="1124" spans="1:19" x14ac:dyDescent="0.25">
      <c r="A1124" s="4">
        <f>Sheet1!A1124</f>
        <v>40714</v>
      </c>
      <c r="B1124" s="5">
        <f>Sheet1!B1124</f>
        <v>0.58333333333333337</v>
      </c>
      <c r="C1124" s="6">
        <f>Sheet1!C1124</f>
        <v>277.95</v>
      </c>
      <c r="D1124" s="6">
        <f>Sheet1!D1124</f>
        <v>278</v>
      </c>
      <c r="E1124" s="6">
        <f>Sheet1!E1124</f>
        <v>271.14999999999998</v>
      </c>
      <c r="F1124" s="6">
        <f>Sheet1!F1124</f>
        <v>271.3</v>
      </c>
      <c r="H1124" s="6">
        <f ca="1">IF(ROW($H1124)-1&lt;$I$1,$F1124,AVERAGE($F1124:OFFSET($F1124,(($I$1-1)*-1),0)))</f>
        <v>286.43333333333334</v>
      </c>
      <c r="J1124" s="6">
        <f ca="1">IF(ROW($J1124)-1&lt;$K$1,$F1124,AVERAGE($F1124:OFFSET($F1124,(($K$1-1)*-1),0)))</f>
        <v>291.91964285714283</v>
      </c>
      <c r="L1124" s="7">
        <f t="shared" ca="1" si="102"/>
        <v>-1</v>
      </c>
      <c r="M1124" s="7" t="str">
        <f t="shared" ca="1" si="103"/>
        <v/>
      </c>
      <c r="N1124" s="6" t="str">
        <f t="shared" ca="1" si="104"/>
        <v/>
      </c>
      <c r="O1124" s="6">
        <f t="shared" si="105"/>
        <v>-6.1999999999999886</v>
      </c>
      <c r="Q1124" s="6">
        <v>30.75</v>
      </c>
      <c r="R1124" s="9">
        <f t="shared" si="106"/>
        <v>11531.25</v>
      </c>
      <c r="S1124" s="7">
        <f t="shared" si="107"/>
        <v>11418.750000000018</v>
      </c>
    </row>
    <row r="1125" spans="1:19" x14ac:dyDescent="0.25">
      <c r="A1125" s="4">
        <f>Sheet1!A1125</f>
        <v>40715</v>
      </c>
      <c r="B1125" s="5">
        <f>Sheet1!B1125</f>
        <v>0.58333333333333337</v>
      </c>
      <c r="C1125" s="6">
        <f>Sheet1!C1125</f>
        <v>271.8</v>
      </c>
      <c r="D1125" s="6">
        <f>Sheet1!D1125</f>
        <v>275</v>
      </c>
      <c r="E1125" s="6">
        <f>Sheet1!E1125</f>
        <v>270.7</v>
      </c>
      <c r="F1125" s="6">
        <f>Sheet1!F1125</f>
        <v>271.95</v>
      </c>
      <c r="H1125" s="6">
        <f ca="1">IF(ROW($H1125)-1&lt;$I$1,$F1125,AVERAGE($F1125:OFFSET($F1125,(($I$1-1)*-1),0)))</f>
        <v>282.50833333333338</v>
      </c>
      <c r="J1125" s="6">
        <f ca="1">IF(ROW($J1125)-1&lt;$K$1,$F1125,AVERAGE($F1125:OFFSET($F1125,(($K$1-1)*-1),0)))</f>
        <v>290.86250000000001</v>
      </c>
      <c r="L1125" s="7">
        <f t="shared" ca="1" si="102"/>
        <v>-1</v>
      </c>
      <c r="M1125" s="7" t="str">
        <f t="shared" ca="1" si="103"/>
        <v/>
      </c>
      <c r="N1125" s="6" t="str">
        <f t="shared" ca="1" si="104"/>
        <v/>
      </c>
      <c r="O1125" s="6">
        <f t="shared" si="105"/>
        <v>0.64999999999997726</v>
      </c>
      <c r="Q1125" s="6">
        <v>30.100000000000023</v>
      </c>
      <c r="R1125" s="9">
        <f t="shared" si="106"/>
        <v>11287.500000000009</v>
      </c>
      <c r="S1125" s="7">
        <f t="shared" si="107"/>
        <v>11418.750000000018</v>
      </c>
    </row>
    <row r="1126" spans="1:19" x14ac:dyDescent="0.25">
      <c r="A1126" s="4">
        <f>Sheet1!A1126</f>
        <v>40716</v>
      </c>
      <c r="B1126" s="5">
        <f>Sheet1!B1126</f>
        <v>0.58333333333333337</v>
      </c>
      <c r="C1126" s="6">
        <f>Sheet1!C1126</f>
        <v>273.39999999999998</v>
      </c>
      <c r="D1126" s="6">
        <f>Sheet1!D1126</f>
        <v>274.10000000000002</v>
      </c>
      <c r="E1126" s="6">
        <f>Sheet1!E1126</f>
        <v>269.45</v>
      </c>
      <c r="F1126" s="6">
        <f>Sheet1!F1126</f>
        <v>271.2</v>
      </c>
      <c r="H1126" s="6">
        <f ca="1">IF(ROW($H1126)-1&lt;$I$1,$F1126,AVERAGE($F1126:OFFSET($F1126,(($I$1-1)*-1),0)))</f>
        <v>278.15833333333336</v>
      </c>
      <c r="J1126" s="6">
        <f ca="1">IF(ROW($J1126)-1&lt;$K$1,$F1126,AVERAGE($F1126:OFFSET($F1126,(($K$1-1)*-1),0)))</f>
        <v>289.71428571428567</v>
      </c>
      <c r="L1126" s="7">
        <f t="shared" ca="1" si="102"/>
        <v>-1</v>
      </c>
      <c r="M1126" s="7" t="str">
        <f t="shared" ca="1" si="103"/>
        <v/>
      </c>
      <c r="N1126" s="6" t="str">
        <f t="shared" ca="1" si="104"/>
        <v/>
      </c>
      <c r="O1126" s="6">
        <f t="shared" si="105"/>
        <v>-0.75</v>
      </c>
      <c r="Q1126" s="6">
        <v>30.850000000000023</v>
      </c>
      <c r="R1126" s="9">
        <f t="shared" si="106"/>
        <v>11568.750000000009</v>
      </c>
      <c r="S1126" s="7">
        <f t="shared" si="107"/>
        <v>11418.750000000018</v>
      </c>
    </row>
    <row r="1127" spans="1:19" x14ac:dyDescent="0.25">
      <c r="A1127" s="4">
        <f>Sheet1!A1127</f>
        <v>40717</v>
      </c>
      <c r="B1127" s="5">
        <f>Sheet1!B1127</f>
        <v>0.58333333333333337</v>
      </c>
      <c r="C1127" s="6">
        <f>Sheet1!C1127</f>
        <v>271.3</v>
      </c>
      <c r="D1127" s="6">
        <f>Sheet1!D1127</f>
        <v>276.8</v>
      </c>
      <c r="E1127" s="6">
        <f>Sheet1!E1127</f>
        <v>266.45</v>
      </c>
      <c r="F1127" s="6">
        <f>Sheet1!F1127</f>
        <v>273.7</v>
      </c>
      <c r="H1127" s="6">
        <f ca="1">IF(ROW($H1127)-1&lt;$I$1,$F1127,AVERAGE($F1127:OFFSET($F1127,(($I$1-1)*-1),0)))</f>
        <v>275.3</v>
      </c>
      <c r="J1127" s="6">
        <f ca="1">IF(ROW($J1127)-1&lt;$K$1,$F1127,AVERAGE($F1127:OFFSET($F1127,(($K$1-1)*-1),0)))</f>
        <v>288.8535714285714</v>
      </c>
      <c r="L1127" s="7">
        <f t="shared" ca="1" si="102"/>
        <v>-1</v>
      </c>
      <c r="M1127" s="7" t="str">
        <f t="shared" ca="1" si="103"/>
        <v/>
      </c>
      <c r="N1127" s="6" t="str">
        <f t="shared" ca="1" si="104"/>
        <v/>
      </c>
      <c r="O1127" s="6">
        <f t="shared" si="105"/>
        <v>2.5</v>
      </c>
      <c r="Q1127" s="6">
        <v>28.350000000000023</v>
      </c>
      <c r="R1127" s="9">
        <f t="shared" si="106"/>
        <v>10631.250000000009</v>
      </c>
      <c r="S1127" s="7">
        <f t="shared" si="107"/>
        <v>11418.750000000018</v>
      </c>
    </row>
    <row r="1128" spans="1:19" x14ac:dyDescent="0.25">
      <c r="A1128" s="4">
        <f>Sheet1!A1128</f>
        <v>40718</v>
      </c>
      <c r="B1128" s="5">
        <f>Sheet1!B1128</f>
        <v>0.58333333333333337</v>
      </c>
      <c r="C1128" s="6">
        <f>Sheet1!C1128</f>
        <v>275.89999999999998</v>
      </c>
      <c r="D1128" s="6">
        <f>Sheet1!D1128</f>
        <v>277.35000000000002</v>
      </c>
      <c r="E1128" s="6">
        <f>Sheet1!E1128</f>
        <v>270.60000000000002</v>
      </c>
      <c r="F1128" s="6">
        <f>Sheet1!F1128</f>
        <v>275.5</v>
      </c>
      <c r="H1128" s="6">
        <f ca="1">IF(ROW($H1128)-1&lt;$I$1,$F1128,AVERAGE($F1128:OFFSET($F1128,(($I$1-1)*-1),0)))</f>
        <v>273.52500000000003</v>
      </c>
      <c r="J1128" s="6">
        <f ca="1">IF(ROW($J1128)-1&lt;$K$1,$F1128,AVERAGE($F1128:OFFSET($F1128,(($K$1-1)*-1),0)))</f>
        <v>288.24642857142857</v>
      </c>
      <c r="L1128" s="7">
        <f t="shared" ca="1" si="102"/>
        <v>-1</v>
      </c>
      <c r="M1128" s="7" t="str">
        <f t="shared" ca="1" si="103"/>
        <v/>
      </c>
      <c r="N1128" s="6" t="str">
        <f t="shared" ca="1" si="104"/>
        <v/>
      </c>
      <c r="O1128" s="6">
        <f t="shared" si="105"/>
        <v>1.8000000000000114</v>
      </c>
      <c r="Q1128" s="6">
        <v>26.550000000000011</v>
      </c>
      <c r="R1128" s="9">
        <f t="shared" si="106"/>
        <v>9956.2500000000036</v>
      </c>
      <c r="S1128" s="7">
        <f t="shared" si="107"/>
        <v>11418.750000000018</v>
      </c>
    </row>
    <row r="1129" spans="1:19" x14ac:dyDescent="0.25">
      <c r="A1129" s="4">
        <f>Sheet1!A1129</f>
        <v>40721</v>
      </c>
      <c r="B1129" s="5">
        <f>Sheet1!B1129</f>
        <v>0.58333333333333337</v>
      </c>
      <c r="C1129" s="6">
        <f>Sheet1!C1129</f>
        <v>275.5</v>
      </c>
      <c r="D1129" s="6">
        <f>Sheet1!D1129</f>
        <v>278.05</v>
      </c>
      <c r="E1129" s="6">
        <f>Sheet1!E1129</f>
        <v>272.5</v>
      </c>
      <c r="F1129" s="6">
        <f>Sheet1!F1129</f>
        <v>276.05</v>
      </c>
      <c r="H1129" s="6">
        <f ca="1">IF(ROW($H1129)-1&lt;$I$1,$F1129,AVERAGE($F1129:OFFSET($F1129,(($I$1-1)*-1),0)))</f>
        <v>273.28333333333336</v>
      </c>
      <c r="J1129" s="6">
        <f ca="1">IF(ROW($J1129)-1&lt;$K$1,$F1129,AVERAGE($F1129:OFFSET($F1129,(($K$1-1)*-1),0)))</f>
        <v>287.58749999999998</v>
      </c>
      <c r="L1129" s="7">
        <f t="shared" ca="1" si="102"/>
        <v>-1</v>
      </c>
      <c r="M1129" s="7" t="str">
        <f t="shared" ca="1" si="103"/>
        <v/>
      </c>
      <c r="N1129" s="6" t="str">
        <f t="shared" ca="1" si="104"/>
        <v/>
      </c>
      <c r="O1129" s="6">
        <f t="shared" si="105"/>
        <v>0.55000000000001137</v>
      </c>
      <c r="Q1129" s="6">
        <v>26</v>
      </c>
      <c r="R1129" s="9">
        <f t="shared" si="106"/>
        <v>9750</v>
      </c>
      <c r="S1129" s="7">
        <f t="shared" si="107"/>
        <v>11418.750000000018</v>
      </c>
    </row>
    <row r="1130" spans="1:19" x14ac:dyDescent="0.25">
      <c r="A1130" s="4">
        <f>Sheet1!A1130</f>
        <v>40722</v>
      </c>
      <c r="B1130" s="5">
        <f>Sheet1!B1130</f>
        <v>0.58333333333333337</v>
      </c>
      <c r="C1130" s="6">
        <f>Sheet1!C1130</f>
        <v>276.10000000000002</v>
      </c>
      <c r="D1130" s="6">
        <f>Sheet1!D1130</f>
        <v>284.05</v>
      </c>
      <c r="E1130" s="6">
        <f>Sheet1!E1130</f>
        <v>275</v>
      </c>
      <c r="F1130" s="6">
        <f>Sheet1!F1130</f>
        <v>283.89999999999998</v>
      </c>
      <c r="H1130" s="6">
        <f ca="1">IF(ROW($H1130)-1&lt;$I$1,$F1130,AVERAGE($F1130:OFFSET($F1130,(($I$1-1)*-1),0)))</f>
        <v>275.38333333333327</v>
      </c>
      <c r="J1130" s="6">
        <f ca="1">IF(ROW($J1130)-1&lt;$K$1,$F1130,AVERAGE($F1130:OFFSET($F1130,(($K$1-1)*-1),0)))</f>
        <v>287.06785714285718</v>
      </c>
      <c r="L1130" s="7">
        <f t="shared" ca="1" si="102"/>
        <v>-1</v>
      </c>
      <c r="M1130" s="7" t="str">
        <f t="shared" ca="1" si="103"/>
        <v/>
      </c>
      <c r="N1130" s="6" t="str">
        <f t="shared" ca="1" si="104"/>
        <v/>
      </c>
      <c r="O1130" s="6">
        <f t="shared" si="105"/>
        <v>7.8499999999999659</v>
      </c>
      <c r="Q1130" s="6">
        <v>18.150000000000034</v>
      </c>
      <c r="R1130" s="9">
        <f t="shared" si="106"/>
        <v>6806.2500000000127</v>
      </c>
      <c r="S1130" s="7">
        <f t="shared" si="107"/>
        <v>11418.750000000018</v>
      </c>
    </row>
    <row r="1131" spans="1:19" x14ac:dyDescent="0.25">
      <c r="A1131" s="4">
        <f>Sheet1!A1131</f>
        <v>40723</v>
      </c>
      <c r="B1131" s="5">
        <f>Sheet1!B1131</f>
        <v>0.58333333333333337</v>
      </c>
      <c r="C1131" s="6">
        <f>Sheet1!C1131</f>
        <v>283.5</v>
      </c>
      <c r="D1131" s="6">
        <f>Sheet1!D1131</f>
        <v>287.89999999999998</v>
      </c>
      <c r="E1131" s="6">
        <f>Sheet1!E1131</f>
        <v>277</v>
      </c>
      <c r="F1131" s="6">
        <f>Sheet1!F1131</f>
        <v>285.7</v>
      </c>
      <c r="H1131" s="6">
        <f ca="1">IF(ROW($H1131)-1&lt;$I$1,$F1131,AVERAGE($F1131:OFFSET($F1131,(($I$1-1)*-1),0)))</f>
        <v>277.67500000000001</v>
      </c>
      <c r="J1131" s="6">
        <f ca="1">IF(ROW($J1131)-1&lt;$K$1,$F1131,AVERAGE($F1131:OFFSET($F1131,(($K$1-1)*-1),0)))</f>
        <v>286.83928571428567</v>
      </c>
      <c r="L1131" s="7">
        <f t="shared" ca="1" si="102"/>
        <v>-1</v>
      </c>
      <c r="M1131" s="7" t="str">
        <f t="shared" ca="1" si="103"/>
        <v/>
      </c>
      <c r="N1131" s="6" t="str">
        <f t="shared" ca="1" si="104"/>
        <v/>
      </c>
      <c r="O1131" s="6">
        <f t="shared" si="105"/>
        <v>1.8000000000000114</v>
      </c>
      <c r="Q1131" s="6">
        <v>16.350000000000023</v>
      </c>
      <c r="R1131" s="9">
        <f t="shared" si="106"/>
        <v>6131.2500000000082</v>
      </c>
      <c r="S1131" s="7">
        <f t="shared" si="107"/>
        <v>11418.750000000018</v>
      </c>
    </row>
    <row r="1132" spans="1:19" x14ac:dyDescent="0.25">
      <c r="A1132" s="4">
        <f>Sheet1!A1132</f>
        <v>40724</v>
      </c>
      <c r="B1132" s="5">
        <f>Sheet1!B1132</f>
        <v>0.58333333333333337</v>
      </c>
      <c r="C1132" s="6">
        <f>Sheet1!C1132</f>
        <v>287.85000000000002</v>
      </c>
      <c r="D1132" s="6">
        <f>Sheet1!D1132</f>
        <v>291.8</v>
      </c>
      <c r="E1132" s="6">
        <f>Sheet1!E1132</f>
        <v>286.25</v>
      </c>
      <c r="F1132" s="6">
        <f>Sheet1!F1132</f>
        <v>290.60000000000002</v>
      </c>
      <c r="H1132" s="6">
        <f ca="1">IF(ROW($H1132)-1&lt;$I$1,$F1132,AVERAGE($F1132:OFFSET($F1132,(($I$1-1)*-1),0)))</f>
        <v>280.90833333333336</v>
      </c>
      <c r="J1132" s="6">
        <f ca="1">IF(ROW($J1132)-1&lt;$K$1,$F1132,AVERAGE($F1132:OFFSET($F1132,(($K$1-1)*-1),0)))</f>
        <v>286.9482142857143</v>
      </c>
      <c r="L1132" s="7">
        <f t="shared" ca="1" si="102"/>
        <v>-1</v>
      </c>
      <c r="M1132" s="7" t="str">
        <f t="shared" ca="1" si="103"/>
        <v/>
      </c>
      <c r="N1132" s="6" t="str">
        <f t="shared" ca="1" si="104"/>
        <v/>
      </c>
      <c r="O1132" s="6">
        <f t="shared" si="105"/>
        <v>4.9000000000000341</v>
      </c>
      <c r="Q1132" s="6">
        <v>11.449999999999989</v>
      </c>
      <c r="R1132" s="9">
        <f t="shared" si="106"/>
        <v>4293.7499999999955</v>
      </c>
      <c r="S1132" s="7">
        <f t="shared" si="107"/>
        <v>11418.750000000018</v>
      </c>
    </row>
    <row r="1133" spans="1:19" x14ac:dyDescent="0.25">
      <c r="A1133" s="4">
        <f>Sheet1!A1133</f>
        <v>40725</v>
      </c>
      <c r="B1133" s="5">
        <f>Sheet1!B1133</f>
        <v>0.58333333333333337</v>
      </c>
      <c r="C1133" s="6">
        <f>Sheet1!C1133</f>
        <v>289.89999999999998</v>
      </c>
      <c r="D1133" s="6">
        <f>Sheet1!D1133</f>
        <v>290.60000000000002</v>
      </c>
      <c r="E1133" s="6">
        <f>Sheet1!E1133</f>
        <v>283.25</v>
      </c>
      <c r="F1133" s="6">
        <f>Sheet1!F1133</f>
        <v>288.64999999999998</v>
      </c>
      <c r="H1133" s="6">
        <f ca="1">IF(ROW($H1133)-1&lt;$I$1,$F1133,AVERAGE($F1133:OFFSET($F1133,(($I$1-1)*-1),0)))</f>
        <v>283.40000000000003</v>
      </c>
      <c r="J1133" s="6">
        <f ca="1">IF(ROW($J1133)-1&lt;$K$1,$F1133,AVERAGE($F1133:OFFSET($F1133,(($K$1-1)*-1),0)))</f>
        <v>286.86607142857139</v>
      </c>
      <c r="L1133" s="7">
        <f t="shared" ca="1" si="102"/>
        <v>-1</v>
      </c>
      <c r="M1133" s="7" t="str">
        <f t="shared" ca="1" si="103"/>
        <v/>
      </c>
      <c r="N1133" s="6" t="str">
        <f t="shared" ca="1" si="104"/>
        <v/>
      </c>
      <c r="O1133" s="6">
        <f t="shared" si="105"/>
        <v>-1.9500000000000455</v>
      </c>
      <c r="Q1133" s="6">
        <v>13.400000000000034</v>
      </c>
      <c r="R1133" s="9">
        <f t="shared" si="106"/>
        <v>5025.0000000000127</v>
      </c>
      <c r="S1133" s="7">
        <f t="shared" si="107"/>
        <v>11418.750000000018</v>
      </c>
    </row>
    <row r="1134" spans="1:19" x14ac:dyDescent="0.25">
      <c r="A1134" s="4">
        <f>Sheet1!A1134</f>
        <v>40729</v>
      </c>
      <c r="B1134" s="5">
        <f>Sheet1!B1134</f>
        <v>0.58333333333333337</v>
      </c>
      <c r="C1134" s="6">
        <f>Sheet1!C1134</f>
        <v>287.5</v>
      </c>
      <c r="D1134" s="6">
        <f>Sheet1!D1134</f>
        <v>294.89999999999998</v>
      </c>
      <c r="E1134" s="6">
        <f>Sheet1!E1134</f>
        <v>284.2</v>
      </c>
      <c r="F1134" s="6">
        <f>Sheet1!F1134</f>
        <v>294.25</v>
      </c>
      <c r="H1134" s="6">
        <f ca="1">IF(ROW($H1134)-1&lt;$I$1,$F1134,AVERAGE($F1134:OFFSET($F1134,(($I$1-1)*-1),0)))</f>
        <v>286.52500000000003</v>
      </c>
      <c r="J1134" s="6">
        <f ca="1">IF(ROW($J1134)-1&lt;$K$1,$F1134,AVERAGE($F1134:OFFSET($F1134,(($K$1-1)*-1),0)))</f>
        <v>287.03214285714279</v>
      </c>
      <c r="L1134" s="7">
        <f t="shared" ca="1" si="102"/>
        <v>-1</v>
      </c>
      <c r="M1134" s="7" t="str">
        <f t="shared" ca="1" si="103"/>
        <v/>
      </c>
      <c r="N1134" s="6" t="str">
        <f t="shared" ca="1" si="104"/>
        <v/>
      </c>
      <c r="O1134" s="6">
        <f t="shared" si="105"/>
        <v>5.6000000000000227</v>
      </c>
      <c r="Q1134" s="6">
        <v>7.8000000000000114</v>
      </c>
      <c r="R1134" s="9">
        <f t="shared" si="106"/>
        <v>2925.0000000000041</v>
      </c>
      <c r="S1134" s="7">
        <f t="shared" si="107"/>
        <v>11418.750000000018</v>
      </c>
    </row>
    <row r="1135" spans="1:19" x14ac:dyDescent="0.25">
      <c r="A1135" s="4">
        <f>Sheet1!A1135</f>
        <v>40730</v>
      </c>
      <c r="B1135" s="5">
        <f>Sheet1!B1135</f>
        <v>0.58333333333333337</v>
      </c>
      <c r="C1135" s="6">
        <f>Sheet1!C1135</f>
        <v>293.8</v>
      </c>
      <c r="D1135" s="6">
        <f>Sheet1!D1135</f>
        <v>294.60000000000002</v>
      </c>
      <c r="E1135" s="6">
        <f>Sheet1!E1135</f>
        <v>290.8</v>
      </c>
      <c r="F1135" s="6">
        <f>Sheet1!F1135</f>
        <v>292.5</v>
      </c>
      <c r="H1135" s="6">
        <f ca="1">IF(ROW($H1135)-1&lt;$I$1,$F1135,AVERAGE($F1135:OFFSET($F1135,(($I$1-1)*-1),0)))</f>
        <v>289.26666666666665</v>
      </c>
      <c r="J1135" s="6">
        <f ca="1">IF(ROW($J1135)-1&lt;$K$1,$F1135,AVERAGE($F1135:OFFSET($F1135,(($K$1-1)*-1),0)))</f>
        <v>287.00535714285712</v>
      </c>
      <c r="L1135" s="7">
        <f t="shared" ca="1" si="102"/>
        <v>1</v>
      </c>
      <c r="M1135" s="7">
        <f t="shared" ca="1" si="103"/>
        <v>1</v>
      </c>
      <c r="N1135" s="6" t="str">
        <f t="shared" ca="1" si="104"/>
        <v/>
      </c>
      <c r="O1135" s="6">
        <f t="shared" si="105"/>
        <v>-1.75</v>
      </c>
      <c r="Q1135" s="6">
        <v>9.5500000000000114</v>
      </c>
      <c r="R1135" s="9">
        <f t="shared" si="106"/>
        <v>3581.2500000000041</v>
      </c>
      <c r="S1135" s="7">
        <f t="shared" si="107"/>
        <v>11418.750000000018</v>
      </c>
    </row>
    <row r="1136" spans="1:19" x14ac:dyDescent="0.25">
      <c r="A1136" s="4">
        <f>Sheet1!A1136</f>
        <v>40731</v>
      </c>
      <c r="B1136" s="5">
        <f>Sheet1!B1136</f>
        <v>0.58333333333333337</v>
      </c>
      <c r="C1136" s="6">
        <f>Sheet1!C1136</f>
        <v>292</v>
      </c>
      <c r="D1136" s="6">
        <f>Sheet1!D1136</f>
        <v>296.89999999999998</v>
      </c>
      <c r="E1136" s="6">
        <f>Sheet1!E1136</f>
        <v>290.14999999999998</v>
      </c>
      <c r="F1136" s="6">
        <f>Sheet1!F1136</f>
        <v>293.60000000000002</v>
      </c>
      <c r="H1136" s="6">
        <f ca="1">IF(ROW($H1136)-1&lt;$I$1,$F1136,AVERAGE($F1136:OFFSET($F1136,(($I$1-1)*-1),0)))</f>
        <v>290.88333333333327</v>
      </c>
      <c r="J1136" s="6">
        <f ca="1">IF(ROW($J1136)-1&lt;$K$1,$F1136,AVERAGE($F1136:OFFSET($F1136,(($K$1-1)*-1),0)))</f>
        <v>286.99107142857144</v>
      </c>
      <c r="L1136" s="7">
        <f t="shared" ca="1" si="102"/>
        <v>1</v>
      </c>
      <c r="M1136" s="7" t="str">
        <f t="shared" ca="1" si="103"/>
        <v/>
      </c>
      <c r="N1136" s="6">
        <f t="shared" ca="1" si="104"/>
        <v>292</v>
      </c>
      <c r="O1136" s="6">
        <f t="shared" si="105"/>
        <v>1.1000000000000227</v>
      </c>
      <c r="P1136" s="6">
        <v>10.050000000000011</v>
      </c>
      <c r="Q1136" s="6">
        <v>1.6000000000000227</v>
      </c>
      <c r="R1136" s="9">
        <f t="shared" si="106"/>
        <v>600.00000000000853</v>
      </c>
      <c r="S1136" s="7">
        <f t="shared" si="107"/>
        <v>15187.500000000022</v>
      </c>
    </row>
    <row r="1137" spans="1:19" x14ac:dyDescent="0.25">
      <c r="A1137" s="4">
        <f>Sheet1!A1137</f>
        <v>40732</v>
      </c>
      <c r="B1137" s="5">
        <f>Sheet1!B1137</f>
        <v>0.58333333333333337</v>
      </c>
      <c r="C1137" s="6">
        <f>Sheet1!C1137</f>
        <v>293.60000000000002</v>
      </c>
      <c r="D1137" s="6">
        <f>Sheet1!D1137</f>
        <v>295.25</v>
      </c>
      <c r="E1137" s="6">
        <f>Sheet1!E1137</f>
        <v>287.7</v>
      </c>
      <c r="F1137" s="6">
        <f>Sheet1!F1137</f>
        <v>288.3</v>
      </c>
      <c r="H1137" s="6">
        <f ca="1">IF(ROW($H1137)-1&lt;$I$1,$F1137,AVERAGE($F1137:OFFSET($F1137,(($I$1-1)*-1),0)))</f>
        <v>291.31666666666666</v>
      </c>
      <c r="J1137" s="6">
        <f ca="1">IF(ROW($J1137)-1&lt;$K$1,$F1137,AVERAGE($F1137:OFFSET($F1137,(($K$1-1)*-1),0)))</f>
        <v>286.85535714285714</v>
      </c>
      <c r="L1137" s="7">
        <f t="shared" ca="1" si="102"/>
        <v>1</v>
      </c>
      <c r="M1137" s="7" t="str">
        <f t="shared" ca="1" si="103"/>
        <v/>
      </c>
      <c r="N1137" s="6" t="str">
        <f t="shared" ca="1" si="104"/>
        <v/>
      </c>
      <c r="O1137" s="6">
        <f t="shared" si="105"/>
        <v>-5.3000000000000114</v>
      </c>
      <c r="Q1137" s="6">
        <v>-3.6999999999999886</v>
      </c>
      <c r="R1137" s="9">
        <f t="shared" si="106"/>
        <v>-1387.4999999999957</v>
      </c>
      <c r="S1137" s="7">
        <f t="shared" si="107"/>
        <v>15187.500000000022</v>
      </c>
    </row>
    <row r="1138" spans="1:19" x14ac:dyDescent="0.25">
      <c r="A1138" s="4">
        <f>Sheet1!A1138</f>
        <v>40735</v>
      </c>
      <c r="B1138" s="5">
        <f>Sheet1!B1138</f>
        <v>0.58333333333333337</v>
      </c>
      <c r="C1138" s="6">
        <f>Sheet1!C1138</f>
        <v>287.7</v>
      </c>
      <c r="D1138" s="6">
        <f>Sheet1!D1138</f>
        <v>288</v>
      </c>
      <c r="E1138" s="6">
        <f>Sheet1!E1138</f>
        <v>281.10000000000002</v>
      </c>
      <c r="F1138" s="6">
        <f>Sheet1!F1138</f>
        <v>284.05</v>
      </c>
      <c r="H1138" s="6">
        <f ca="1">IF(ROW($H1138)-1&lt;$I$1,$F1138,AVERAGE($F1138:OFFSET($F1138,(($I$1-1)*-1),0)))</f>
        <v>290.22499999999997</v>
      </c>
      <c r="J1138" s="6">
        <f ca="1">IF(ROW($J1138)-1&lt;$K$1,$F1138,AVERAGE($F1138:OFFSET($F1138,(($K$1-1)*-1),0)))</f>
        <v>286.53571428571433</v>
      </c>
      <c r="L1138" s="7">
        <f t="shared" ca="1" si="102"/>
        <v>1</v>
      </c>
      <c r="M1138" s="7" t="str">
        <f t="shared" ca="1" si="103"/>
        <v/>
      </c>
      <c r="N1138" s="6" t="str">
        <f t="shared" ca="1" si="104"/>
        <v/>
      </c>
      <c r="O1138" s="6">
        <f t="shared" si="105"/>
        <v>-4.25</v>
      </c>
      <c r="Q1138" s="6">
        <v>-7.9499999999999886</v>
      </c>
      <c r="R1138" s="9">
        <f t="shared" si="106"/>
        <v>-2981.2499999999959</v>
      </c>
      <c r="S1138" s="7">
        <f t="shared" si="107"/>
        <v>15187.500000000022</v>
      </c>
    </row>
    <row r="1139" spans="1:19" x14ac:dyDescent="0.25">
      <c r="A1139" s="4">
        <f>Sheet1!A1139</f>
        <v>40736</v>
      </c>
      <c r="B1139" s="5">
        <f>Sheet1!B1139</f>
        <v>0.58333333333333337</v>
      </c>
      <c r="C1139" s="6">
        <f>Sheet1!C1139</f>
        <v>283.5</v>
      </c>
      <c r="D1139" s="6">
        <f>Sheet1!D1139</f>
        <v>283.85000000000002</v>
      </c>
      <c r="E1139" s="6">
        <f>Sheet1!E1139</f>
        <v>279.55</v>
      </c>
      <c r="F1139" s="6">
        <f>Sheet1!F1139</f>
        <v>282.85000000000002</v>
      </c>
      <c r="H1139" s="6">
        <f ca="1">IF(ROW($H1139)-1&lt;$I$1,$F1139,AVERAGE($F1139:OFFSET($F1139,(($I$1-1)*-1),0)))</f>
        <v>289.25833333333338</v>
      </c>
      <c r="J1139" s="6">
        <f ca="1">IF(ROW($J1139)-1&lt;$K$1,$F1139,AVERAGE($F1139:OFFSET($F1139,(($K$1-1)*-1),0)))</f>
        <v>286.48214285714289</v>
      </c>
      <c r="L1139" s="7">
        <f t="shared" ca="1" si="102"/>
        <v>1</v>
      </c>
      <c r="M1139" s="7" t="str">
        <f t="shared" ca="1" si="103"/>
        <v/>
      </c>
      <c r="N1139" s="6" t="str">
        <f t="shared" ca="1" si="104"/>
        <v/>
      </c>
      <c r="O1139" s="6">
        <f t="shared" si="105"/>
        <v>-1.1999999999999886</v>
      </c>
      <c r="Q1139" s="6">
        <v>-9.1499999999999773</v>
      </c>
      <c r="R1139" s="9">
        <f t="shared" si="106"/>
        <v>-3431.2499999999914</v>
      </c>
      <c r="S1139" s="7">
        <f t="shared" si="107"/>
        <v>15187.500000000022</v>
      </c>
    </row>
    <row r="1140" spans="1:19" x14ac:dyDescent="0.25">
      <c r="A1140" s="4">
        <f>Sheet1!A1140</f>
        <v>40737</v>
      </c>
      <c r="B1140" s="5">
        <f>Sheet1!B1140</f>
        <v>0.58333333333333337</v>
      </c>
      <c r="C1140" s="6">
        <f>Sheet1!C1140</f>
        <v>283.7</v>
      </c>
      <c r="D1140" s="6">
        <f>Sheet1!D1140</f>
        <v>291.2</v>
      </c>
      <c r="E1140" s="6">
        <f>Sheet1!E1140</f>
        <v>283.25</v>
      </c>
      <c r="F1140" s="6">
        <f>Sheet1!F1140</f>
        <v>288.95</v>
      </c>
      <c r="H1140" s="6">
        <f ca="1">IF(ROW($H1140)-1&lt;$I$1,$F1140,AVERAGE($F1140:OFFSET($F1140,(($I$1-1)*-1),0)))</f>
        <v>288.37500000000006</v>
      </c>
      <c r="J1140" s="6">
        <f ca="1">IF(ROW($J1140)-1&lt;$K$1,$F1140,AVERAGE($F1140:OFFSET($F1140,(($K$1-1)*-1),0)))</f>
        <v>286.45714285714291</v>
      </c>
      <c r="L1140" s="7">
        <f t="shared" ca="1" si="102"/>
        <v>1</v>
      </c>
      <c r="M1140" s="7" t="str">
        <f t="shared" ca="1" si="103"/>
        <v/>
      </c>
      <c r="N1140" s="6" t="str">
        <f t="shared" ca="1" si="104"/>
        <v/>
      </c>
      <c r="O1140" s="6">
        <f t="shared" si="105"/>
        <v>6.0999999999999659</v>
      </c>
      <c r="Q1140" s="6">
        <v>-3.0500000000000114</v>
      </c>
      <c r="R1140" s="9">
        <f t="shared" si="106"/>
        <v>-1143.7500000000043</v>
      </c>
      <c r="S1140" s="7">
        <f t="shared" si="107"/>
        <v>15187.500000000022</v>
      </c>
    </row>
    <row r="1141" spans="1:19" x14ac:dyDescent="0.25">
      <c r="A1141" s="4">
        <f>Sheet1!A1141</f>
        <v>40738</v>
      </c>
      <c r="B1141" s="5">
        <f>Sheet1!B1141</f>
        <v>0.58333333333333337</v>
      </c>
      <c r="C1141" s="6">
        <f>Sheet1!C1141</f>
        <v>288.95</v>
      </c>
      <c r="D1141" s="6">
        <f>Sheet1!D1141</f>
        <v>290.64999999999998</v>
      </c>
      <c r="E1141" s="6">
        <f>Sheet1!E1141</f>
        <v>281.60000000000002</v>
      </c>
      <c r="F1141" s="6">
        <f>Sheet1!F1141</f>
        <v>283.35000000000002</v>
      </c>
      <c r="H1141" s="6">
        <f ca="1">IF(ROW($H1141)-1&lt;$I$1,$F1141,AVERAGE($F1141:OFFSET($F1141,(($I$1-1)*-1),0)))</f>
        <v>286.85000000000008</v>
      </c>
      <c r="J1141" s="6">
        <f ca="1">IF(ROW($J1141)-1&lt;$K$1,$F1141,AVERAGE($F1141:OFFSET($F1141,(($K$1-1)*-1),0)))</f>
        <v>285.8857142857143</v>
      </c>
      <c r="L1141" s="7">
        <f t="shared" ca="1" si="102"/>
        <v>1</v>
      </c>
      <c r="M1141" s="7" t="str">
        <f t="shared" ca="1" si="103"/>
        <v/>
      </c>
      <c r="N1141" s="6" t="str">
        <f t="shared" ca="1" si="104"/>
        <v/>
      </c>
      <c r="O1141" s="6">
        <f t="shared" si="105"/>
        <v>-5.5999999999999659</v>
      </c>
      <c r="Q1141" s="6">
        <v>-8.6499999999999773</v>
      </c>
      <c r="R1141" s="9">
        <f t="shared" si="106"/>
        <v>-3243.7499999999914</v>
      </c>
      <c r="S1141" s="7">
        <f t="shared" si="107"/>
        <v>15187.500000000022</v>
      </c>
    </row>
    <row r="1142" spans="1:19" x14ac:dyDescent="0.25">
      <c r="A1142" s="4">
        <f>Sheet1!A1142</f>
        <v>40739</v>
      </c>
      <c r="B1142" s="5">
        <f>Sheet1!B1142</f>
        <v>0.58333333333333337</v>
      </c>
      <c r="C1142" s="6">
        <f>Sheet1!C1142</f>
        <v>282</v>
      </c>
      <c r="D1142" s="6">
        <f>Sheet1!D1142</f>
        <v>285.5</v>
      </c>
      <c r="E1142" s="6">
        <f>Sheet1!E1142</f>
        <v>277.35000000000002</v>
      </c>
      <c r="F1142" s="6">
        <f>Sheet1!F1142</f>
        <v>278.55</v>
      </c>
      <c r="H1142" s="6">
        <f ca="1">IF(ROW($H1142)-1&lt;$I$1,$F1142,AVERAGE($F1142:OFFSET($F1142,(($I$1-1)*-1),0)))</f>
        <v>284.34166666666664</v>
      </c>
      <c r="J1142" s="6">
        <f ca="1">IF(ROW($J1142)-1&lt;$K$1,$F1142,AVERAGE($F1142:OFFSET($F1142,(($K$1-1)*-1),0)))</f>
        <v>285.51607142857148</v>
      </c>
      <c r="L1142" s="7">
        <f t="shared" ca="1" si="102"/>
        <v>-1</v>
      </c>
      <c r="M1142" s="7">
        <f t="shared" ca="1" si="103"/>
        <v>-1</v>
      </c>
      <c r="N1142" s="6" t="str">
        <f t="shared" ca="1" si="104"/>
        <v/>
      </c>
      <c r="O1142" s="6">
        <f t="shared" si="105"/>
        <v>-4.8000000000000114</v>
      </c>
      <c r="Q1142" s="6">
        <v>-13.449999999999989</v>
      </c>
      <c r="R1142" s="9">
        <f t="shared" si="106"/>
        <v>-5043.7499999999955</v>
      </c>
      <c r="S1142" s="7">
        <f t="shared" si="107"/>
        <v>15187.500000000022</v>
      </c>
    </row>
    <row r="1143" spans="1:19" x14ac:dyDescent="0.25">
      <c r="A1143" s="4">
        <f>Sheet1!A1143</f>
        <v>40742</v>
      </c>
      <c r="B1143" s="5">
        <f>Sheet1!B1143</f>
        <v>0.58333333333333337</v>
      </c>
      <c r="C1143" s="6">
        <f>Sheet1!C1143</f>
        <v>277.35000000000002</v>
      </c>
      <c r="D1143" s="6">
        <f>Sheet1!D1143</f>
        <v>278.25</v>
      </c>
      <c r="E1143" s="6">
        <f>Sheet1!E1143</f>
        <v>272.3</v>
      </c>
      <c r="F1143" s="6">
        <f>Sheet1!F1143</f>
        <v>273.2</v>
      </c>
      <c r="H1143" s="6">
        <f ca="1">IF(ROW($H1143)-1&lt;$I$1,$F1143,AVERAGE($F1143:OFFSET($F1143,(($I$1-1)*-1),0)))</f>
        <v>281.82500000000005</v>
      </c>
      <c r="J1143" s="6">
        <f ca="1">IF(ROW($J1143)-1&lt;$K$1,$F1143,AVERAGE($F1143:OFFSET($F1143,(($K$1-1)*-1),0)))</f>
        <v>284.86607142857144</v>
      </c>
      <c r="L1143" s="7">
        <f t="shared" ca="1" si="102"/>
        <v>-1</v>
      </c>
      <c r="M1143" s="7" t="str">
        <f t="shared" ca="1" si="103"/>
        <v/>
      </c>
      <c r="N1143" s="6">
        <f t="shared" ca="1" si="104"/>
        <v>277.35000000000002</v>
      </c>
      <c r="O1143" s="6">
        <f t="shared" si="105"/>
        <v>-5.3500000000000227</v>
      </c>
      <c r="P1143" s="6">
        <v>-14.649999999999977</v>
      </c>
      <c r="Q1143" s="6">
        <v>4.1500000000000341</v>
      </c>
      <c r="R1143" s="9">
        <f t="shared" si="106"/>
        <v>1556.2500000000127</v>
      </c>
      <c r="S1143" s="7">
        <f t="shared" si="107"/>
        <v>9693.7500000000291</v>
      </c>
    </row>
    <row r="1144" spans="1:19" x14ac:dyDescent="0.25">
      <c r="A1144" s="4">
        <f>Sheet1!A1144</f>
        <v>40743</v>
      </c>
      <c r="B1144" s="5">
        <f>Sheet1!B1144</f>
        <v>0.58333333333333337</v>
      </c>
      <c r="C1144" s="6">
        <f>Sheet1!C1144</f>
        <v>274.89999999999998</v>
      </c>
      <c r="D1144" s="6">
        <f>Sheet1!D1144</f>
        <v>277.89999999999998</v>
      </c>
      <c r="E1144" s="6">
        <f>Sheet1!E1144</f>
        <v>268.05</v>
      </c>
      <c r="F1144" s="6">
        <f>Sheet1!F1144</f>
        <v>268.85000000000002</v>
      </c>
      <c r="H1144" s="6">
        <f ca="1">IF(ROW($H1144)-1&lt;$I$1,$F1144,AVERAGE($F1144:OFFSET($F1144,(($I$1-1)*-1),0)))</f>
        <v>279.29166666666669</v>
      </c>
      <c r="J1144" s="6">
        <f ca="1">IF(ROW($J1144)-1&lt;$K$1,$F1144,AVERAGE($F1144:OFFSET($F1144,(($K$1-1)*-1),0)))</f>
        <v>284.03035714285721</v>
      </c>
      <c r="L1144" s="7">
        <f t="shared" ca="1" si="102"/>
        <v>-1</v>
      </c>
      <c r="M1144" s="7" t="str">
        <f t="shared" ca="1" si="103"/>
        <v/>
      </c>
      <c r="N1144" s="6" t="str">
        <f t="shared" ca="1" si="104"/>
        <v/>
      </c>
      <c r="O1144" s="6">
        <f t="shared" si="105"/>
        <v>-4.3499999999999659</v>
      </c>
      <c r="Q1144" s="6">
        <v>8.5</v>
      </c>
      <c r="R1144" s="9">
        <f t="shared" si="106"/>
        <v>3187.5</v>
      </c>
      <c r="S1144" s="7">
        <f t="shared" si="107"/>
        <v>9693.7500000000291</v>
      </c>
    </row>
    <row r="1145" spans="1:19" x14ac:dyDescent="0.25">
      <c r="A1145" s="4">
        <f>Sheet1!A1145</f>
        <v>40744</v>
      </c>
      <c r="B1145" s="5">
        <f>Sheet1!B1145</f>
        <v>0.58333333333333337</v>
      </c>
      <c r="C1145" s="6">
        <f>Sheet1!C1145</f>
        <v>269.5</v>
      </c>
      <c r="D1145" s="6">
        <f>Sheet1!D1145</f>
        <v>271.45</v>
      </c>
      <c r="E1145" s="6">
        <f>Sheet1!E1145</f>
        <v>265.10000000000002</v>
      </c>
      <c r="F1145" s="6">
        <f>Sheet1!F1145</f>
        <v>268.39999999999998</v>
      </c>
      <c r="H1145" s="6">
        <f ca="1">IF(ROW($H1145)-1&lt;$I$1,$F1145,AVERAGE($F1145:OFFSET($F1145,(($I$1-1)*-1),0)))</f>
        <v>276.88333333333338</v>
      </c>
      <c r="J1145" s="6">
        <f ca="1">IF(ROW($J1145)-1&lt;$K$1,$F1145,AVERAGE($F1145:OFFSET($F1145,(($K$1-1)*-1),0)))</f>
        <v>283.0732142857143</v>
      </c>
      <c r="L1145" s="7">
        <f t="shared" ca="1" si="102"/>
        <v>-1</v>
      </c>
      <c r="M1145" s="7" t="str">
        <f t="shared" ca="1" si="103"/>
        <v/>
      </c>
      <c r="N1145" s="6" t="str">
        <f t="shared" ca="1" si="104"/>
        <v/>
      </c>
      <c r="O1145" s="6">
        <f t="shared" si="105"/>
        <v>-0.45000000000004547</v>
      </c>
      <c r="Q1145" s="6">
        <v>8.9500000000000455</v>
      </c>
      <c r="R1145" s="9">
        <f t="shared" si="106"/>
        <v>3356.2500000000173</v>
      </c>
      <c r="S1145" s="7">
        <f t="shared" si="107"/>
        <v>9693.7500000000291</v>
      </c>
    </row>
    <row r="1146" spans="1:19" x14ac:dyDescent="0.25">
      <c r="A1146" s="4">
        <f>Sheet1!A1146</f>
        <v>40745</v>
      </c>
      <c r="B1146" s="5">
        <f>Sheet1!B1146</f>
        <v>0.58333333333333337</v>
      </c>
      <c r="C1146" s="6">
        <f>Sheet1!C1146</f>
        <v>269.5</v>
      </c>
      <c r="D1146" s="6">
        <f>Sheet1!D1146</f>
        <v>272.89999999999998</v>
      </c>
      <c r="E1146" s="6">
        <f>Sheet1!E1146</f>
        <v>264.5</v>
      </c>
      <c r="F1146" s="6">
        <f>Sheet1!F1146</f>
        <v>265.8</v>
      </c>
      <c r="H1146" s="6">
        <f ca="1">IF(ROW($H1146)-1&lt;$I$1,$F1146,AVERAGE($F1146:OFFSET($F1146,(($I$1-1)*-1),0)))</f>
        <v>273.02500000000003</v>
      </c>
      <c r="J1146" s="6">
        <f ca="1">IF(ROW($J1146)-1&lt;$K$1,$F1146,AVERAGE($F1146:OFFSET($F1146,(($K$1-1)*-1),0)))</f>
        <v>282.08928571428572</v>
      </c>
      <c r="L1146" s="7">
        <f t="shared" ca="1" si="102"/>
        <v>-1</v>
      </c>
      <c r="M1146" s="7" t="str">
        <f t="shared" ca="1" si="103"/>
        <v/>
      </c>
      <c r="N1146" s="6" t="str">
        <f t="shared" ca="1" si="104"/>
        <v/>
      </c>
      <c r="O1146" s="6">
        <f t="shared" si="105"/>
        <v>-2.5999999999999659</v>
      </c>
      <c r="Q1146" s="6">
        <v>11.550000000000011</v>
      </c>
      <c r="R1146" s="9">
        <f t="shared" si="106"/>
        <v>4331.2500000000045</v>
      </c>
      <c r="S1146" s="7">
        <f t="shared" si="107"/>
        <v>9693.7500000000291</v>
      </c>
    </row>
    <row r="1147" spans="1:19" x14ac:dyDescent="0.25">
      <c r="A1147" s="4">
        <f>Sheet1!A1147</f>
        <v>40746</v>
      </c>
      <c r="B1147" s="5">
        <f>Sheet1!B1147</f>
        <v>0.58333333333333337</v>
      </c>
      <c r="C1147" s="6">
        <f>Sheet1!C1147</f>
        <v>266.45</v>
      </c>
      <c r="D1147" s="6">
        <f>Sheet1!D1147</f>
        <v>271.3</v>
      </c>
      <c r="E1147" s="6">
        <f>Sheet1!E1147</f>
        <v>263</v>
      </c>
      <c r="F1147" s="6">
        <f>Sheet1!F1147</f>
        <v>266.5</v>
      </c>
      <c r="H1147" s="6">
        <f ca="1">IF(ROW($H1147)-1&lt;$I$1,$F1147,AVERAGE($F1147:OFFSET($F1147,(($I$1-1)*-1),0)))</f>
        <v>270.21666666666664</v>
      </c>
      <c r="J1147" s="6">
        <f ca="1">IF(ROW($J1147)-1&lt;$K$1,$F1147,AVERAGE($F1147:OFFSET($F1147,(($K$1-1)*-1),0)))</f>
        <v>281.0535714285715</v>
      </c>
      <c r="L1147" s="7">
        <f t="shared" ca="1" si="102"/>
        <v>-1</v>
      </c>
      <c r="M1147" s="7" t="str">
        <f t="shared" ca="1" si="103"/>
        <v/>
      </c>
      <c r="N1147" s="6" t="str">
        <f t="shared" ca="1" si="104"/>
        <v/>
      </c>
      <c r="O1147" s="6">
        <f t="shared" si="105"/>
        <v>0.69999999999998863</v>
      </c>
      <c r="Q1147" s="6">
        <v>10.850000000000023</v>
      </c>
      <c r="R1147" s="9">
        <f t="shared" si="106"/>
        <v>4068.7500000000086</v>
      </c>
      <c r="S1147" s="7">
        <f t="shared" si="107"/>
        <v>9693.7500000000291</v>
      </c>
    </row>
    <row r="1148" spans="1:19" x14ac:dyDescent="0.25">
      <c r="A1148" s="4">
        <f>Sheet1!A1148</f>
        <v>40749</v>
      </c>
      <c r="B1148" s="5">
        <f>Sheet1!B1148</f>
        <v>0.58333333333333337</v>
      </c>
      <c r="C1148" s="6">
        <f>Sheet1!C1148</f>
        <v>266.5</v>
      </c>
      <c r="D1148" s="6">
        <f>Sheet1!D1148</f>
        <v>270</v>
      </c>
      <c r="E1148" s="6">
        <f>Sheet1!E1148</f>
        <v>266.05</v>
      </c>
      <c r="F1148" s="6">
        <f>Sheet1!F1148</f>
        <v>267.89999999999998</v>
      </c>
      <c r="H1148" s="6">
        <f ca="1">IF(ROW($H1148)-1&lt;$I$1,$F1148,AVERAGE($F1148:OFFSET($F1148,(($I$1-1)*-1),0)))</f>
        <v>268.44166666666666</v>
      </c>
      <c r="J1148" s="6">
        <f ca="1">IF(ROW($J1148)-1&lt;$K$1,$F1148,AVERAGE($F1148:OFFSET($F1148,(($K$1-1)*-1),0)))</f>
        <v>280.00357142857149</v>
      </c>
      <c r="L1148" s="7">
        <f t="shared" ca="1" si="102"/>
        <v>-1</v>
      </c>
      <c r="M1148" s="7" t="str">
        <f t="shared" ca="1" si="103"/>
        <v/>
      </c>
      <c r="N1148" s="6" t="str">
        <f t="shared" ca="1" si="104"/>
        <v/>
      </c>
      <c r="O1148" s="6">
        <f t="shared" si="105"/>
        <v>1.3999999999999773</v>
      </c>
      <c r="Q1148" s="6">
        <v>9.4500000000000455</v>
      </c>
      <c r="R1148" s="9">
        <f t="shared" si="106"/>
        <v>3543.7500000000173</v>
      </c>
      <c r="S1148" s="7">
        <f t="shared" si="107"/>
        <v>9693.7500000000291</v>
      </c>
    </row>
    <row r="1149" spans="1:19" x14ac:dyDescent="0.25">
      <c r="A1149" s="4">
        <f>Sheet1!A1149</f>
        <v>40750</v>
      </c>
      <c r="B1149" s="5">
        <f>Sheet1!B1149</f>
        <v>0.58333333333333337</v>
      </c>
      <c r="C1149" s="6">
        <f>Sheet1!C1149</f>
        <v>268.5</v>
      </c>
      <c r="D1149" s="6">
        <f>Sheet1!D1149</f>
        <v>272.35000000000002</v>
      </c>
      <c r="E1149" s="6">
        <f>Sheet1!E1149</f>
        <v>267.8</v>
      </c>
      <c r="F1149" s="6">
        <f>Sheet1!F1149</f>
        <v>269.95</v>
      </c>
      <c r="H1149" s="6">
        <f ca="1">IF(ROW($H1149)-1&lt;$I$1,$F1149,AVERAGE($F1149:OFFSET($F1149,(($I$1-1)*-1),0)))</f>
        <v>267.89999999999998</v>
      </c>
      <c r="J1149" s="6">
        <f ca="1">IF(ROW($J1149)-1&lt;$K$1,$F1149,AVERAGE($F1149:OFFSET($F1149,(($K$1-1)*-1),0)))</f>
        <v>279.25714285714287</v>
      </c>
      <c r="L1149" s="7">
        <f t="shared" ca="1" si="102"/>
        <v>-1</v>
      </c>
      <c r="M1149" s="7" t="str">
        <f t="shared" ca="1" si="103"/>
        <v/>
      </c>
      <c r="N1149" s="6" t="str">
        <f t="shared" ca="1" si="104"/>
        <v/>
      </c>
      <c r="O1149" s="6">
        <f t="shared" si="105"/>
        <v>2.0500000000000114</v>
      </c>
      <c r="Q1149" s="6">
        <v>7.4000000000000341</v>
      </c>
      <c r="R1149" s="9">
        <f t="shared" si="106"/>
        <v>2775.0000000000127</v>
      </c>
      <c r="S1149" s="7">
        <f t="shared" si="107"/>
        <v>9693.7500000000291</v>
      </c>
    </row>
    <row r="1150" spans="1:19" x14ac:dyDescent="0.25">
      <c r="A1150" s="4">
        <f>Sheet1!A1150</f>
        <v>40751</v>
      </c>
      <c r="B1150" s="5">
        <f>Sheet1!B1150</f>
        <v>0.58333333333333337</v>
      </c>
      <c r="C1150" s="6">
        <f>Sheet1!C1150</f>
        <v>269.95</v>
      </c>
      <c r="D1150" s="6">
        <f>Sheet1!D1150</f>
        <v>270.3</v>
      </c>
      <c r="E1150" s="6">
        <f>Sheet1!E1150</f>
        <v>263.60000000000002</v>
      </c>
      <c r="F1150" s="6">
        <f>Sheet1!F1150</f>
        <v>266.2</v>
      </c>
      <c r="H1150" s="6">
        <f ca="1">IF(ROW($H1150)-1&lt;$I$1,$F1150,AVERAGE($F1150:OFFSET($F1150,(($I$1-1)*-1),0)))</f>
        <v>267.45833333333331</v>
      </c>
      <c r="J1150" s="6">
        <f ca="1">IF(ROW($J1150)-1&lt;$K$1,$F1150,AVERAGE($F1150:OFFSET($F1150,(($K$1-1)*-1),0)))</f>
        <v>278.54464285714283</v>
      </c>
      <c r="L1150" s="7">
        <f t="shared" ca="1" si="102"/>
        <v>-1</v>
      </c>
      <c r="M1150" s="7" t="str">
        <f t="shared" ca="1" si="103"/>
        <v/>
      </c>
      <c r="N1150" s="6" t="str">
        <f t="shared" ca="1" si="104"/>
        <v/>
      </c>
      <c r="O1150" s="6">
        <f t="shared" si="105"/>
        <v>-3.75</v>
      </c>
      <c r="Q1150" s="6">
        <v>11.150000000000034</v>
      </c>
      <c r="R1150" s="9">
        <f t="shared" si="106"/>
        <v>4181.2500000000127</v>
      </c>
      <c r="S1150" s="7">
        <f t="shared" si="107"/>
        <v>9693.7500000000291</v>
      </c>
    </row>
    <row r="1151" spans="1:19" x14ac:dyDescent="0.25">
      <c r="A1151" s="4">
        <f>Sheet1!A1151</f>
        <v>40752</v>
      </c>
      <c r="B1151" s="5">
        <f>Sheet1!B1151</f>
        <v>0.58333333333333337</v>
      </c>
      <c r="C1151" s="6">
        <f>Sheet1!C1151</f>
        <v>266.60000000000002</v>
      </c>
      <c r="D1151" s="6">
        <f>Sheet1!D1151</f>
        <v>269.60000000000002</v>
      </c>
      <c r="E1151" s="6">
        <f>Sheet1!E1151</f>
        <v>262.2</v>
      </c>
      <c r="F1151" s="6">
        <f>Sheet1!F1151</f>
        <v>263.64999999999998</v>
      </c>
      <c r="H1151" s="6">
        <f ca="1">IF(ROW($H1151)-1&lt;$I$1,$F1151,AVERAGE($F1151:OFFSET($F1151,(($I$1-1)*-1),0)))</f>
        <v>266.66666666666669</v>
      </c>
      <c r="J1151" s="6">
        <f ca="1">IF(ROW($J1151)-1&lt;$K$1,$F1151,AVERAGE($F1151:OFFSET($F1151,(($K$1-1)*-1),0)))</f>
        <v>278.05</v>
      </c>
      <c r="L1151" s="7">
        <f t="shared" ca="1" si="102"/>
        <v>-1</v>
      </c>
      <c r="M1151" s="7" t="str">
        <f t="shared" ca="1" si="103"/>
        <v/>
      </c>
      <c r="N1151" s="6" t="str">
        <f t="shared" ca="1" si="104"/>
        <v/>
      </c>
      <c r="O1151" s="6">
        <f t="shared" si="105"/>
        <v>-2.5500000000000114</v>
      </c>
      <c r="Q1151" s="6">
        <v>13.700000000000045</v>
      </c>
      <c r="R1151" s="9">
        <f t="shared" si="106"/>
        <v>5137.5000000000173</v>
      </c>
      <c r="S1151" s="7">
        <f t="shared" si="107"/>
        <v>9693.7500000000291</v>
      </c>
    </row>
    <row r="1152" spans="1:19" x14ac:dyDescent="0.25">
      <c r="A1152" s="4">
        <f>Sheet1!A1152</f>
        <v>40753</v>
      </c>
      <c r="B1152" s="5">
        <f>Sheet1!B1152</f>
        <v>0.58333333333333337</v>
      </c>
      <c r="C1152" s="6">
        <f>Sheet1!C1152</f>
        <v>263.64999999999998</v>
      </c>
      <c r="D1152" s="6">
        <f>Sheet1!D1152</f>
        <v>267.39999999999998</v>
      </c>
      <c r="E1152" s="6">
        <f>Sheet1!E1152</f>
        <v>263.3</v>
      </c>
      <c r="F1152" s="6">
        <f>Sheet1!F1152</f>
        <v>264.55</v>
      </c>
      <c r="H1152" s="6">
        <f ca="1">IF(ROW($H1152)-1&lt;$I$1,$F1152,AVERAGE($F1152:OFFSET($F1152,(($I$1-1)*-1),0)))</f>
        <v>266.45833333333331</v>
      </c>
      <c r="J1152" s="6">
        <f ca="1">IF(ROW($J1152)-1&lt;$K$1,$F1152,AVERAGE($F1152:OFFSET($F1152,(($K$1-1)*-1),0)))</f>
        <v>277.80892857142857</v>
      </c>
      <c r="L1152" s="7">
        <f t="shared" ca="1" si="102"/>
        <v>-1</v>
      </c>
      <c r="M1152" s="7" t="str">
        <f t="shared" ca="1" si="103"/>
        <v/>
      </c>
      <c r="N1152" s="6" t="str">
        <f t="shared" ca="1" si="104"/>
        <v/>
      </c>
      <c r="O1152" s="6">
        <f t="shared" si="105"/>
        <v>0.90000000000003411</v>
      </c>
      <c r="Q1152" s="6">
        <v>12.800000000000011</v>
      </c>
      <c r="R1152" s="9">
        <f t="shared" si="106"/>
        <v>4800.0000000000045</v>
      </c>
      <c r="S1152" s="7">
        <f t="shared" si="107"/>
        <v>9693.7500000000291</v>
      </c>
    </row>
    <row r="1153" spans="1:19" x14ac:dyDescent="0.25">
      <c r="A1153" s="4">
        <f>Sheet1!A1153</f>
        <v>40756</v>
      </c>
      <c r="B1153" s="5">
        <f>Sheet1!B1153</f>
        <v>0.58333333333333337</v>
      </c>
      <c r="C1153" s="6">
        <f>Sheet1!C1153</f>
        <v>265.60000000000002</v>
      </c>
      <c r="D1153" s="6">
        <f>Sheet1!D1153</f>
        <v>268.7</v>
      </c>
      <c r="E1153" s="6">
        <f>Sheet1!E1153</f>
        <v>264.7</v>
      </c>
      <c r="F1153" s="6">
        <f>Sheet1!F1153</f>
        <v>266.35000000000002</v>
      </c>
      <c r="H1153" s="6">
        <f ca="1">IF(ROW($H1153)-1&lt;$I$1,$F1153,AVERAGE($F1153:OFFSET($F1153,(($I$1-1)*-1),0)))</f>
        <v>266.43333333333334</v>
      </c>
      <c r="J1153" s="6">
        <f ca="1">IF(ROW($J1153)-1&lt;$K$1,$F1153,AVERAGE($F1153:OFFSET($F1153,(($K$1-1)*-1),0)))</f>
        <v>277.60892857142858</v>
      </c>
      <c r="L1153" s="7">
        <f t="shared" ca="1" si="102"/>
        <v>-1</v>
      </c>
      <c r="M1153" s="7" t="str">
        <f t="shared" ca="1" si="103"/>
        <v/>
      </c>
      <c r="N1153" s="6" t="str">
        <f t="shared" ca="1" si="104"/>
        <v/>
      </c>
      <c r="O1153" s="6">
        <f t="shared" si="105"/>
        <v>1.8000000000000114</v>
      </c>
      <c r="Q1153" s="6">
        <v>11</v>
      </c>
      <c r="R1153" s="9">
        <f t="shared" si="106"/>
        <v>4125</v>
      </c>
      <c r="S1153" s="7">
        <f t="shared" si="107"/>
        <v>9693.7500000000291</v>
      </c>
    </row>
    <row r="1154" spans="1:19" x14ac:dyDescent="0.25">
      <c r="A1154" s="4">
        <f>Sheet1!A1154</f>
        <v>40757</v>
      </c>
      <c r="B1154" s="5">
        <f>Sheet1!B1154</f>
        <v>0.58333333333333337</v>
      </c>
      <c r="C1154" s="6">
        <f>Sheet1!C1154</f>
        <v>265.95</v>
      </c>
      <c r="D1154" s="6">
        <f>Sheet1!D1154</f>
        <v>273.45</v>
      </c>
      <c r="E1154" s="6">
        <f>Sheet1!E1154</f>
        <v>265.64999999999998</v>
      </c>
      <c r="F1154" s="6">
        <f>Sheet1!F1154</f>
        <v>268.2</v>
      </c>
      <c r="H1154" s="6">
        <f ca="1">IF(ROW($H1154)-1&lt;$I$1,$F1154,AVERAGE($F1154:OFFSET($F1154,(($I$1-1)*-1),0)))</f>
        <v>266.48333333333329</v>
      </c>
      <c r="J1154" s="6">
        <f ca="1">IF(ROW($J1154)-1&lt;$K$1,$F1154,AVERAGE($F1154:OFFSET($F1154,(($K$1-1)*-1),0)))</f>
        <v>277.50178571428575</v>
      </c>
      <c r="L1154" s="7">
        <f t="shared" ca="1" si="102"/>
        <v>-1</v>
      </c>
      <c r="M1154" s="7" t="str">
        <f t="shared" ca="1" si="103"/>
        <v/>
      </c>
      <c r="N1154" s="6" t="str">
        <f t="shared" ca="1" si="104"/>
        <v/>
      </c>
      <c r="O1154" s="6">
        <f t="shared" si="105"/>
        <v>1.8499999999999659</v>
      </c>
      <c r="Q1154" s="6">
        <v>9.1500000000000341</v>
      </c>
      <c r="R1154" s="9">
        <f t="shared" si="106"/>
        <v>3431.2500000000127</v>
      </c>
      <c r="S1154" s="7">
        <f t="shared" si="107"/>
        <v>9693.7500000000291</v>
      </c>
    </row>
    <row r="1155" spans="1:19" x14ac:dyDescent="0.25">
      <c r="A1155" s="4">
        <f>Sheet1!A1155</f>
        <v>40758</v>
      </c>
      <c r="B1155" s="5">
        <f>Sheet1!B1155</f>
        <v>0.58333333333333337</v>
      </c>
      <c r="C1155" s="6">
        <f>Sheet1!C1155</f>
        <v>267.85000000000002</v>
      </c>
      <c r="D1155" s="6">
        <f>Sheet1!D1155</f>
        <v>270.7</v>
      </c>
      <c r="E1155" s="6">
        <f>Sheet1!E1155</f>
        <v>265.35000000000002</v>
      </c>
      <c r="F1155" s="6">
        <f>Sheet1!F1155</f>
        <v>266.89999999999998</v>
      </c>
      <c r="H1155" s="6">
        <f ca="1">IF(ROW($H1155)-1&lt;$I$1,$F1155,AVERAGE($F1155:OFFSET($F1155,(($I$1-1)*-1),0)))</f>
        <v>265.97499999999997</v>
      </c>
      <c r="J1155" s="6">
        <f ca="1">IF(ROW($J1155)-1&lt;$K$1,$F1155,AVERAGE($F1155:OFFSET($F1155,(($K$1-1)*-1),0)))</f>
        <v>277.25892857142856</v>
      </c>
      <c r="L1155" s="7">
        <f t="shared" ref="L1155:L1218" ca="1" si="108">IF(ROW($L1155)&gt;($K$1),IF($H1155&gt;$J1155,1,IF($H1155&lt;$J1155,-1,$L1154*-1)),0)</f>
        <v>-1</v>
      </c>
      <c r="M1155" s="7" t="str">
        <f t="shared" ca="1" si="103"/>
        <v/>
      </c>
      <c r="N1155" s="6" t="str">
        <f t="shared" ca="1" si="104"/>
        <v/>
      </c>
      <c r="O1155" s="6">
        <f t="shared" si="105"/>
        <v>-1.3000000000000114</v>
      </c>
      <c r="Q1155" s="6">
        <v>10.450000000000045</v>
      </c>
      <c r="R1155" s="9">
        <f t="shared" si="106"/>
        <v>3918.7500000000173</v>
      </c>
      <c r="S1155" s="7">
        <f t="shared" si="107"/>
        <v>9693.7500000000291</v>
      </c>
    </row>
    <row r="1156" spans="1:19" x14ac:dyDescent="0.25">
      <c r="A1156" s="4">
        <f>Sheet1!A1156</f>
        <v>40759</v>
      </c>
      <c r="B1156" s="5">
        <f>Sheet1!B1156</f>
        <v>0.58333333333333337</v>
      </c>
      <c r="C1156" s="6">
        <f>Sheet1!C1156</f>
        <v>267.14999999999998</v>
      </c>
      <c r="D1156" s="6">
        <f>Sheet1!D1156</f>
        <v>268.10000000000002</v>
      </c>
      <c r="E1156" s="6">
        <f>Sheet1!E1156</f>
        <v>259.75</v>
      </c>
      <c r="F1156" s="6">
        <f>Sheet1!F1156</f>
        <v>260.85000000000002</v>
      </c>
      <c r="H1156" s="6">
        <f ca="1">IF(ROW($H1156)-1&lt;$I$1,$F1156,AVERAGE($F1156:OFFSET($F1156,(($I$1-1)*-1),0)))</f>
        <v>265.08333333333331</v>
      </c>
      <c r="J1156" s="6">
        <f ca="1">IF(ROW($J1156)-1&lt;$K$1,$F1156,AVERAGE($F1156:OFFSET($F1156,(($K$1-1)*-1),0)))</f>
        <v>276.73571428571427</v>
      </c>
      <c r="L1156" s="7">
        <f t="shared" ca="1" si="108"/>
        <v>-1</v>
      </c>
      <c r="M1156" s="7" t="str">
        <f t="shared" ref="M1156:M1219" ca="1" si="109">IF(L1156&lt;&gt;L1155,L1156,"")</f>
        <v/>
      </c>
      <c r="N1156" s="6" t="str">
        <f t="shared" ref="N1156:N1219" ca="1" si="110">IF(M1155&lt;&gt;"",C1156,"")</f>
        <v/>
      </c>
      <c r="O1156" s="6">
        <f t="shared" ref="O1156:O1219" si="111">F1156-F1155</f>
        <v>-6.0499999999999545</v>
      </c>
      <c r="Q1156" s="6">
        <v>16.5</v>
      </c>
      <c r="R1156" s="9">
        <f t="shared" ref="R1156:R1219" si="112">IF(Q1156="","",Q1156*375)</f>
        <v>6187.5</v>
      </c>
      <c r="S1156" s="7">
        <f t="shared" si="107"/>
        <v>9693.7500000000291</v>
      </c>
    </row>
    <row r="1157" spans="1:19" x14ac:dyDescent="0.25">
      <c r="A1157" s="4">
        <f>Sheet1!A1157</f>
        <v>40760</v>
      </c>
      <c r="B1157" s="5">
        <f>Sheet1!B1157</f>
        <v>0.58333333333333337</v>
      </c>
      <c r="C1157" s="6">
        <f>Sheet1!C1157</f>
        <v>260.35000000000002</v>
      </c>
      <c r="D1157" s="6">
        <f>Sheet1!D1157</f>
        <v>272.7</v>
      </c>
      <c r="E1157" s="6">
        <f>Sheet1!E1157</f>
        <v>258.5</v>
      </c>
      <c r="F1157" s="6">
        <f>Sheet1!F1157</f>
        <v>263</v>
      </c>
      <c r="H1157" s="6">
        <f ca="1">IF(ROW($H1157)-1&lt;$I$1,$F1157,AVERAGE($F1157:OFFSET($F1157,(($I$1-1)*-1),0)))</f>
        <v>264.97499999999997</v>
      </c>
      <c r="J1157" s="6">
        <f ca="1">IF(ROW($J1157)-1&lt;$K$1,$F1157,AVERAGE($F1157:OFFSET($F1157,(($K$1-1)*-1),0)))</f>
        <v>276.26964285714286</v>
      </c>
      <c r="L1157" s="7">
        <f t="shared" ca="1" si="108"/>
        <v>-1</v>
      </c>
      <c r="M1157" s="7" t="str">
        <f t="shared" ca="1" si="109"/>
        <v/>
      </c>
      <c r="N1157" s="6" t="str">
        <f t="shared" ca="1" si="110"/>
        <v/>
      </c>
      <c r="O1157" s="6">
        <f t="shared" si="111"/>
        <v>2.1499999999999773</v>
      </c>
      <c r="Q1157" s="6">
        <v>14.350000000000023</v>
      </c>
      <c r="R1157" s="9">
        <f t="shared" si="112"/>
        <v>5381.2500000000082</v>
      </c>
      <c r="S1157" s="7">
        <f t="shared" si="107"/>
        <v>9693.7500000000291</v>
      </c>
    </row>
    <row r="1158" spans="1:19" x14ac:dyDescent="0.25">
      <c r="A1158" s="4">
        <f>Sheet1!A1158</f>
        <v>40763</v>
      </c>
      <c r="B1158" s="5">
        <f>Sheet1!B1158</f>
        <v>0.58333333333333337</v>
      </c>
      <c r="C1158" s="6">
        <f>Sheet1!C1158</f>
        <v>261.95</v>
      </c>
      <c r="D1158" s="6">
        <f>Sheet1!D1158</f>
        <v>262</v>
      </c>
      <c r="E1158" s="6">
        <f>Sheet1!E1158</f>
        <v>256.35000000000002</v>
      </c>
      <c r="F1158" s="6">
        <f>Sheet1!F1158</f>
        <v>259.2</v>
      </c>
      <c r="H1158" s="6">
        <f ca="1">IF(ROW($H1158)-1&lt;$I$1,$F1158,AVERAGE($F1158:OFFSET($F1158,(($I$1-1)*-1),0)))</f>
        <v>264.08333333333331</v>
      </c>
      <c r="J1158" s="6">
        <f ca="1">IF(ROW($J1158)-1&lt;$K$1,$F1158,AVERAGE($F1158:OFFSET($F1158,(($K$1-1)*-1),0)))</f>
        <v>275.38749999999993</v>
      </c>
      <c r="L1158" s="7">
        <f t="shared" ca="1" si="108"/>
        <v>-1</v>
      </c>
      <c r="M1158" s="7" t="str">
        <f t="shared" ca="1" si="109"/>
        <v/>
      </c>
      <c r="N1158" s="6" t="str">
        <f t="shared" ca="1" si="110"/>
        <v/>
      </c>
      <c r="O1158" s="6">
        <f t="shared" si="111"/>
        <v>-3.8000000000000114</v>
      </c>
      <c r="Q1158" s="6">
        <v>18.150000000000034</v>
      </c>
      <c r="R1158" s="9">
        <f t="shared" si="112"/>
        <v>6806.2500000000127</v>
      </c>
      <c r="S1158" s="7">
        <f t="shared" si="107"/>
        <v>9693.7500000000291</v>
      </c>
    </row>
    <row r="1159" spans="1:19" x14ac:dyDescent="0.25">
      <c r="A1159" s="4">
        <f>Sheet1!A1159</f>
        <v>40764</v>
      </c>
      <c r="B1159" s="5">
        <f>Sheet1!B1159</f>
        <v>0.58333333333333337</v>
      </c>
      <c r="C1159" s="6">
        <f>Sheet1!C1159</f>
        <v>258.60000000000002</v>
      </c>
      <c r="D1159" s="6">
        <f>Sheet1!D1159</f>
        <v>263.10000000000002</v>
      </c>
      <c r="E1159" s="6">
        <f>Sheet1!E1159</f>
        <v>257.60000000000002</v>
      </c>
      <c r="F1159" s="6">
        <f>Sheet1!F1159</f>
        <v>259.75</v>
      </c>
      <c r="H1159" s="6">
        <f ca="1">IF(ROW($H1159)-1&lt;$I$1,$F1159,AVERAGE($F1159:OFFSET($F1159,(($I$1-1)*-1),0)))</f>
        <v>262.98333333333329</v>
      </c>
      <c r="J1159" s="6">
        <f ca="1">IF(ROW($J1159)-1&lt;$K$1,$F1159,AVERAGE($F1159:OFFSET($F1159,(($K$1-1)*-1),0)))</f>
        <v>274.46071428571423</v>
      </c>
      <c r="L1159" s="7">
        <f t="shared" ca="1" si="108"/>
        <v>-1</v>
      </c>
      <c r="M1159" s="7" t="str">
        <f t="shared" ca="1" si="109"/>
        <v/>
      </c>
      <c r="N1159" s="6" t="str">
        <f t="shared" ca="1" si="110"/>
        <v/>
      </c>
      <c r="O1159" s="6">
        <f t="shared" si="111"/>
        <v>0.55000000000001137</v>
      </c>
      <c r="Q1159" s="6">
        <v>17.600000000000023</v>
      </c>
      <c r="R1159" s="9">
        <f t="shared" si="112"/>
        <v>6600.0000000000082</v>
      </c>
      <c r="S1159" s="7">
        <f t="shared" si="107"/>
        <v>9693.7500000000291</v>
      </c>
    </row>
    <row r="1160" spans="1:19" x14ac:dyDescent="0.25">
      <c r="A1160" s="4">
        <f>Sheet1!A1160</f>
        <v>40765</v>
      </c>
      <c r="B1160" s="5">
        <f>Sheet1!B1160</f>
        <v>0.58333333333333337</v>
      </c>
      <c r="C1160" s="6">
        <f>Sheet1!C1160</f>
        <v>260.8</v>
      </c>
      <c r="D1160" s="6">
        <f>Sheet1!D1160</f>
        <v>263.8</v>
      </c>
      <c r="E1160" s="6">
        <f>Sheet1!E1160</f>
        <v>258.8</v>
      </c>
      <c r="F1160" s="6">
        <f>Sheet1!F1160</f>
        <v>259.85000000000002</v>
      </c>
      <c r="H1160" s="6">
        <f ca="1">IF(ROW($H1160)-1&lt;$I$1,$F1160,AVERAGE($F1160:OFFSET($F1160,(($I$1-1)*-1),0)))</f>
        <v>261.5916666666667</v>
      </c>
      <c r="J1160" s="6">
        <f ca="1">IF(ROW($J1160)-1&lt;$K$1,$F1160,AVERAGE($F1160:OFFSET($F1160,(($K$1-1)*-1),0)))</f>
        <v>273.36249999999995</v>
      </c>
      <c r="L1160" s="7">
        <f t="shared" ca="1" si="108"/>
        <v>-1</v>
      </c>
      <c r="M1160" s="7" t="str">
        <f t="shared" ca="1" si="109"/>
        <v/>
      </c>
      <c r="N1160" s="6" t="str">
        <f t="shared" ca="1" si="110"/>
        <v/>
      </c>
      <c r="O1160" s="6">
        <f t="shared" si="111"/>
        <v>0.10000000000002274</v>
      </c>
      <c r="Q1160" s="6">
        <v>17.5</v>
      </c>
      <c r="R1160" s="9">
        <f t="shared" si="112"/>
        <v>6562.5</v>
      </c>
      <c r="S1160" s="7">
        <f t="shared" si="107"/>
        <v>9693.7500000000291</v>
      </c>
    </row>
    <row r="1161" spans="1:19" x14ac:dyDescent="0.25">
      <c r="A1161" s="4">
        <f>Sheet1!A1161</f>
        <v>40766</v>
      </c>
      <c r="B1161" s="5">
        <f>Sheet1!B1161</f>
        <v>0.58333333333333337</v>
      </c>
      <c r="C1161" s="6">
        <f>Sheet1!C1161</f>
        <v>260.45</v>
      </c>
      <c r="D1161" s="6">
        <f>Sheet1!D1161</f>
        <v>266.3</v>
      </c>
      <c r="E1161" s="6">
        <f>Sheet1!E1161</f>
        <v>259.14999999999998</v>
      </c>
      <c r="F1161" s="6">
        <f>Sheet1!F1161</f>
        <v>265.55</v>
      </c>
      <c r="H1161" s="6">
        <f ca="1">IF(ROW($H1161)-1&lt;$I$1,$F1161,AVERAGE($F1161:OFFSET($F1161,(($I$1-1)*-1),0)))</f>
        <v>261.36666666666667</v>
      </c>
      <c r="J1161" s="6">
        <f ca="1">IF(ROW($J1161)-1&lt;$K$1,$F1161,AVERAGE($F1161:OFFSET($F1161,(($K$1-1)*-1),0)))</f>
        <v>272.53750000000002</v>
      </c>
      <c r="L1161" s="7">
        <f t="shared" ca="1" si="108"/>
        <v>-1</v>
      </c>
      <c r="M1161" s="7" t="str">
        <f t="shared" ca="1" si="109"/>
        <v/>
      </c>
      <c r="N1161" s="6" t="str">
        <f t="shared" ca="1" si="110"/>
        <v/>
      </c>
      <c r="O1161" s="6">
        <f t="shared" si="111"/>
        <v>5.6999999999999886</v>
      </c>
      <c r="Q1161" s="6">
        <v>11.800000000000011</v>
      </c>
      <c r="R1161" s="9">
        <f t="shared" si="112"/>
        <v>4425.0000000000045</v>
      </c>
      <c r="S1161" s="7">
        <f t="shared" si="107"/>
        <v>9693.7500000000291</v>
      </c>
    </row>
    <row r="1162" spans="1:19" x14ac:dyDescent="0.25">
      <c r="A1162" s="4">
        <f>Sheet1!A1162</f>
        <v>40767</v>
      </c>
      <c r="B1162" s="5">
        <f>Sheet1!B1162</f>
        <v>0.58333333333333337</v>
      </c>
      <c r="C1162" s="6">
        <f>Sheet1!C1162</f>
        <v>265.5</v>
      </c>
      <c r="D1162" s="6">
        <f>Sheet1!D1162</f>
        <v>267</v>
      </c>
      <c r="E1162" s="6">
        <f>Sheet1!E1162</f>
        <v>264</v>
      </c>
      <c r="F1162" s="6">
        <f>Sheet1!F1162</f>
        <v>265.35000000000002</v>
      </c>
      <c r="H1162" s="6">
        <f ca="1">IF(ROW($H1162)-1&lt;$I$1,$F1162,AVERAGE($F1162:OFFSET($F1162,(($I$1-1)*-1),0)))</f>
        <v>262.11666666666673</v>
      </c>
      <c r="J1162" s="6">
        <f ca="1">IF(ROW($J1162)-1&lt;$K$1,$F1162,AVERAGE($F1162:OFFSET($F1162,(($K$1-1)*-1),0)))</f>
        <v>271.50535714285718</v>
      </c>
      <c r="L1162" s="7">
        <f t="shared" ca="1" si="108"/>
        <v>-1</v>
      </c>
      <c r="M1162" s="7" t="str">
        <f t="shared" ca="1" si="109"/>
        <v/>
      </c>
      <c r="N1162" s="6" t="str">
        <f t="shared" ca="1" si="110"/>
        <v/>
      </c>
      <c r="O1162" s="6">
        <f t="shared" si="111"/>
        <v>-0.19999999999998863</v>
      </c>
      <c r="Q1162" s="6">
        <v>12</v>
      </c>
      <c r="R1162" s="9">
        <f t="shared" si="112"/>
        <v>4500</v>
      </c>
      <c r="S1162" s="7">
        <f t="shared" si="107"/>
        <v>9693.7500000000291</v>
      </c>
    </row>
    <row r="1163" spans="1:19" x14ac:dyDescent="0.25">
      <c r="A1163" s="4">
        <f>Sheet1!A1163</f>
        <v>40770</v>
      </c>
      <c r="B1163" s="5">
        <f>Sheet1!B1163</f>
        <v>0.58333333333333337</v>
      </c>
      <c r="C1163" s="6">
        <f>Sheet1!C1163</f>
        <v>265</v>
      </c>
      <c r="D1163" s="6">
        <f>Sheet1!D1163</f>
        <v>273.25</v>
      </c>
      <c r="E1163" s="6">
        <f>Sheet1!E1163</f>
        <v>264.85000000000002</v>
      </c>
      <c r="F1163" s="6">
        <f>Sheet1!F1163</f>
        <v>270.89999999999998</v>
      </c>
      <c r="H1163" s="6">
        <f ca="1">IF(ROW($H1163)-1&lt;$I$1,$F1163,AVERAGE($F1163:OFFSET($F1163,(($I$1-1)*-1),0)))</f>
        <v>263.43333333333339</v>
      </c>
      <c r="J1163" s="6">
        <f ca="1">IF(ROW($J1163)-1&lt;$K$1,$F1163,AVERAGE($F1163:OFFSET($F1163,(($K$1-1)*-1),0)))</f>
        <v>270.73392857142863</v>
      </c>
      <c r="L1163" s="7">
        <f t="shared" ca="1" si="108"/>
        <v>-1</v>
      </c>
      <c r="M1163" s="7" t="str">
        <f t="shared" ca="1" si="109"/>
        <v/>
      </c>
      <c r="N1163" s="6" t="str">
        <f t="shared" ca="1" si="110"/>
        <v/>
      </c>
      <c r="O1163" s="6">
        <f t="shared" si="111"/>
        <v>5.5499999999999545</v>
      </c>
      <c r="Q1163" s="6">
        <v>6.4500000000000455</v>
      </c>
      <c r="R1163" s="9">
        <f t="shared" si="112"/>
        <v>2418.7500000000173</v>
      </c>
      <c r="S1163" s="7">
        <f t="shared" si="107"/>
        <v>9693.7500000000291</v>
      </c>
    </row>
    <row r="1164" spans="1:19" x14ac:dyDescent="0.25">
      <c r="A1164" s="4">
        <f>Sheet1!A1164</f>
        <v>40771</v>
      </c>
      <c r="B1164" s="5">
        <f>Sheet1!B1164</f>
        <v>0.58333333333333337</v>
      </c>
      <c r="C1164" s="6">
        <f>Sheet1!C1164</f>
        <v>270.2</v>
      </c>
      <c r="D1164" s="6">
        <f>Sheet1!D1164</f>
        <v>277</v>
      </c>
      <c r="E1164" s="6">
        <f>Sheet1!E1164</f>
        <v>267.25</v>
      </c>
      <c r="F1164" s="6">
        <f>Sheet1!F1164</f>
        <v>276.5</v>
      </c>
      <c r="H1164" s="6">
        <f ca="1">IF(ROW($H1164)-1&lt;$I$1,$F1164,AVERAGE($F1164:OFFSET($F1164,(($I$1-1)*-1),0)))</f>
        <v>266.31666666666666</v>
      </c>
      <c r="J1164" s="6">
        <f ca="1">IF(ROW($J1164)-1&lt;$K$1,$F1164,AVERAGE($F1164:OFFSET($F1164,(($K$1-1)*-1),0)))</f>
        <v>270.12321428571431</v>
      </c>
      <c r="L1164" s="7">
        <f t="shared" ca="1" si="108"/>
        <v>-1</v>
      </c>
      <c r="M1164" s="7" t="str">
        <f t="shared" ca="1" si="109"/>
        <v/>
      </c>
      <c r="N1164" s="6" t="str">
        <f t="shared" ca="1" si="110"/>
        <v/>
      </c>
      <c r="O1164" s="6">
        <f t="shared" si="111"/>
        <v>5.6000000000000227</v>
      </c>
      <c r="Q1164" s="6">
        <v>0.85000000000002274</v>
      </c>
      <c r="R1164" s="9">
        <f t="shared" si="112"/>
        <v>318.75000000000853</v>
      </c>
      <c r="S1164" s="7">
        <f t="shared" si="107"/>
        <v>9693.7500000000291</v>
      </c>
    </row>
    <row r="1165" spans="1:19" x14ac:dyDescent="0.25">
      <c r="A1165" s="4">
        <f>Sheet1!A1165</f>
        <v>40772</v>
      </c>
      <c r="B1165" s="5">
        <f>Sheet1!B1165</f>
        <v>0.58333333333333337</v>
      </c>
      <c r="C1165" s="6">
        <f>Sheet1!C1165</f>
        <v>275.7</v>
      </c>
      <c r="D1165" s="6">
        <f>Sheet1!D1165</f>
        <v>288.8</v>
      </c>
      <c r="E1165" s="6">
        <f>Sheet1!E1165</f>
        <v>275.60000000000002</v>
      </c>
      <c r="F1165" s="6">
        <f>Sheet1!F1165</f>
        <v>288.3</v>
      </c>
      <c r="H1165" s="6">
        <f ca="1">IF(ROW($H1165)-1&lt;$I$1,$F1165,AVERAGE($F1165:OFFSET($F1165,(($I$1-1)*-1),0)))</f>
        <v>271.07499999999999</v>
      </c>
      <c r="J1165" s="6">
        <f ca="1">IF(ROW($J1165)-1&lt;$K$1,$F1165,AVERAGE($F1165:OFFSET($F1165,(($K$1-1)*-1),0)))</f>
        <v>270.12321428571431</v>
      </c>
      <c r="L1165" s="7">
        <f t="shared" ca="1" si="108"/>
        <v>1</v>
      </c>
      <c r="M1165" s="7">
        <f t="shared" ca="1" si="109"/>
        <v>1</v>
      </c>
      <c r="N1165" s="6" t="str">
        <f t="shared" ca="1" si="110"/>
        <v/>
      </c>
      <c r="O1165" s="6">
        <f t="shared" si="111"/>
        <v>11.800000000000011</v>
      </c>
      <c r="Q1165" s="6">
        <v>-10.949999999999989</v>
      </c>
      <c r="R1165" s="9">
        <f t="shared" si="112"/>
        <v>-4106.2499999999955</v>
      </c>
      <c r="S1165" s="7">
        <f t="shared" si="107"/>
        <v>9693.7500000000291</v>
      </c>
    </row>
    <row r="1166" spans="1:19" x14ac:dyDescent="0.25">
      <c r="A1166" s="4">
        <f>Sheet1!A1166</f>
        <v>40773</v>
      </c>
      <c r="B1166" s="5">
        <f>Sheet1!B1166</f>
        <v>0.58333333333333337</v>
      </c>
      <c r="C1166" s="6">
        <f>Sheet1!C1166</f>
        <v>287.2</v>
      </c>
      <c r="D1166" s="6">
        <f>Sheet1!D1166</f>
        <v>290.25</v>
      </c>
      <c r="E1166" s="6">
        <f>Sheet1!E1166</f>
        <v>281.7</v>
      </c>
      <c r="F1166" s="6">
        <f>Sheet1!F1166</f>
        <v>289.89999999999998</v>
      </c>
      <c r="H1166" s="6">
        <f ca="1">IF(ROW($H1166)-1&lt;$I$1,$F1166,AVERAGE($F1166:OFFSET($F1166,(($I$1-1)*-1),0)))</f>
        <v>276.08333333333331</v>
      </c>
      <c r="J1166" s="6">
        <f ca="1">IF(ROW($J1166)-1&lt;$K$1,$F1166,AVERAGE($F1166:OFFSET($F1166,(($K$1-1)*-1),0)))</f>
        <v>270.33214285714286</v>
      </c>
      <c r="L1166" s="7">
        <f t="shared" ca="1" si="108"/>
        <v>1</v>
      </c>
      <c r="M1166" s="7" t="str">
        <f t="shared" ca="1" si="109"/>
        <v/>
      </c>
      <c r="N1166" s="6">
        <f t="shared" ca="1" si="110"/>
        <v>287.2</v>
      </c>
      <c r="O1166" s="6">
        <f t="shared" si="111"/>
        <v>1.5999999999999659</v>
      </c>
      <c r="P1166" s="6">
        <v>-9.8499999999999659</v>
      </c>
      <c r="Q1166" s="6">
        <v>2.6999999999999886</v>
      </c>
      <c r="R1166" s="9">
        <f t="shared" si="112"/>
        <v>1012.4999999999957</v>
      </c>
      <c r="S1166" s="7">
        <f t="shared" si="107"/>
        <v>6000.0000000000418</v>
      </c>
    </row>
    <row r="1167" spans="1:19" x14ac:dyDescent="0.25">
      <c r="A1167" s="4">
        <f>Sheet1!A1167</f>
        <v>40774</v>
      </c>
      <c r="B1167" s="5">
        <f>Sheet1!B1167</f>
        <v>0.58333333333333337</v>
      </c>
      <c r="C1167" s="6">
        <f>Sheet1!C1167</f>
        <v>288.2</v>
      </c>
      <c r="D1167" s="6">
        <f>Sheet1!D1167</f>
        <v>291.7</v>
      </c>
      <c r="E1167" s="6">
        <f>Sheet1!E1167</f>
        <v>286.2</v>
      </c>
      <c r="F1167" s="6">
        <f>Sheet1!F1167</f>
        <v>291.35000000000002</v>
      </c>
      <c r="H1167" s="6">
        <f ca="1">IF(ROW($H1167)-1&lt;$I$1,$F1167,AVERAGE($F1167:OFFSET($F1167,(($I$1-1)*-1),0)))</f>
        <v>280.38333333333327</v>
      </c>
      <c r="J1167" s="6">
        <f ca="1">IF(ROW($J1167)-1&lt;$K$1,$F1167,AVERAGE($F1167:OFFSET($F1167,(($K$1-1)*-1),0)))</f>
        <v>270.6357142857143</v>
      </c>
      <c r="L1167" s="7">
        <f t="shared" ca="1" si="108"/>
        <v>1</v>
      </c>
      <c r="M1167" s="7" t="str">
        <f t="shared" ca="1" si="109"/>
        <v/>
      </c>
      <c r="N1167" s="6" t="str">
        <f t="shared" ca="1" si="110"/>
        <v/>
      </c>
      <c r="O1167" s="6">
        <f t="shared" si="111"/>
        <v>1.4500000000000455</v>
      </c>
      <c r="Q1167" s="6">
        <v>4.1500000000000341</v>
      </c>
      <c r="R1167" s="9">
        <f t="shared" si="112"/>
        <v>1556.2500000000127</v>
      </c>
      <c r="S1167" s="7">
        <f t="shared" si="107"/>
        <v>6000.0000000000418</v>
      </c>
    </row>
    <row r="1168" spans="1:19" x14ac:dyDescent="0.25">
      <c r="A1168" s="4">
        <f>Sheet1!A1168</f>
        <v>40777</v>
      </c>
      <c r="B1168" s="5">
        <f>Sheet1!B1168</f>
        <v>0.58333333333333337</v>
      </c>
      <c r="C1168" s="6">
        <f>Sheet1!C1168</f>
        <v>288.7</v>
      </c>
      <c r="D1168" s="6">
        <f>Sheet1!D1168</f>
        <v>294.75</v>
      </c>
      <c r="E1168" s="6">
        <f>Sheet1!E1168</f>
        <v>288.05</v>
      </c>
      <c r="F1168" s="6">
        <f>Sheet1!F1168</f>
        <v>289.85000000000002</v>
      </c>
      <c r="H1168" s="6">
        <f ca="1">IF(ROW($H1168)-1&lt;$I$1,$F1168,AVERAGE($F1168:OFFSET($F1168,(($I$1-1)*-1),0)))</f>
        <v>284.46666666666664</v>
      </c>
      <c r="J1168" s="6">
        <f ca="1">IF(ROW($J1168)-1&lt;$K$1,$F1168,AVERAGE($F1168:OFFSET($F1168,(($K$1-1)*-1),0)))</f>
        <v>270.66785714285714</v>
      </c>
      <c r="L1168" s="7">
        <f t="shared" ca="1" si="108"/>
        <v>1</v>
      </c>
      <c r="M1168" s="7" t="str">
        <f t="shared" ca="1" si="109"/>
        <v/>
      </c>
      <c r="N1168" s="6" t="str">
        <f t="shared" ca="1" si="110"/>
        <v/>
      </c>
      <c r="O1168" s="6">
        <f t="shared" si="111"/>
        <v>-1.5</v>
      </c>
      <c r="Q1168" s="6">
        <v>2.6500000000000341</v>
      </c>
      <c r="R1168" s="9">
        <f t="shared" si="112"/>
        <v>993.75000000001273</v>
      </c>
      <c r="S1168" s="7">
        <f t="shared" ref="S1168:S1231" si="113">S1167+(P1168*375)</f>
        <v>6000.0000000000418</v>
      </c>
    </row>
    <row r="1169" spans="1:19" x14ac:dyDescent="0.25">
      <c r="A1169" s="4">
        <f>Sheet1!A1169</f>
        <v>40778</v>
      </c>
      <c r="B1169" s="5">
        <f>Sheet1!B1169</f>
        <v>0.58333333333333337</v>
      </c>
      <c r="C1169" s="6">
        <f>Sheet1!C1169</f>
        <v>288.85000000000002</v>
      </c>
      <c r="D1169" s="6">
        <f>Sheet1!D1169</f>
        <v>295</v>
      </c>
      <c r="E1169" s="6">
        <f>Sheet1!E1169</f>
        <v>288.85000000000002</v>
      </c>
      <c r="F1169" s="6">
        <f>Sheet1!F1169</f>
        <v>293.10000000000002</v>
      </c>
      <c r="H1169" s="6">
        <f ca="1">IF(ROW($H1169)-1&lt;$I$1,$F1169,AVERAGE($F1169:OFFSET($F1169,(($I$1-1)*-1),0)))</f>
        <v>288.16666666666669</v>
      </c>
      <c r="J1169" s="6">
        <f ca="1">IF(ROW($J1169)-1&lt;$K$1,$F1169,AVERAGE($F1169:OFFSET($F1169,(($K$1-1)*-1),0)))</f>
        <v>271.01607142857148</v>
      </c>
      <c r="L1169" s="7">
        <f t="shared" ca="1" si="108"/>
        <v>1</v>
      </c>
      <c r="M1169" s="7" t="str">
        <f t="shared" ca="1" si="109"/>
        <v/>
      </c>
      <c r="N1169" s="6" t="str">
        <f t="shared" ca="1" si="110"/>
        <v/>
      </c>
      <c r="O1169" s="6">
        <f t="shared" si="111"/>
        <v>3.25</v>
      </c>
      <c r="Q1169" s="6">
        <v>5.9000000000000341</v>
      </c>
      <c r="R1169" s="9">
        <f t="shared" si="112"/>
        <v>2212.5000000000127</v>
      </c>
      <c r="S1169" s="7">
        <f t="shared" si="113"/>
        <v>6000.0000000000418</v>
      </c>
    </row>
    <row r="1170" spans="1:19" x14ac:dyDescent="0.25">
      <c r="A1170" s="4">
        <f>Sheet1!A1170</f>
        <v>40779</v>
      </c>
      <c r="B1170" s="5">
        <f>Sheet1!B1170</f>
        <v>0.58333333333333337</v>
      </c>
      <c r="C1170" s="6">
        <f>Sheet1!C1170</f>
        <v>293.5</v>
      </c>
      <c r="D1170" s="6">
        <f>Sheet1!D1170</f>
        <v>299.14999999999998</v>
      </c>
      <c r="E1170" s="6">
        <f>Sheet1!E1170</f>
        <v>293.45</v>
      </c>
      <c r="F1170" s="6">
        <f>Sheet1!F1170</f>
        <v>295.25</v>
      </c>
      <c r="H1170" s="6">
        <f ca="1">IF(ROW($H1170)-1&lt;$I$1,$F1170,AVERAGE($F1170:OFFSET($F1170,(($I$1-1)*-1),0)))</f>
        <v>291.29166666666669</v>
      </c>
      <c r="J1170" s="6">
        <f ca="1">IF(ROW($J1170)-1&lt;$K$1,$F1170,AVERAGE($F1170:OFFSET($F1170,(($K$1-1)*-1),0)))</f>
        <v>271.61250000000007</v>
      </c>
      <c r="L1170" s="7">
        <f t="shared" ca="1" si="108"/>
        <v>1</v>
      </c>
      <c r="M1170" s="7" t="str">
        <f t="shared" ca="1" si="109"/>
        <v/>
      </c>
      <c r="N1170" s="6" t="str">
        <f t="shared" ca="1" si="110"/>
        <v/>
      </c>
      <c r="O1170" s="6">
        <f t="shared" si="111"/>
        <v>2.1499999999999773</v>
      </c>
      <c r="Q1170" s="6">
        <v>8.0500000000000114</v>
      </c>
      <c r="R1170" s="9">
        <f t="shared" si="112"/>
        <v>3018.7500000000041</v>
      </c>
      <c r="S1170" s="7">
        <f t="shared" si="113"/>
        <v>6000.0000000000418</v>
      </c>
    </row>
    <row r="1171" spans="1:19" x14ac:dyDescent="0.25">
      <c r="A1171" s="4">
        <f>Sheet1!A1171</f>
        <v>40780</v>
      </c>
      <c r="B1171" s="5">
        <f>Sheet1!B1171</f>
        <v>0.58333333333333337</v>
      </c>
      <c r="C1171" s="6">
        <f>Sheet1!C1171</f>
        <v>294.64999999999998</v>
      </c>
      <c r="D1171" s="6">
        <f>Sheet1!D1171</f>
        <v>299.39999999999998</v>
      </c>
      <c r="E1171" s="6">
        <f>Sheet1!E1171</f>
        <v>294.64999999999998</v>
      </c>
      <c r="F1171" s="6">
        <f>Sheet1!F1171</f>
        <v>297</v>
      </c>
      <c r="H1171" s="6">
        <f ca="1">IF(ROW($H1171)-1&lt;$I$1,$F1171,AVERAGE($F1171:OFFSET($F1171,(($I$1-1)*-1),0)))</f>
        <v>292.74166666666667</v>
      </c>
      <c r="J1171" s="6">
        <f ca="1">IF(ROW($J1171)-1&lt;$K$1,$F1171,AVERAGE($F1171:OFFSET($F1171,(($K$1-1)*-1),0)))</f>
        <v>272.46250000000003</v>
      </c>
      <c r="L1171" s="7">
        <f t="shared" ca="1" si="108"/>
        <v>1</v>
      </c>
      <c r="M1171" s="7" t="str">
        <f t="shared" ca="1" si="109"/>
        <v/>
      </c>
      <c r="N1171" s="6" t="str">
        <f t="shared" ca="1" si="110"/>
        <v/>
      </c>
      <c r="O1171" s="6">
        <f t="shared" si="111"/>
        <v>1.75</v>
      </c>
      <c r="Q1171" s="6">
        <v>9.8000000000000114</v>
      </c>
      <c r="R1171" s="9">
        <f t="shared" si="112"/>
        <v>3675.0000000000041</v>
      </c>
      <c r="S1171" s="7">
        <f t="shared" si="113"/>
        <v>6000.0000000000418</v>
      </c>
    </row>
    <row r="1172" spans="1:19" x14ac:dyDescent="0.25">
      <c r="A1172" s="4">
        <f>Sheet1!A1172</f>
        <v>40781</v>
      </c>
      <c r="B1172" s="5">
        <f>Sheet1!B1172</f>
        <v>0.58333333333333337</v>
      </c>
      <c r="C1172" s="6">
        <f>Sheet1!C1172</f>
        <v>297.25</v>
      </c>
      <c r="D1172" s="6">
        <f>Sheet1!D1172</f>
        <v>302</v>
      </c>
      <c r="E1172" s="6">
        <f>Sheet1!E1172</f>
        <v>296.75</v>
      </c>
      <c r="F1172" s="6">
        <f>Sheet1!F1172</f>
        <v>300.7</v>
      </c>
      <c r="H1172" s="6">
        <f ca="1">IF(ROW($H1172)-1&lt;$I$1,$F1172,AVERAGE($F1172:OFFSET($F1172,(($I$1-1)*-1),0)))</f>
        <v>294.54166666666669</v>
      </c>
      <c r="J1172" s="6">
        <f ca="1">IF(ROW($J1172)-1&lt;$K$1,$F1172,AVERAGE($F1172:OFFSET($F1172,(($K$1-1)*-1),0)))</f>
        <v>273.60000000000002</v>
      </c>
      <c r="L1172" s="7">
        <f t="shared" ca="1" si="108"/>
        <v>1</v>
      </c>
      <c r="M1172" s="7" t="str">
        <f t="shared" ca="1" si="109"/>
        <v/>
      </c>
      <c r="N1172" s="6" t="str">
        <f t="shared" ca="1" si="110"/>
        <v/>
      </c>
      <c r="O1172" s="6">
        <f t="shared" si="111"/>
        <v>3.6999999999999886</v>
      </c>
      <c r="Q1172" s="6">
        <v>13.5</v>
      </c>
      <c r="R1172" s="9">
        <f t="shared" si="112"/>
        <v>5062.5</v>
      </c>
      <c r="S1172" s="7">
        <f t="shared" si="113"/>
        <v>6000.0000000000418</v>
      </c>
    </row>
    <row r="1173" spans="1:19" x14ac:dyDescent="0.25">
      <c r="A1173" s="4">
        <f>Sheet1!A1173</f>
        <v>40784</v>
      </c>
      <c r="B1173" s="5">
        <f>Sheet1!B1173</f>
        <v>0.58333333333333337</v>
      </c>
      <c r="C1173" s="6">
        <f>Sheet1!C1173</f>
        <v>301.39999999999998</v>
      </c>
      <c r="D1173" s="6">
        <f>Sheet1!D1173</f>
        <v>306.25</v>
      </c>
      <c r="E1173" s="6">
        <f>Sheet1!E1173</f>
        <v>301.39999999999998</v>
      </c>
      <c r="F1173" s="6">
        <f>Sheet1!F1173</f>
        <v>305.95</v>
      </c>
      <c r="H1173" s="6">
        <f ca="1">IF(ROW($H1173)-1&lt;$I$1,$F1173,AVERAGE($F1173:OFFSET($F1173,(($I$1-1)*-1),0)))</f>
        <v>296.97500000000002</v>
      </c>
      <c r="J1173" s="6">
        <f ca="1">IF(ROW($J1173)-1&lt;$K$1,$F1173,AVERAGE($F1173:OFFSET($F1173,(($K$1-1)*-1),0)))</f>
        <v>274.94107142857143</v>
      </c>
      <c r="L1173" s="7">
        <f t="shared" ca="1" si="108"/>
        <v>1</v>
      </c>
      <c r="M1173" s="7" t="str">
        <f t="shared" ca="1" si="109"/>
        <v/>
      </c>
      <c r="N1173" s="6" t="str">
        <f t="shared" ca="1" si="110"/>
        <v/>
      </c>
      <c r="O1173" s="6">
        <f t="shared" si="111"/>
        <v>5.25</v>
      </c>
      <c r="Q1173" s="6">
        <v>18.75</v>
      </c>
      <c r="R1173" s="9">
        <f t="shared" si="112"/>
        <v>7031.25</v>
      </c>
      <c r="S1173" s="7">
        <f t="shared" si="113"/>
        <v>6000.0000000000418</v>
      </c>
    </row>
    <row r="1174" spans="1:19" x14ac:dyDescent="0.25">
      <c r="A1174" s="4">
        <f>Sheet1!A1174</f>
        <v>40785</v>
      </c>
      <c r="B1174" s="5">
        <f>Sheet1!B1174</f>
        <v>0.58333333333333337</v>
      </c>
      <c r="C1174" s="6">
        <f>Sheet1!C1174</f>
        <v>305.95</v>
      </c>
      <c r="D1174" s="6">
        <f>Sheet1!D1174</f>
        <v>308.5</v>
      </c>
      <c r="E1174" s="6">
        <f>Sheet1!E1174</f>
        <v>299.89999999999998</v>
      </c>
      <c r="F1174" s="6">
        <f>Sheet1!F1174</f>
        <v>308.2</v>
      </c>
      <c r="H1174" s="6">
        <f ca="1">IF(ROW($H1174)-1&lt;$I$1,$F1174,AVERAGE($F1174:OFFSET($F1174,(($I$1-1)*-1),0)))</f>
        <v>300.03333333333336</v>
      </c>
      <c r="J1174" s="6">
        <f ca="1">IF(ROW($J1174)-1&lt;$K$1,$F1174,AVERAGE($F1174:OFFSET($F1174,(($K$1-1)*-1),0)))</f>
        <v>276.45535714285717</v>
      </c>
      <c r="L1174" s="7">
        <f t="shared" ca="1" si="108"/>
        <v>1</v>
      </c>
      <c r="M1174" s="7" t="str">
        <f t="shared" ca="1" si="109"/>
        <v/>
      </c>
      <c r="N1174" s="6" t="str">
        <f t="shared" ca="1" si="110"/>
        <v/>
      </c>
      <c r="O1174" s="6">
        <f t="shared" si="111"/>
        <v>2.25</v>
      </c>
      <c r="Q1174" s="6">
        <v>21</v>
      </c>
      <c r="R1174" s="9">
        <f t="shared" si="112"/>
        <v>7875</v>
      </c>
      <c r="S1174" s="7">
        <f t="shared" si="113"/>
        <v>6000.0000000000418</v>
      </c>
    </row>
    <row r="1175" spans="1:19" x14ac:dyDescent="0.25">
      <c r="A1175" s="4">
        <f>Sheet1!A1175</f>
        <v>40786</v>
      </c>
      <c r="B1175" s="5">
        <f>Sheet1!B1175</f>
        <v>0.58333333333333337</v>
      </c>
      <c r="C1175" s="6">
        <f>Sheet1!C1175</f>
        <v>308.10000000000002</v>
      </c>
      <c r="D1175" s="6">
        <f>Sheet1!D1175</f>
        <v>310</v>
      </c>
      <c r="E1175" s="6">
        <f>Sheet1!E1175</f>
        <v>306.2</v>
      </c>
      <c r="F1175" s="6">
        <f>Sheet1!F1175</f>
        <v>309.75</v>
      </c>
      <c r="H1175" s="6">
        <f ca="1">IF(ROW($H1175)-1&lt;$I$1,$F1175,AVERAGE($F1175:OFFSET($F1175,(($I$1-1)*-1),0)))</f>
        <v>302.80833333333334</v>
      </c>
      <c r="J1175" s="6">
        <f ca="1">IF(ROW($J1175)-1&lt;$K$1,$F1175,AVERAGE($F1175:OFFSET($F1175,(($K$1-1)*-1),0)))</f>
        <v>278</v>
      </c>
      <c r="L1175" s="7">
        <f t="shared" ca="1" si="108"/>
        <v>1</v>
      </c>
      <c r="M1175" s="7" t="str">
        <f t="shared" ca="1" si="109"/>
        <v/>
      </c>
      <c r="N1175" s="6" t="str">
        <f t="shared" ca="1" si="110"/>
        <v/>
      </c>
      <c r="O1175" s="6">
        <f t="shared" si="111"/>
        <v>1.5500000000000114</v>
      </c>
      <c r="Q1175" s="6">
        <v>22.550000000000011</v>
      </c>
      <c r="R1175" s="9">
        <f t="shared" si="112"/>
        <v>8456.2500000000036</v>
      </c>
      <c r="S1175" s="7">
        <f t="shared" si="113"/>
        <v>6000.0000000000418</v>
      </c>
    </row>
    <row r="1176" spans="1:19" x14ac:dyDescent="0.25">
      <c r="A1176" s="4">
        <f>Sheet1!A1176</f>
        <v>40787</v>
      </c>
      <c r="B1176" s="5">
        <f>Sheet1!B1176</f>
        <v>0.58333333333333337</v>
      </c>
      <c r="C1176" s="6">
        <f>Sheet1!C1176</f>
        <v>308.64999999999998</v>
      </c>
      <c r="D1176" s="6">
        <f>Sheet1!D1176</f>
        <v>312.35000000000002</v>
      </c>
      <c r="E1176" s="6">
        <f>Sheet1!E1176</f>
        <v>304.10000000000002</v>
      </c>
      <c r="F1176" s="6">
        <f>Sheet1!F1176</f>
        <v>311.25</v>
      </c>
      <c r="H1176" s="6">
        <f ca="1">IF(ROW($H1176)-1&lt;$I$1,$F1176,AVERAGE($F1176:OFFSET($F1176,(($I$1-1)*-1),0)))</f>
        <v>305.47500000000002</v>
      </c>
      <c r="J1176" s="6">
        <f ca="1">IF(ROW($J1176)-1&lt;$K$1,$F1176,AVERAGE($F1176:OFFSET($F1176,(($K$1-1)*-1),0)))</f>
        <v>279.54821428571432</v>
      </c>
      <c r="L1176" s="7">
        <f t="shared" ca="1" si="108"/>
        <v>1</v>
      </c>
      <c r="M1176" s="7" t="str">
        <f t="shared" ca="1" si="109"/>
        <v/>
      </c>
      <c r="N1176" s="6" t="str">
        <f t="shared" ca="1" si="110"/>
        <v/>
      </c>
      <c r="O1176" s="6">
        <f t="shared" si="111"/>
        <v>1.5</v>
      </c>
      <c r="Q1176" s="6">
        <v>24.050000000000011</v>
      </c>
      <c r="R1176" s="9">
        <f t="shared" si="112"/>
        <v>9018.7500000000036</v>
      </c>
      <c r="S1176" s="7">
        <f t="shared" si="113"/>
        <v>6000.0000000000418</v>
      </c>
    </row>
    <row r="1177" spans="1:19" x14ac:dyDescent="0.25">
      <c r="A1177" s="4">
        <f>Sheet1!A1177</f>
        <v>40788</v>
      </c>
      <c r="B1177" s="5">
        <f>Sheet1!B1177</f>
        <v>0.58333333333333337</v>
      </c>
      <c r="C1177" s="6">
        <f>Sheet1!C1177</f>
        <v>310.5</v>
      </c>
      <c r="D1177" s="6">
        <f>Sheet1!D1177</f>
        <v>311.95</v>
      </c>
      <c r="E1177" s="6">
        <f>Sheet1!E1177</f>
        <v>306.2</v>
      </c>
      <c r="F1177" s="6">
        <f>Sheet1!F1177</f>
        <v>309.55</v>
      </c>
      <c r="H1177" s="6">
        <f ca="1">IF(ROW($H1177)-1&lt;$I$1,$F1177,AVERAGE($F1177:OFFSET($F1177,(($I$1-1)*-1),0)))</f>
        <v>307.56666666666666</v>
      </c>
      <c r="J1177" s="6">
        <f ca="1">IF(ROW($J1177)-1&lt;$K$1,$F1177,AVERAGE($F1177:OFFSET($F1177,(($K$1-1)*-1),0)))</f>
        <v>280.96249999999998</v>
      </c>
      <c r="L1177" s="7">
        <f t="shared" ca="1" si="108"/>
        <v>1</v>
      </c>
      <c r="M1177" s="7" t="str">
        <f t="shared" ca="1" si="109"/>
        <v/>
      </c>
      <c r="N1177" s="6" t="str">
        <f t="shared" ca="1" si="110"/>
        <v/>
      </c>
      <c r="O1177" s="6">
        <f t="shared" si="111"/>
        <v>-1.6999999999999886</v>
      </c>
      <c r="Q1177" s="6">
        <v>22.350000000000023</v>
      </c>
      <c r="R1177" s="9">
        <f t="shared" si="112"/>
        <v>8381.2500000000091</v>
      </c>
      <c r="S1177" s="7">
        <f t="shared" si="113"/>
        <v>6000.0000000000418</v>
      </c>
    </row>
    <row r="1178" spans="1:19" x14ac:dyDescent="0.25">
      <c r="A1178" s="4">
        <f>Sheet1!A1178</f>
        <v>40792</v>
      </c>
      <c r="B1178" s="5">
        <f>Sheet1!B1178</f>
        <v>0.58333333333333337</v>
      </c>
      <c r="C1178" s="6">
        <f>Sheet1!C1178</f>
        <v>304.8</v>
      </c>
      <c r="D1178" s="6">
        <f>Sheet1!D1178</f>
        <v>305</v>
      </c>
      <c r="E1178" s="6">
        <f>Sheet1!E1178</f>
        <v>298.10000000000002</v>
      </c>
      <c r="F1178" s="6">
        <f>Sheet1!F1178</f>
        <v>302.45</v>
      </c>
      <c r="H1178" s="6">
        <f ca="1">IF(ROW($H1178)-1&lt;$I$1,$F1178,AVERAGE($F1178:OFFSET($F1178,(($I$1-1)*-1),0)))</f>
        <v>307.85833333333335</v>
      </c>
      <c r="J1178" s="6">
        <f ca="1">IF(ROW($J1178)-1&lt;$K$1,$F1178,AVERAGE($F1178:OFFSET($F1178,(($K$1-1)*-1),0)))</f>
        <v>282.25714285714287</v>
      </c>
      <c r="L1178" s="7">
        <f t="shared" ca="1" si="108"/>
        <v>1</v>
      </c>
      <c r="M1178" s="7" t="str">
        <f t="shared" ca="1" si="109"/>
        <v/>
      </c>
      <c r="N1178" s="6" t="str">
        <f t="shared" ca="1" si="110"/>
        <v/>
      </c>
      <c r="O1178" s="6">
        <f t="shared" si="111"/>
        <v>-7.1000000000000227</v>
      </c>
      <c r="Q1178" s="6">
        <v>15.25</v>
      </c>
      <c r="R1178" s="9">
        <f t="shared" si="112"/>
        <v>5718.75</v>
      </c>
      <c r="S1178" s="7">
        <f t="shared" si="113"/>
        <v>6000.0000000000418</v>
      </c>
    </row>
    <row r="1179" spans="1:19" x14ac:dyDescent="0.25">
      <c r="A1179" s="4">
        <f>Sheet1!A1179</f>
        <v>40793</v>
      </c>
      <c r="B1179" s="5">
        <f>Sheet1!B1179</f>
        <v>0.58333333333333337</v>
      </c>
      <c r="C1179" s="6">
        <f>Sheet1!C1179</f>
        <v>303.39999999999998</v>
      </c>
      <c r="D1179" s="6">
        <f>Sheet1!D1179</f>
        <v>306.7</v>
      </c>
      <c r="E1179" s="6">
        <f>Sheet1!E1179</f>
        <v>301.8</v>
      </c>
      <c r="F1179" s="6">
        <f>Sheet1!F1179</f>
        <v>306</v>
      </c>
      <c r="H1179" s="6">
        <f ca="1">IF(ROW($H1179)-1&lt;$I$1,$F1179,AVERAGE($F1179:OFFSET($F1179,(($I$1-1)*-1),0)))</f>
        <v>307.86666666666667</v>
      </c>
      <c r="J1179" s="6">
        <f ca="1">IF(ROW($J1179)-1&lt;$K$1,$F1179,AVERAGE($F1179:OFFSET($F1179,(($K$1-1)*-1),0)))</f>
        <v>283.76964285714291</v>
      </c>
      <c r="L1179" s="7">
        <f t="shared" ca="1" si="108"/>
        <v>1</v>
      </c>
      <c r="M1179" s="7" t="str">
        <f t="shared" ca="1" si="109"/>
        <v/>
      </c>
      <c r="N1179" s="6" t="str">
        <f t="shared" ca="1" si="110"/>
        <v/>
      </c>
      <c r="O1179" s="6">
        <f t="shared" si="111"/>
        <v>3.5500000000000114</v>
      </c>
      <c r="Q1179" s="6">
        <v>18.800000000000011</v>
      </c>
      <c r="R1179" s="9">
        <f t="shared" si="112"/>
        <v>7050.0000000000045</v>
      </c>
      <c r="S1179" s="7">
        <f t="shared" si="113"/>
        <v>6000.0000000000418</v>
      </c>
    </row>
    <row r="1180" spans="1:19" x14ac:dyDescent="0.25">
      <c r="A1180" s="4">
        <f>Sheet1!A1180</f>
        <v>40794</v>
      </c>
      <c r="B1180" s="5">
        <f>Sheet1!B1180</f>
        <v>0.58333333333333337</v>
      </c>
      <c r="C1180" s="6">
        <f>Sheet1!C1180</f>
        <v>305.39999999999998</v>
      </c>
      <c r="D1180" s="6">
        <f>Sheet1!D1180</f>
        <v>306.25</v>
      </c>
      <c r="E1180" s="6">
        <f>Sheet1!E1180</f>
        <v>302.5</v>
      </c>
      <c r="F1180" s="6">
        <f>Sheet1!F1180</f>
        <v>305.60000000000002</v>
      </c>
      <c r="H1180" s="6">
        <f ca="1">IF(ROW($H1180)-1&lt;$I$1,$F1180,AVERAGE($F1180:OFFSET($F1180,(($I$1-1)*-1),0)))</f>
        <v>307.43333333333334</v>
      </c>
      <c r="J1180" s="6">
        <f ca="1">IF(ROW($J1180)-1&lt;$K$1,$F1180,AVERAGE($F1180:OFFSET($F1180,(($K$1-1)*-1),0)))</f>
        <v>285.23571428571432</v>
      </c>
      <c r="L1180" s="7">
        <f t="shared" ca="1" si="108"/>
        <v>1</v>
      </c>
      <c r="M1180" s="7" t="str">
        <f t="shared" ca="1" si="109"/>
        <v/>
      </c>
      <c r="N1180" s="6" t="str">
        <f t="shared" ca="1" si="110"/>
        <v/>
      </c>
      <c r="O1180" s="6">
        <f t="shared" si="111"/>
        <v>-0.39999999999997726</v>
      </c>
      <c r="Q1180" s="6">
        <v>18.400000000000034</v>
      </c>
      <c r="R1180" s="9">
        <f t="shared" si="112"/>
        <v>6900.0000000000127</v>
      </c>
      <c r="S1180" s="7">
        <f t="shared" si="113"/>
        <v>6000.0000000000418</v>
      </c>
    </row>
    <row r="1181" spans="1:19" x14ac:dyDescent="0.25">
      <c r="A1181" s="4">
        <f>Sheet1!A1181</f>
        <v>40795</v>
      </c>
      <c r="B1181" s="5">
        <f>Sheet1!B1181</f>
        <v>0.58333333333333337</v>
      </c>
      <c r="C1181" s="6">
        <f>Sheet1!C1181</f>
        <v>304.75</v>
      </c>
      <c r="D1181" s="6">
        <f>Sheet1!D1181</f>
        <v>305.10000000000002</v>
      </c>
      <c r="E1181" s="6">
        <f>Sheet1!E1181</f>
        <v>286.60000000000002</v>
      </c>
      <c r="F1181" s="6">
        <f>Sheet1!F1181</f>
        <v>291.5</v>
      </c>
      <c r="H1181" s="6">
        <f ca="1">IF(ROW($H1181)-1&lt;$I$1,$F1181,AVERAGE($F1181:OFFSET($F1181,(($I$1-1)*-1),0)))</f>
        <v>304.39166666666665</v>
      </c>
      <c r="J1181" s="6">
        <f ca="1">IF(ROW($J1181)-1&lt;$K$1,$F1181,AVERAGE($F1181:OFFSET($F1181,(($K$1-1)*-1),0)))</f>
        <v>286.13392857142856</v>
      </c>
      <c r="L1181" s="7">
        <f t="shared" ca="1" si="108"/>
        <v>1</v>
      </c>
      <c r="M1181" s="7" t="str">
        <f t="shared" ca="1" si="109"/>
        <v/>
      </c>
      <c r="N1181" s="6" t="str">
        <f t="shared" ca="1" si="110"/>
        <v/>
      </c>
      <c r="O1181" s="6">
        <f t="shared" si="111"/>
        <v>-14.100000000000023</v>
      </c>
      <c r="Q1181" s="6">
        <v>4.3000000000000114</v>
      </c>
      <c r="R1181" s="9">
        <f t="shared" si="112"/>
        <v>1612.5000000000043</v>
      </c>
      <c r="S1181" s="7">
        <f t="shared" si="113"/>
        <v>6000.0000000000418</v>
      </c>
    </row>
    <row r="1182" spans="1:19" x14ac:dyDescent="0.25">
      <c r="A1182" s="4">
        <f>Sheet1!A1182</f>
        <v>40798</v>
      </c>
      <c r="B1182" s="5">
        <f>Sheet1!B1182</f>
        <v>0.58333333333333337</v>
      </c>
      <c r="C1182" s="6">
        <f>Sheet1!C1182</f>
        <v>291.5</v>
      </c>
      <c r="D1182" s="6">
        <f>Sheet1!D1182</f>
        <v>296.25</v>
      </c>
      <c r="E1182" s="6">
        <f>Sheet1!E1182</f>
        <v>289.64999999999998</v>
      </c>
      <c r="F1182" s="6">
        <f>Sheet1!F1182</f>
        <v>292.45</v>
      </c>
      <c r="H1182" s="6">
        <f ca="1">IF(ROW($H1182)-1&lt;$I$1,$F1182,AVERAGE($F1182:OFFSET($F1182,(($I$1-1)*-1),0)))</f>
        <v>301.25833333333333</v>
      </c>
      <c r="J1182" s="6">
        <f ca="1">IF(ROW($J1182)-1&lt;$K$1,$F1182,AVERAGE($F1182:OFFSET($F1182,(($K$1-1)*-1),0)))</f>
        <v>287</v>
      </c>
      <c r="L1182" s="7">
        <f t="shared" ca="1" si="108"/>
        <v>1</v>
      </c>
      <c r="M1182" s="7" t="str">
        <f t="shared" ca="1" si="109"/>
        <v/>
      </c>
      <c r="N1182" s="6" t="str">
        <f t="shared" ca="1" si="110"/>
        <v/>
      </c>
      <c r="O1182" s="6">
        <f t="shared" si="111"/>
        <v>0.94999999999998863</v>
      </c>
      <c r="Q1182" s="6">
        <v>5.25</v>
      </c>
      <c r="R1182" s="9">
        <f t="shared" si="112"/>
        <v>1968.75</v>
      </c>
      <c r="S1182" s="7">
        <f t="shared" si="113"/>
        <v>6000.0000000000418</v>
      </c>
    </row>
    <row r="1183" spans="1:19" x14ac:dyDescent="0.25">
      <c r="A1183" s="4">
        <f>Sheet1!A1183</f>
        <v>40799</v>
      </c>
      <c r="B1183" s="5">
        <f>Sheet1!B1183</f>
        <v>0.58333333333333337</v>
      </c>
      <c r="C1183" s="6">
        <f>Sheet1!C1183</f>
        <v>292.45</v>
      </c>
      <c r="D1183" s="6">
        <f>Sheet1!D1183</f>
        <v>295.5</v>
      </c>
      <c r="E1183" s="6">
        <f>Sheet1!E1183</f>
        <v>289.5</v>
      </c>
      <c r="F1183" s="6">
        <f>Sheet1!F1183</f>
        <v>291.8</v>
      </c>
      <c r="H1183" s="6">
        <f ca="1">IF(ROW($H1183)-1&lt;$I$1,$F1183,AVERAGE($F1183:OFFSET($F1183,(($I$1-1)*-1),0)))</f>
        <v>298.3</v>
      </c>
      <c r="J1183" s="6">
        <f ca="1">IF(ROW($J1183)-1&lt;$K$1,$F1183,AVERAGE($F1183:OFFSET($F1183,(($K$1-1)*-1),0)))</f>
        <v>287.88928571428573</v>
      </c>
      <c r="L1183" s="7">
        <f t="shared" ca="1" si="108"/>
        <v>1</v>
      </c>
      <c r="M1183" s="7" t="str">
        <f t="shared" ca="1" si="109"/>
        <v/>
      </c>
      <c r="N1183" s="6" t="str">
        <f t="shared" ca="1" si="110"/>
        <v/>
      </c>
      <c r="O1183" s="6">
        <f t="shared" si="111"/>
        <v>-0.64999999999997726</v>
      </c>
      <c r="Q1183" s="6">
        <v>4.6000000000000227</v>
      </c>
      <c r="R1183" s="9">
        <f t="shared" si="112"/>
        <v>1725.0000000000086</v>
      </c>
      <c r="S1183" s="7">
        <f t="shared" si="113"/>
        <v>6000.0000000000418</v>
      </c>
    </row>
    <row r="1184" spans="1:19" x14ac:dyDescent="0.25">
      <c r="A1184" s="4">
        <f>Sheet1!A1184</f>
        <v>40800</v>
      </c>
      <c r="B1184" s="5">
        <f>Sheet1!B1184</f>
        <v>0.58333333333333337</v>
      </c>
      <c r="C1184" s="6">
        <f>Sheet1!C1184</f>
        <v>290.5</v>
      </c>
      <c r="D1184" s="6">
        <f>Sheet1!D1184</f>
        <v>292.60000000000002</v>
      </c>
      <c r="E1184" s="6">
        <f>Sheet1!E1184</f>
        <v>285.60000000000002</v>
      </c>
      <c r="F1184" s="6">
        <f>Sheet1!F1184</f>
        <v>287.2</v>
      </c>
      <c r="H1184" s="6">
        <f ca="1">IF(ROW($H1184)-1&lt;$I$1,$F1184,AVERAGE($F1184:OFFSET($F1184,(($I$1-1)*-1),0)))</f>
        <v>295.75833333333333</v>
      </c>
      <c r="J1184" s="6">
        <f ca="1">IF(ROW($J1184)-1&lt;$K$1,$F1184,AVERAGE($F1184:OFFSET($F1184,(($K$1-1)*-1),0)))</f>
        <v>288.83035714285717</v>
      </c>
      <c r="L1184" s="7">
        <f t="shared" ca="1" si="108"/>
        <v>1</v>
      </c>
      <c r="M1184" s="7" t="str">
        <f t="shared" ca="1" si="109"/>
        <v/>
      </c>
      <c r="N1184" s="6" t="str">
        <f t="shared" ca="1" si="110"/>
        <v/>
      </c>
      <c r="O1184" s="6">
        <f t="shared" si="111"/>
        <v>-4.6000000000000227</v>
      </c>
      <c r="Q1184" s="6">
        <v>0</v>
      </c>
      <c r="R1184" s="9">
        <f t="shared" si="112"/>
        <v>0</v>
      </c>
      <c r="S1184" s="7">
        <f t="shared" si="113"/>
        <v>6000.0000000000418</v>
      </c>
    </row>
    <row r="1185" spans="1:19" x14ac:dyDescent="0.25">
      <c r="A1185" s="4">
        <f>Sheet1!A1185</f>
        <v>40801</v>
      </c>
      <c r="B1185" s="5">
        <f>Sheet1!B1185</f>
        <v>0.58333333333333337</v>
      </c>
      <c r="C1185" s="6">
        <f>Sheet1!C1185</f>
        <v>286.8</v>
      </c>
      <c r="D1185" s="6">
        <f>Sheet1!D1185</f>
        <v>291.14999999999998</v>
      </c>
      <c r="E1185" s="6">
        <f>Sheet1!E1185</f>
        <v>281.7</v>
      </c>
      <c r="F1185" s="6">
        <f>Sheet1!F1185</f>
        <v>282.05</v>
      </c>
      <c r="H1185" s="6">
        <f ca="1">IF(ROW($H1185)-1&lt;$I$1,$F1185,AVERAGE($F1185:OFFSET($F1185,(($I$1-1)*-1),0)))</f>
        <v>291.76666666666665</v>
      </c>
      <c r="J1185" s="6">
        <f ca="1">IF(ROW($J1185)-1&lt;$K$1,$F1185,AVERAGE($F1185:OFFSET($F1185,(($K$1-1)*-1),0)))</f>
        <v>289.5107142857143</v>
      </c>
      <c r="L1185" s="7">
        <f t="shared" ca="1" si="108"/>
        <v>1</v>
      </c>
      <c r="M1185" s="7" t="str">
        <f t="shared" ca="1" si="109"/>
        <v/>
      </c>
      <c r="N1185" s="6" t="str">
        <f t="shared" ca="1" si="110"/>
        <v/>
      </c>
      <c r="O1185" s="6">
        <f t="shared" si="111"/>
        <v>-5.1499999999999773</v>
      </c>
      <c r="Q1185" s="6">
        <v>-5.1499999999999773</v>
      </c>
      <c r="R1185" s="9">
        <f t="shared" si="112"/>
        <v>-1931.2499999999914</v>
      </c>
      <c r="S1185" s="7">
        <f t="shared" si="113"/>
        <v>6000.0000000000418</v>
      </c>
    </row>
    <row r="1186" spans="1:19" x14ac:dyDescent="0.25">
      <c r="A1186" s="4">
        <f>Sheet1!A1186</f>
        <v>40802</v>
      </c>
      <c r="B1186" s="5">
        <f>Sheet1!B1186</f>
        <v>0.58333333333333337</v>
      </c>
      <c r="C1186" s="6">
        <f>Sheet1!C1186</f>
        <v>281.89999999999998</v>
      </c>
      <c r="D1186" s="6">
        <f>Sheet1!D1186</f>
        <v>286.25</v>
      </c>
      <c r="E1186" s="6">
        <f>Sheet1!E1186</f>
        <v>276.60000000000002</v>
      </c>
      <c r="F1186" s="6">
        <f>Sheet1!F1186</f>
        <v>281.89999999999998</v>
      </c>
      <c r="H1186" s="6">
        <f ca="1">IF(ROW($H1186)-1&lt;$I$1,$F1186,AVERAGE($F1186:OFFSET($F1186,(($I$1-1)*-1),0)))</f>
        <v>287.81666666666666</v>
      </c>
      <c r="J1186" s="6">
        <f ca="1">IF(ROW($J1186)-1&lt;$K$1,$F1186,AVERAGE($F1186:OFFSET($F1186,(($K$1-1)*-1),0)))</f>
        <v>290.32142857142856</v>
      </c>
      <c r="L1186" s="7">
        <f t="shared" ca="1" si="108"/>
        <v>-1</v>
      </c>
      <c r="M1186" s="7">
        <f t="shared" ca="1" si="109"/>
        <v>-1</v>
      </c>
      <c r="N1186" s="6" t="str">
        <f t="shared" ca="1" si="110"/>
        <v/>
      </c>
      <c r="O1186" s="6">
        <f t="shared" si="111"/>
        <v>-0.15000000000003411</v>
      </c>
      <c r="Q1186" s="6">
        <v>-5.3000000000000114</v>
      </c>
      <c r="R1186" s="9">
        <f t="shared" si="112"/>
        <v>-1987.5000000000043</v>
      </c>
      <c r="S1186" s="7">
        <f t="shared" si="113"/>
        <v>6000.0000000000418</v>
      </c>
    </row>
    <row r="1187" spans="1:19" x14ac:dyDescent="0.25">
      <c r="A1187" s="4">
        <f>Sheet1!A1187</f>
        <v>40805</v>
      </c>
      <c r="B1187" s="5">
        <f>Sheet1!B1187</f>
        <v>0.58333333333333337</v>
      </c>
      <c r="C1187" s="6">
        <f>Sheet1!C1187</f>
        <v>281.64999999999998</v>
      </c>
      <c r="D1187" s="6">
        <f>Sheet1!D1187</f>
        <v>285.85000000000002</v>
      </c>
      <c r="E1187" s="6">
        <f>Sheet1!E1187</f>
        <v>276.95</v>
      </c>
      <c r="F1187" s="6">
        <f>Sheet1!F1187</f>
        <v>283.55</v>
      </c>
      <c r="H1187" s="6">
        <f ca="1">IF(ROW($H1187)-1&lt;$I$1,$F1187,AVERAGE($F1187:OFFSET($F1187,(($I$1-1)*-1),0)))</f>
        <v>286.49166666666667</v>
      </c>
      <c r="J1187" s="6">
        <f ca="1">IF(ROW($J1187)-1&lt;$K$1,$F1187,AVERAGE($F1187:OFFSET($F1187,(($K$1-1)*-1),0)))</f>
        <v>291.17142857142852</v>
      </c>
      <c r="L1187" s="7">
        <f t="shared" ca="1" si="108"/>
        <v>-1</v>
      </c>
      <c r="M1187" s="7" t="str">
        <f t="shared" ca="1" si="109"/>
        <v/>
      </c>
      <c r="N1187" s="6">
        <f t="shared" ca="1" si="110"/>
        <v>281.64999999999998</v>
      </c>
      <c r="O1187" s="6">
        <f t="shared" si="111"/>
        <v>1.6500000000000341</v>
      </c>
      <c r="P1187" s="6">
        <v>-5.5500000000000114</v>
      </c>
      <c r="Q1187" s="6">
        <v>-1.9000000000000341</v>
      </c>
      <c r="R1187" s="9">
        <f t="shared" si="112"/>
        <v>-712.50000000001273</v>
      </c>
      <c r="S1187" s="7">
        <f t="shared" si="113"/>
        <v>3918.7500000000377</v>
      </c>
    </row>
    <row r="1188" spans="1:19" x14ac:dyDescent="0.25">
      <c r="A1188" s="4">
        <f>Sheet1!A1188</f>
        <v>40806</v>
      </c>
      <c r="B1188" s="5">
        <f>Sheet1!B1188</f>
        <v>0.58333333333333337</v>
      </c>
      <c r="C1188" s="6">
        <f>Sheet1!C1188</f>
        <v>284</v>
      </c>
      <c r="D1188" s="6">
        <f>Sheet1!D1188</f>
        <v>287.5</v>
      </c>
      <c r="E1188" s="6">
        <f>Sheet1!E1188</f>
        <v>281</v>
      </c>
      <c r="F1188" s="6">
        <f>Sheet1!F1188</f>
        <v>281.7</v>
      </c>
      <c r="H1188" s="6">
        <f ca="1">IF(ROW($H1188)-1&lt;$I$1,$F1188,AVERAGE($F1188:OFFSET($F1188,(($I$1-1)*-1),0)))</f>
        <v>284.7</v>
      </c>
      <c r="J1188" s="6">
        <f ca="1">IF(ROW($J1188)-1&lt;$K$1,$F1188,AVERAGE($F1188:OFFSET($F1188,(($K$1-1)*-1),0)))</f>
        <v>291.95178571428568</v>
      </c>
      <c r="L1188" s="7">
        <f t="shared" ca="1" si="108"/>
        <v>-1</v>
      </c>
      <c r="M1188" s="7" t="str">
        <f t="shared" ca="1" si="109"/>
        <v/>
      </c>
      <c r="N1188" s="6" t="str">
        <f t="shared" ca="1" si="110"/>
        <v/>
      </c>
      <c r="O1188" s="6">
        <f t="shared" si="111"/>
        <v>-1.8500000000000227</v>
      </c>
      <c r="Q1188" s="6">
        <v>-5.0000000000011369E-2</v>
      </c>
      <c r="R1188" s="9">
        <f t="shared" si="112"/>
        <v>-18.750000000004263</v>
      </c>
      <c r="S1188" s="7">
        <f t="shared" si="113"/>
        <v>3918.7500000000377</v>
      </c>
    </row>
    <row r="1189" spans="1:19" x14ac:dyDescent="0.25">
      <c r="A1189" s="4">
        <f>Sheet1!A1189</f>
        <v>40807</v>
      </c>
      <c r="B1189" s="5">
        <f>Sheet1!B1189</f>
        <v>0.58333333333333337</v>
      </c>
      <c r="C1189" s="6">
        <f>Sheet1!C1189</f>
        <v>281.89999999999998</v>
      </c>
      <c r="D1189" s="6">
        <f>Sheet1!D1189</f>
        <v>281.89999999999998</v>
      </c>
      <c r="E1189" s="6">
        <f>Sheet1!E1189</f>
        <v>272.85000000000002</v>
      </c>
      <c r="F1189" s="6">
        <f>Sheet1!F1189</f>
        <v>273.45</v>
      </c>
      <c r="H1189" s="6">
        <f ca="1">IF(ROW($H1189)-1&lt;$I$1,$F1189,AVERAGE($F1189:OFFSET($F1189,(($I$1-1)*-1),0)))</f>
        <v>281.64166666666671</v>
      </c>
      <c r="J1189" s="6">
        <f ca="1">IF(ROW($J1189)-1&lt;$K$1,$F1189,AVERAGE($F1189:OFFSET($F1189,(($K$1-1)*-1),0)))</f>
        <v>292.23392857142852</v>
      </c>
      <c r="L1189" s="7">
        <f t="shared" ca="1" si="108"/>
        <v>-1</v>
      </c>
      <c r="M1189" s="7" t="str">
        <f t="shared" ca="1" si="109"/>
        <v/>
      </c>
      <c r="N1189" s="6" t="str">
        <f t="shared" ca="1" si="110"/>
        <v/>
      </c>
      <c r="O1189" s="6">
        <f t="shared" si="111"/>
        <v>-8.25</v>
      </c>
      <c r="Q1189" s="6">
        <v>8.1999999999999886</v>
      </c>
      <c r="R1189" s="9">
        <f t="shared" si="112"/>
        <v>3074.9999999999959</v>
      </c>
      <c r="S1189" s="7">
        <f t="shared" si="113"/>
        <v>3918.7500000000377</v>
      </c>
    </row>
    <row r="1190" spans="1:19" x14ac:dyDescent="0.25">
      <c r="A1190" s="4">
        <f>Sheet1!A1190</f>
        <v>40808</v>
      </c>
      <c r="B1190" s="5">
        <f>Sheet1!B1190</f>
        <v>0.58333333333333337</v>
      </c>
      <c r="C1190" s="6">
        <f>Sheet1!C1190</f>
        <v>272.5</v>
      </c>
      <c r="D1190" s="6">
        <f>Sheet1!D1190</f>
        <v>272.5</v>
      </c>
      <c r="E1190" s="6">
        <f>Sheet1!E1190</f>
        <v>257.14999999999998</v>
      </c>
      <c r="F1190" s="6">
        <f>Sheet1!F1190</f>
        <v>260.75</v>
      </c>
      <c r="H1190" s="6">
        <f ca="1">IF(ROW($H1190)-1&lt;$I$1,$F1190,AVERAGE($F1190:OFFSET($F1190,(($I$1-1)*-1),0)))</f>
        <v>277.23333333333335</v>
      </c>
      <c r="J1190" s="6">
        <f ca="1">IF(ROW($J1190)-1&lt;$K$1,$F1190,AVERAGE($F1190:OFFSET($F1190,(($K$1-1)*-1),0)))</f>
        <v>292.06964285714281</v>
      </c>
      <c r="L1190" s="7">
        <f t="shared" ca="1" si="108"/>
        <v>-1</v>
      </c>
      <c r="M1190" s="7" t="str">
        <f t="shared" ca="1" si="109"/>
        <v/>
      </c>
      <c r="N1190" s="6" t="str">
        <f t="shared" ca="1" si="110"/>
        <v/>
      </c>
      <c r="O1190" s="6">
        <f t="shared" si="111"/>
        <v>-12.699999999999989</v>
      </c>
      <c r="Q1190" s="6">
        <v>20.899999999999977</v>
      </c>
      <c r="R1190" s="9">
        <f t="shared" si="112"/>
        <v>7837.4999999999918</v>
      </c>
      <c r="S1190" s="7">
        <f t="shared" si="113"/>
        <v>3918.7500000000377</v>
      </c>
    </row>
    <row r="1191" spans="1:19" x14ac:dyDescent="0.25">
      <c r="A1191" s="4">
        <f>Sheet1!A1191</f>
        <v>40809</v>
      </c>
      <c r="B1191" s="5">
        <f>Sheet1!B1191</f>
        <v>0.58333333333333337</v>
      </c>
      <c r="C1191" s="6">
        <f>Sheet1!C1191</f>
        <v>261.39999999999998</v>
      </c>
      <c r="D1191" s="6">
        <f>Sheet1!D1191</f>
        <v>263.45</v>
      </c>
      <c r="E1191" s="6">
        <f>Sheet1!E1191</f>
        <v>252.3</v>
      </c>
      <c r="F1191" s="6">
        <f>Sheet1!F1191</f>
        <v>252.95</v>
      </c>
      <c r="H1191" s="6">
        <f ca="1">IF(ROW($H1191)-1&lt;$I$1,$F1191,AVERAGE($F1191:OFFSET($F1191,(($I$1-1)*-1),0)))</f>
        <v>272.38333333333338</v>
      </c>
      <c r="J1191" s="6">
        <f ca="1">IF(ROW($J1191)-1&lt;$K$1,$F1191,AVERAGE($F1191:OFFSET($F1191,(($K$1-1)*-1),0)))</f>
        <v>291.42857142857139</v>
      </c>
      <c r="L1191" s="7">
        <f t="shared" ca="1" si="108"/>
        <v>-1</v>
      </c>
      <c r="M1191" s="7" t="str">
        <f t="shared" ca="1" si="109"/>
        <v/>
      </c>
      <c r="N1191" s="6" t="str">
        <f t="shared" ca="1" si="110"/>
        <v/>
      </c>
      <c r="O1191" s="6">
        <f t="shared" si="111"/>
        <v>-7.8000000000000114</v>
      </c>
      <c r="Q1191" s="6">
        <v>28.699999999999989</v>
      </c>
      <c r="R1191" s="9">
        <f t="shared" si="112"/>
        <v>10762.499999999996</v>
      </c>
      <c r="S1191" s="7">
        <f t="shared" si="113"/>
        <v>3918.7500000000377</v>
      </c>
    </row>
    <row r="1192" spans="1:19" x14ac:dyDescent="0.25">
      <c r="A1192" s="4">
        <f>Sheet1!A1192</f>
        <v>40812</v>
      </c>
      <c r="B1192" s="5">
        <f>Sheet1!B1192</f>
        <v>0.58333333333333337</v>
      </c>
      <c r="C1192" s="6">
        <f>Sheet1!C1192</f>
        <v>254.5</v>
      </c>
      <c r="D1192" s="6">
        <f>Sheet1!D1192</f>
        <v>262</v>
      </c>
      <c r="E1192" s="6">
        <f>Sheet1!E1192</f>
        <v>253.5</v>
      </c>
      <c r="F1192" s="6">
        <f>Sheet1!F1192</f>
        <v>257.45</v>
      </c>
      <c r="H1192" s="6">
        <f ca="1">IF(ROW($H1192)-1&lt;$I$1,$F1192,AVERAGE($F1192:OFFSET($F1192,(($I$1-1)*-1),0)))</f>
        <v>268.30833333333334</v>
      </c>
      <c r="J1192" s="6">
        <f ca="1">IF(ROW($J1192)-1&lt;$K$1,$F1192,AVERAGE($F1192:OFFSET($F1192,(($K$1-1)*-1),0)))</f>
        <v>290.74821428571425</v>
      </c>
      <c r="L1192" s="7">
        <f t="shared" ca="1" si="108"/>
        <v>-1</v>
      </c>
      <c r="M1192" s="7" t="str">
        <f t="shared" ca="1" si="109"/>
        <v/>
      </c>
      <c r="N1192" s="6" t="str">
        <f t="shared" ca="1" si="110"/>
        <v/>
      </c>
      <c r="O1192" s="6">
        <f t="shared" si="111"/>
        <v>4.5</v>
      </c>
      <c r="Q1192" s="6">
        <v>24.199999999999989</v>
      </c>
      <c r="R1192" s="9">
        <f t="shared" si="112"/>
        <v>9074.9999999999964</v>
      </c>
      <c r="S1192" s="7">
        <f t="shared" si="113"/>
        <v>3918.7500000000377</v>
      </c>
    </row>
    <row r="1193" spans="1:19" x14ac:dyDescent="0.25">
      <c r="A1193" s="4">
        <f>Sheet1!A1193</f>
        <v>40813</v>
      </c>
      <c r="B1193" s="5">
        <f>Sheet1!B1193</f>
        <v>0.58333333333333337</v>
      </c>
      <c r="C1193" s="6">
        <f>Sheet1!C1193</f>
        <v>259.89999999999998</v>
      </c>
      <c r="D1193" s="6">
        <f>Sheet1!D1193</f>
        <v>268.05</v>
      </c>
      <c r="E1193" s="6">
        <f>Sheet1!E1193</f>
        <v>258.85000000000002</v>
      </c>
      <c r="F1193" s="6">
        <f>Sheet1!F1193</f>
        <v>262.35000000000002</v>
      </c>
      <c r="H1193" s="6">
        <f ca="1">IF(ROW($H1193)-1&lt;$I$1,$F1193,AVERAGE($F1193:OFFSET($F1193,(($I$1-1)*-1),0)))</f>
        <v>264.77500000000003</v>
      </c>
      <c r="J1193" s="6">
        <f ca="1">IF(ROW($J1193)-1&lt;$K$1,$F1193,AVERAGE($F1193:OFFSET($F1193,(($K$1-1)*-1),0)))</f>
        <v>289.82142857142856</v>
      </c>
      <c r="L1193" s="7">
        <f t="shared" ca="1" si="108"/>
        <v>-1</v>
      </c>
      <c r="M1193" s="7" t="str">
        <f t="shared" ca="1" si="109"/>
        <v/>
      </c>
      <c r="N1193" s="6" t="str">
        <f t="shared" ca="1" si="110"/>
        <v/>
      </c>
      <c r="O1193" s="6">
        <f t="shared" si="111"/>
        <v>4.9000000000000341</v>
      </c>
      <c r="Q1193" s="6">
        <v>19.299999999999955</v>
      </c>
      <c r="R1193" s="9">
        <f t="shared" si="112"/>
        <v>7237.4999999999827</v>
      </c>
      <c r="S1193" s="7">
        <f t="shared" si="113"/>
        <v>3918.7500000000377</v>
      </c>
    </row>
    <row r="1194" spans="1:19" x14ac:dyDescent="0.25">
      <c r="A1194" s="4">
        <f>Sheet1!A1194</f>
        <v>40814</v>
      </c>
      <c r="B1194" s="5">
        <f>Sheet1!B1194</f>
        <v>0.58333333333333337</v>
      </c>
      <c r="C1194" s="6">
        <f>Sheet1!C1194</f>
        <v>262.55</v>
      </c>
      <c r="D1194" s="6">
        <f>Sheet1!D1194</f>
        <v>265.7</v>
      </c>
      <c r="E1194" s="6">
        <f>Sheet1!E1194</f>
        <v>254.35</v>
      </c>
      <c r="F1194" s="6">
        <f>Sheet1!F1194</f>
        <v>255</v>
      </c>
      <c r="H1194" s="6">
        <f ca="1">IF(ROW($H1194)-1&lt;$I$1,$F1194,AVERAGE($F1194:OFFSET($F1194,(($I$1-1)*-1),0)))</f>
        <v>260.32500000000005</v>
      </c>
      <c r="J1194" s="6">
        <f ca="1">IF(ROW($J1194)-1&lt;$K$1,$F1194,AVERAGE($F1194:OFFSET($F1194,(($K$1-1)*-1),0)))</f>
        <v>288.57499999999999</v>
      </c>
      <c r="L1194" s="7">
        <f t="shared" ca="1" si="108"/>
        <v>-1</v>
      </c>
      <c r="M1194" s="7" t="str">
        <f t="shared" ca="1" si="109"/>
        <v/>
      </c>
      <c r="N1194" s="6" t="str">
        <f t="shared" ca="1" si="110"/>
        <v/>
      </c>
      <c r="O1194" s="6">
        <f t="shared" si="111"/>
        <v>-7.3500000000000227</v>
      </c>
      <c r="Q1194" s="6">
        <v>26.649999999999977</v>
      </c>
      <c r="R1194" s="9">
        <f t="shared" si="112"/>
        <v>9993.7499999999909</v>
      </c>
      <c r="S1194" s="7">
        <f t="shared" si="113"/>
        <v>3918.7500000000377</v>
      </c>
    </row>
    <row r="1195" spans="1:19" x14ac:dyDescent="0.25">
      <c r="A1195" s="4">
        <f>Sheet1!A1195</f>
        <v>40815</v>
      </c>
      <c r="B1195" s="5">
        <f>Sheet1!B1195</f>
        <v>0.58333333333333337</v>
      </c>
      <c r="C1195" s="6">
        <f>Sheet1!C1195</f>
        <v>254.9</v>
      </c>
      <c r="D1195" s="6">
        <f>Sheet1!D1195</f>
        <v>257</v>
      </c>
      <c r="E1195" s="6">
        <f>Sheet1!E1195</f>
        <v>251.65</v>
      </c>
      <c r="F1195" s="6">
        <f>Sheet1!F1195</f>
        <v>252.65</v>
      </c>
      <c r="H1195" s="6">
        <f ca="1">IF(ROW($H1195)-1&lt;$I$1,$F1195,AVERAGE($F1195:OFFSET($F1195,(($I$1-1)*-1),0)))</f>
        <v>256.85833333333335</v>
      </c>
      <c r="J1195" s="6">
        <f ca="1">IF(ROW($J1195)-1&lt;$K$1,$F1195,AVERAGE($F1195:OFFSET($F1195,(($K$1-1)*-1),0)))</f>
        <v>287.19285714285712</v>
      </c>
      <c r="L1195" s="7">
        <f t="shared" ca="1" si="108"/>
        <v>-1</v>
      </c>
      <c r="M1195" s="7" t="str">
        <f t="shared" ca="1" si="109"/>
        <v/>
      </c>
      <c r="N1195" s="6" t="str">
        <f t="shared" ca="1" si="110"/>
        <v/>
      </c>
      <c r="O1195" s="6">
        <f t="shared" si="111"/>
        <v>-2.3499999999999943</v>
      </c>
      <c r="Q1195" s="6">
        <v>28.999999999999972</v>
      </c>
      <c r="R1195" s="9">
        <f t="shared" si="112"/>
        <v>10874.999999999989</v>
      </c>
      <c r="S1195" s="7">
        <f t="shared" si="113"/>
        <v>3918.7500000000377</v>
      </c>
    </row>
    <row r="1196" spans="1:19" x14ac:dyDescent="0.25">
      <c r="A1196" s="4">
        <f>Sheet1!A1196</f>
        <v>40816</v>
      </c>
      <c r="B1196" s="5">
        <f>Sheet1!B1196</f>
        <v>0.58333333333333337</v>
      </c>
      <c r="C1196" s="6">
        <f>Sheet1!C1196</f>
        <v>252.35</v>
      </c>
      <c r="D1196" s="6">
        <f>Sheet1!D1196</f>
        <v>255.1</v>
      </c>
      <c r="E1196" s="6">
        <f>Sheet1!E1196</f>
        <v>250</v>
      </c>
      <c r="F1196" s="6">
        <f>Sheet1!F1196</f>
        <v>250.4</v>
      </c>
      <c r="H1196" s="6">
        <f ca="1">IF(ROW($H1196)-1&lt;$I$1,$F1196,AVERAGE($F1196:OFFSET($F1196,(($I$1-1)*-1),0)))</f>
        <v>255.13333333333335</v>
      </c>
      <c r="J1196" s="6">
        <f ca="1">IF(ROW($J1196)-1&lt;$K$1,$F1196,AVERAGE($F1196:OFFSET($F1196,(($K$1-1)*-1),0)))</f>
        <v>285.78392857142853</v>
      </c>
      <c r="L1196" s="7">
        <f t="shared" ca="1" si="108"/>
        <v>-1</v>
      </c>
      <c r="M1196" s="7" t="str">
        <f t="shared" ca="1" si="109"/>
        <v/>
      </c>
      <c r="N1196" s="6" t="str">
        <f t="shared" ca="1" si="110"/>
        <v/>
      </c>
      <c r="O1196" s="6">
        <f t="shared" si="111"/>
        <v>-2.25</v>
      </c>
      <c r="Q1196" s="6">
        <v>31.249999999999972</v>
      </c>
      <c r="R1196" s="9">
        <f t="shared" si="112"/>
        <v>11718.749999999989</v>
      </c>
      <c r="S1196" s="7">
        <f t="shared" si="113"/>
        <v>3918.7500000000377</v>
      </c>
    </row>
    <row r="1197" spans="1:19" x14ac:dyDescent="0.25">
      <c r="A1197" s="4">
        <f>Sheet1!A1197</f>
        <v>40819</v>
      </c>
      <c r="B1197" s="5">
        <f>Sheet1!B1197</f>
        <v>0.58333333333333337</v>
      </c>
      <c r="C1197" s="6">
        <f>Sheet1!C1197</f>
        <v>250</v>
      </c>
      <c r="D1197" s="6">
        <f>Sheet1!D1197</f>
        <v>250.1</v>
      </c>
      <c r="E1197" s="6">
        <f>Sheet1!E1197</f>
        <v>241.3</v>
      </c>
      <c r="F1197" s="6">
        <f>Sheet1!F1197</f>
        <v>244.95</v>
      </c>
      <c r="H1197" s="6">
        <f ca="1">IF(ROW($H1197)-1&lt;$I$1,$F1197,AVERAGE($F1197:OFFSET($F1197,(($I$1-1)*-1),0)))</f>
        <v>253.80000000000004</v>
      </c>
      <c r="J1197" s="6">
        <f ca="1">IF(ROW($J1197)-1&lt;$K$1,$F1197,AVERAGE($F1197:OFFSET($F1197,(($K$1-1)*-1),0)))</f>
        <v>284.06428571428563</v>
      </c>
      <c r="L1197" s="7">
        <f t="shared" ca="1" si="108"/>
        <v>-1</v>
      </c>
      <c r="M1197" s="7" t="str">
        <f t="shared" ca="1" si="109"/>
        <v/>
      </c>
      <c r="N1197" s="6" t="str">
        <f t="shared" ca="1" si="110"/>
        <v/>
      </c>
      <c r="O1197" s="6">
        <f t="shared" si="111"/>
        <v>-5.4500000000000171</v>
      </c>
      <c r="Q1197" s="6">
        <v>36.699999999999989</v>
      </c>
      <c r="R1197" s="9">
        <f t="shared" si="112"/>
        <v>13762.499999999996</v>
      </c>
      <c r="S1197" s="7">
        <f t="shared" si="113"/>
        <v>3918.7500000000377</v>
      </c>
    </row>
    <row r="1198" spans="1:19" x14ac:dyDescent="0.25">
      <c r="A1198" s="4">
        <f>Sheet1!A1198</f>
        <v>40820</v>
      </c>
      <c r="B1198" s="5">
        <f>Sheet1!B1198</f>
        <v>0.58333333333333337</v>
      </c>
      <c r="C1198" s="6">
        <f>Sheet1!C1198</f>
        <v>245.75</v>
      </c>
      <c r="D1198" s="6">
        <f>Sheet1!D1198</f>
        <v>251.7</v>
      </c>
      <c r="E1198" s="6">
        <f>Sheet1!E1198</f>
        <v>243.2</v>
      </c>
      <c r="F1198" s="6">
        <f>Sheet1!F1198</f>
        <v>248.05</v>
      </c>
      <c r="H1198" s="6">
        <f ca="1">IF(ROW($H1198)-1&lt;$I$1,$F1198,AVERAGE($F1198:OFFSET($F1198,(($I$1-1)*-1),0)))</f>
        <v>252.23333333333332</v>
      </c>
      <c r="J1198" s="6">
        <f ca="1">IF(ROW($J1198)-1&lt;$K$1,$F1198,AVERAGE($F1198:OFFSET($F1198,(($K$1-1)*-1),0)))</f>
        <v>282.37857142857138</v>
      </c>
      <c r="L1198" s="7">
        <f t="shared" ca="1" si="108"/>
        <v>-1</v>
      </c>
      <c r="M1198" s="7" t="str">
        <f t="shared" ca="1" si="109"/>
        <v/>
      </c>
      <c r="N1198" s="6" t="str">
        <f t="shared" ca="1" si="110"/>
        <v/>
      </c>
      <c r="O1198" s="6">
        <f t="shared" si="111"/>
        <v>3.1000000000000227</v>
      </c>
      <c r="Q1198" s="6">
        <v>33.599999999999966</v>
      </c>
      <c r="R1198" s="9">
        <f t="shared" si="112"/>
        <v>12599.999999999987</v>
      </c>
      <c r="S1198" s="7">
        <f t="shared" si="113"/>
        <v>3918.7500000000377</v>
      </c>
    </row>
    <row r="1199" spans="1:19" x14ac:dyDescent="0.25">
      <c r="A1199" s="4">
        <f>Sheet1!A1199</f>
        <v>40821</v>
      </c>
      <c r="B1199" s="5">
        <f>Sheet1!B1199</f>
        <v>0.58333333333333337</v>
      </c>
      <c r="C1199" s="6">
        <f>Sheet1!C1199</f>
        <v>249.5</v>
      </c>
      <c r="D1199" s="6">
        <f>Sheet1!D1199</f>
        <v>253.5</v>
      </c>
      <c r="E1199" s="6">
        <f>Sheet1!E1199</f>
        <v>247.65</v>
      </c>
      <c r="F1199" s="6">
        <f>Sheet1!F1199</f>
        <v>249.2</v>
      </c>
      <c r="H1199" s="6">
        <f ca="1">IF(ROW($H1199)-1&lt;$I$1,$F1199,AVERAGE($F1199:OFFSET($F1199,(($I$1-1)*-1),0)))</f>
        <v>250.04166666666666</v>
      </c>
      <c r="J1199" s="6">
        <f ca="1">IF(ROW($J1199)-1&lt;$K$1,$F1199,AVERAGE($F1199:OFFSET($F1199,(($K$1-1)*-1),0)))</f>
        <v>280.67142857142852</v>
      </c>
      <c r="L1199" s="7">
        <f t="shared" ca="1" si="108"/>
        <v>-1</v>
      </c>
      <c r="M1199" s="7" t="str">
        <f t="shared" ca="1" si="109"/>
        <v/>
      </c>
      <c r="N1199" s="6" t="str">
        <f t="shared" ca="1" si="110"/>
        <v/>
      </c>
      <c r="O1199" s="6">
        <f t="shared" si="111"/>
        <v>1.1499999999999773</v>
      </c>
      <c r="Q1199" s="6">
        <v>32.449999999999989</v>
      </c>
      <c r="R1199" s="9">
        <f t="shared" si="112"/>
        <v>12168.749999999996</v>
      </c>
      <c r="S1199" s="7">
        <f t="shared" si="113"/>
        <v>3918.7500000000377</v>
      </c>
    </row>
    <row r="1200" spans="1:19" x14ac:dyDescent="0.25">
      <c r="A1200" s="4">
        <f>Sheet1!A1200</f>
        <v>40822</v>
      </c>
      <c r="B1200" s="5">
        <f>Sheet1!B1200</f>
        <v>0.58333333333333337</v>
      </c>
      <c r="C1200" s="6">
        <f>Sheet1!C1200</f>
        <v>250.5</v>
      </c>
      <c r="D1200" s="6">
        <f>Sheet1!D1200</f>
        <v>257.60000000000002</v>
      </c>
      <c r="E1200" s="6">
        <f>Sheet1!E1200</f>
        <v>249.55</v>
      </c>
      <c r="F1200" s="6">
        <f>Sheet1!F1200</f>
        <v>255.9</v>
      </c>
      <c r="H1200" s="6">
        <f ca="1">IF(ROW($H1200)-1&lt;$I$1,$F1200,AVERAGE($F1200:OFFSET($F1200,(($I$1-1)*-1),0)))</f>
        <v>250.19166666666669</v>
      </c>
      <c r="J1200" s="6">
        <f ca="1">IF(ROW($J1200)-1&lt;$K$1,$F1200,AVERAGE($F1200:OFFSET($F1200,(($K$1-1)*-1),0)))</f>
        <v>279.0714285714285</v>
      </c>
      <c r="L1200" s="7">
        <f t="shared" ca="1" si="108"/>
        <v>-1</v>
      </c>
      <c r="M1200" s="7" t="str">
        <f t="shared" ca="1" si="109"/>
        <v/>
      </c>
      <c r="N1200" s="6" t="str">
        <f t="shared" ca="1" si="110"/>
        <v/>
      </c>
      <c r="O1200" s="6">
        <f t="shared" si="111"/>
        <v>6.7000000000000171</v>
      </c>
      <c r="Q1200" s="6">
        <v>25.749999999999972</v>
      </c>
      <c r="R1200" s="9">
        <f t="shared" si="112"/>
        <v>9656.2499999999891</v>
      </c>
      <c r="S1200" s="7">
        <f t="shared" si="113"/>
        <v>3918.7500000000377</v>
      </c>
    </row>
    <row r="1201" spans="1:19" x14ac:dyDescent="0.25">
      <c r="A1201" s="4">
        <f>Sheet1!A1201</f>
        <v>40823</v>
      </c>
      <c r="B1201" s="5">
        <f>Sheet1!B1201</f>
        <v>0.58333333333333337</v>
      </c>
      <c r="C1201" s="6">
        <f>Sheet1!C1201</f>
        <v>257.14999999999998</v>
      </c>
      <c r="D1201" s="6">
        <f>Sheet1!D1201</f>
        <v>257.5</v>
      </c>
      <c r="E1201" s="6">
        <f>Sheet1!E1201</f>
        <v>245.15</v>
      </c>
      <c r="F1201" s="6">
        <f>Sheet1!F1201</f>
        <v>245.85</v>
      </c>
      <c r="H1201" s="6">
        <f ca="1">IF(ROW($H1201)-1&lt;$I$1,$F1201,AVERAGE($F1201:OFFSET($F1201,(($I$1-1)*-1),0)))</f>
        <v>249.05833333333337</v>
      </c>
      <c r="J1201" s="6">
        <f ca="1">IF(ROW($J1201)-1&lt;$K$1,$F1201,AVERAGE($F1201:OFFSET($F1201,(($K$1-1)*-1),0)))</f>
        <v>276.92499999999995</v>
      </c>
      <c r="L1201" s="7">
        <f t="shared" ca="1" si="108"/>
        <v>-1</v>
      </c>
      <c r="M1201" s="7" t="str">
        <f t="shared" ca="1" si="109"/>
        <v/>
      </c>
      <c r="N1201" s="6" t="str">
        <f t="shared" ca="1" si="110"/>
        <v/>
      </c>
      <c r="O1201" s="6">
        <f t="shared" si="111"/>
        <v>-10.050000000000011</v>
      </c>
      <c r="Q1201" s="6">
        <v>35.799999999999983</v>
      </c>
      <c r="R1201" s="9">
        <f t="shared" si="112"/>
        <v>13424.999999999993</v>
      </c>
      <c r="S1201" s="7">
        <f t="shared" si="113"/>
        <v>3918.7500000000377</v>
      </c>
    </row>
    <row r="1202" spans="1:19" x14ac:dyDescent="0.25">
      <c r="A1202" s="4">
        <f>Sheet1!A1202</f>
        <v>40826</v>
      </c>
      <c r="B1202" s="5">
        <f>Sheet1!B1202</f>
        <v>0.58333333333333337</v>
      </c>
      <c r="C1202" s="6">
        <f>Sheet1!C1202</f>
        <v>247.5</v>
      </c>
      <c r="D1202" s="6">
        <f>Sheet1!D1202</f>
        <v>253.25</v>
      </c>
      <c r="E1202" s="6">
        <f>Sheet1!E1202</f>
        <v>246.6</v>
      </c>
      <c r="F1202" s="6">
        <f>Sheet1!F1202</f>
        <v>247.8</v>
      </c>
      <c r="H1202" s="6">
        <f ca="1">IF(ROW($H1202)-1&lt;$I$1,$F1202,AVERAGE($F1202:OFFSET($F1202,(($I$1-1)*-1),0)))</f>
        <v>248.625</v>
      </c>
      <c r="J1202" s="6">
        <f ca="1">IF(ROW($J1202)-1&lt;$K$1,$F1202,AVERAGE($F1202:OFFSET($F1202,(($K$1-1)*-1),0)))</f>
        <v>274.76785714285711</v>
      </c>
      <c r="L1202" s="7">
        <f t="shared" ca="1" si="108"/>
        <v>-1</v>
      </c>
      <c r="M1202" s="7" t="str">
        <f t="shared" ca="1" si="109"/>
        <v/>
      </c>
      <c r="N1202" s="6" t="str">
        <f t="shared" ca="1" si="110"/>
        <v/>
      </c>
      <c r="O1202" s="6">
        <f t="shared" si="111"/>
        <v>1.9500000000000171</v>
      </c>
      <c r="Q1202" s="6">
        <v>33.849999999999966</v>
      </c>
      <c r="R1202" s="9">
        <f t="shared" si="112"/>
        <v>12693.749999999987</v>
      </c>
      <c r="S1202" s="7">
        <f t="shared" si="113"/>
        <v>3918.7500000000377</v>
      </c>
    </row>
    <row r="1203" spans="1:19" x14ac:dyDescent="0.25">
      <c r="A1203" s="4">
        <f>Sheet1!A1203</f>
        <v>40827</v>
      </c>
      <c r="B1203" s="5">
        <f>Sheet1!B1203</f>
        <v>0.58333333333333337</v>
      </c>
      <c r="C1203" s="6">
        <f>Sheet1!C1203</f>
        <v>247.8</v>
      </c>
      <c r="D1203" s="6">
        <f>Sheet1!D1203</f>
        <v>249.85</v>
      </c>
      <c r="E1203" s="6">
        <f>Sheet1!E1203</f>
        <v>243.15</v>
      </c>
      <c r="F1203" s="6">
        <f>Sheet1!F1203</f>
        <v>244.9</v>
      </c>
      <c r="H1203" s="6">
        <f ca="1">IF(ROW($H1203)-1&lt;$I$1,$F1203,AVERAGE($F1203:OFFSET($F1203,(($I$1-1)*-1),0)))</f>
        <v>248.61666666666667</v>
      </c>
      <c r="J1203" s="6">
        <f ca="1">IF(ROW($J1203)-1&lt;$K$1,$F1203,AVERAGE($F1203:OFFSET($F1203,(($K$1-1)*-1),0)))</f>
        <v>272.45178571428568</v>
      </c>
      <c r="L1203" s="7">
        <f t="shared" ca="1" si="108"/>
        <v>-1</v>
      </c>
      <c r="M1203" s="7" t="str">
        <f t="shared" ca="1" si="109"/>
        <v/>
      </c>
      <c r="N1203" s="6" t="str">
        <f t="shared" ca="1" si="110"/>
        <v/>
      </c>
      <c r="O1203" s="6">
        <f t="shared" si="111"/>
        <v>-2.9000000000000057</v>
      </c>
      <c r="Q1203" s="6">
        <v>36.749999999999972</v>
      </c>
      <c r="R1203" s="9">
        <f t="shared" si="112"/>
        <v>13781.249999999989</v>
      </c>
      <c r="S1203" s="7">
        <f t="shared" si="113"/>
        <v>3918.7500000000377</v>
      </c>
    </row>
    <row r="1204" spans="1:19" x14ac:dyDescent="0.25">
      <c r="A1204" s="4">
        <f>Sheet1!A1204</f>
        <v>40828</v>
      </c>
      <c r="B1204" s="5">
        <f>Sheet1!B1204</f>
        <v>0.58333333333333337</v>
      </c>
      <c r="C1204" s="6">
        <f>Sheet1!C1204</f>
        <v>245.5</v>
      </c>
      <c r="D1204" s="6">
        <f>Sheet1!D1204</f>
        <v>253.2</v>
      </c>
      <c r="E1204" s="6">
        <f>Sheet1!E1204</f>
        <v>245.1</v>
      </c>
      <c r="F1204" s="6">
        <f>Sheet1!F1204</f>
        <v>250.95</v>
      </c>
      <c r="H1204" s="6">
        <f ca="1">IF(ROW($H1204)-1&lt;$I$1,$F1204,AVERAGE($F1204:OFFSET($F1204,(($I$1-1)*-1),0)))</f>
        <v>249.10000000000002</v>
      </c>
      <c r="J1204" s="6">
        <f ca="1">IF(ROW($J1204)-1&lt;$K$1,$F1204,AVERAGE($F1204:OFFSET($F1204,(($K$1-1)*-1),0)))</f>
        <v>270.29821428571421</v>
      </c>
      <c r="L1204" s="7">
        <f t="shared" ca="1" si="108"/>
        <v>-1</v>
      </c>
      <c r="M1204" s="7" t="str">
        <f t="shared" ca="1" si="109"/>
        <v/>
      </c>
      <c r="N1204" s="6" t="str">
        <f t="shared" ca="1" si="110"/>
        <v/>
      </c>
      <c r="O1204" s="6">
        <f t="shared" si="111"/>
        <v>6.0499999999999829</v>
      </c>
      <c r="Q1204" s="6">
        <v>30.699999999999989</v>
      </c>
      <c r="R1204" s="9">
        <f t="shared" si="112"/>
        <v>11512.499999999996</v>
      </c>
      <c r="S1204" s="7">
        <f t="shared" si="113"/>
        <v>3918.7500000000377</v>
      </c>
    </row>
    <row r="1205" spans="1:19" x14ac:dyDescent="0.25">
      <c r="A1205" s="4">
        <f>Sheet1!A1205</f>
        <v>40829</v>
      </c>
      <c r="B1205" s="5">
        <f>Sheet1!B1205</f>
        <v>0.58333333333333337</v>
      </c>
      <c r="C1205" s="6">
        <f>Sheet1!C1205</f>
        <v>253</v>
      </c>
      <c r="D1205" s="6">
        <f>Sheet1!D1205</f>
        <v>261.85000000000002</v>
      </c>
      <c r="E1205" s="6">
        <f>Sheet1!E1205</f>
        <v>249.6</v>
      </c>
      <c r="F1205" s="6">
        <f>Sheet1!F1205</f>
        <v>259.14999999999998</v>
      </c>
      <c r="H1205" s="6">
        <f ca="1">IF(ROW($H1205)-1&lt;$I$1,$F1205,AVERAGE($F1205:OFFSET($F1205,(($I$1-1)*-1),0)))</f>
        <v>250.7583333333333</v>
      </c>
      <c r="J1205" s="6">
        <f ca="1">IF(ROW($J1205)-1&lt;$K$1,$F1205,AVERAGE($F1205:OFFSET($F1205,(($K$1-1)*-1),0)))</f>
        <v>268.49821428571425</v>
      </c>
      <c r="L1205" s="7">
        <f t="shared" ca="1" si="108"/>
        <v>-1</v>
      </c>
      <c r="M1205" s="7" t="str">
        <f t="shared" ca="1" si="109"/>
        <v/>
      </c>
      <c r="N1205" s="6" t="str">
        <f t="shared" ca="1" si="110"/>
        <v/>
      </c>
      <c r="O1205" s="6">
        <f t="shared" si="111"/>
        <v>8.1999999999999886</v>
      </c>
      <c r="Q1205" s="6">
        <v>22.5</v>
      </c>
      <c r="R1205" s="9">
        <f t="shared" si="112"/>
        <v>8437.5</v>
      </c>
      <c r="S1205" s="7">
        <f t="shared" si="113"/>
        <v>3918.7500000000377</v>
      </c>
    </row>
    <row r="1206" spans="1:19" x14ac:dyDescent="0.25">
      <c r="A1206" s="4">
        <f>Sheet1!A1206</f>
        <v>40830</v>
      </c>
      <c r="B1206" s="5">
        <f>Sheet1!B1206</f>
        <v>0.58333333333333337</v>
      </c>
      <c r="C1206" s="6">
        <f>Sheet1!C1206</f>
        <v>258.95</v>
      </c>
      <c r="D1206" s="6">
        <f>Sheet1!D1206</f>
        <v>263</v>
      </c>
      <c r="E1206" s="6">
        <f>Sheet1!E1206</f>
        <v>255.75</v>
      </c>
      <c r="F1206" s="6">
        <f>Sheet1!F1206</f>
        <v>261.05</v>
      </c>
      <c r="H1206" s="6">
        <f ca="1">IF(ROW($H1206)-1&lt;$I$1,$F1206,AVERAGE($F1206:OFFSET($F1206,(($I$1-1)*-1),0)))</f>
        <v>251.61666666666667</v>
      </c>
      <c r="J1206" s="6">
        <f ca="1">IF(ROW($J1206)-1&lt;$K$1,$F1206,AVERAGE($F1206:OFFSET($F1206,(($K$1-1)*-1),0)))</f>
        <v>267.0196428571428</v>
      </c>
      <c r="L1206" s="7">
        <f t="shared" ca="1" si="108"/>
        <v>-1</v>
      </c>
      <c r="M1206" s="7" t="str">
        <f t="shared" ca="1" si="109"/>
        <v/>
      </c>
      <c r="N1206" s="6" t="str">
        <f t="shared" ca="1" si="110"/>
        <v/>
      </c>
      <c r="O1206" s="6">
        <f t="shared" si="111"/>
        <v>1.9000000000000341</v>
      </c>
      <c r="Q1206" s="6">
        <v>20.599999999999966</v>
      </c>
      <c r="R1206" s="9">
        <f t="shared" si="112"/>
        <v>7724.9999999999873</v>
      </c>
      <c r="S1206" s="7">
        <f t="shared" si="113"/>
        <v>3918.7500000000377</v>
      </c>
    </row>
    <row r="1207" spans="1:19" x14ac:dyDescent="0.25">
      <c r="A1207" s="4">
        <f>Sheet1!A1207</f>
        <v>40833</v>
      </c>
      <c r="B1207" s="5">
        <f>Sheet1!B1207</f>
        <v>0.58333333333333337</v>
      </c>
      <c r="C1207" s="6">
        <f>Sheet1!C1207</f>
        <v>261.55</v>
      </c>
      <c r="D1207" s="6">
        <f>Sheet1!D1207</f>
        <v>265.05</v>
      </c>
      <c r="E1207" s="6">
        <f>Sheet1!E1207</f>
        <v>249.85</v>
      </c>
      <c r="F1207" s="6">
        <f>Sheet1!F1207</f>
        <v>255.5</v>
      </c>
      <c r="H1207" s="6">
        <f ca="1">IF(ROW($H1207)-1&lt;$I$1,$F1207,AVERAGE($F1207:OFFSET($F1207,(($I$1-1)*-1),0)))</f>
        <v>253.22500000000002</v>
      </c>
      <c r="J1207" s="6">
        <f ca="1">IF(ROW($J1207)-1&lt;$K$1,$F1207,AVERAGE($F1207:OFFSET($F1207,(($K$1-1)*-1),0)))</f>
        <v>265.21607142857135</v>
      </c>
      <c r="L1207" s="7">
        <f t="shared" ca="1" si="108"/>
        <v>-1</v>
      </c>
      <c r="M1207" s="7" t="str">
        <f t="shared" ca="1" si="109"/>
        <v/>
      </c>
      <c r="N1207" s="6" t="str">
        <f t="shared" ca="1" si="110"/>
        <v/>
      </c>
      <c r="O1207" s="6">
        <f t="shared" si="111"/>
        <v>-5.5500000000000114</v>
      </c>
      <c r="Q1207" s="6">
        <v>26.149999999999977</v>
      </c>
      <c r="R1207" s="9">
        <f t="shared" si="112"/>
        <v>9806.2499999999909</v>
      </c>
      <c r="S1207" s="7">
        <f t="shared" si="113"/>
        <v>3918.7500000000377</v>
      </c>
    </row>
    <row r="1208" spans="1:19" x14ac:dyDescent="0.25">
      <c r="A1208" s="4">
        <f>Sheet1!A1208</f>
        <v>40834</v>
      </c>
      <c r="B1208" s="5">
        <f>Sheet1!B1208</f>
        <v>0.58333333333333337</v>
      </c>
      <c r="C1208" s="6">
        <f>Sheet1!C1208</f>
        <v>254.3</v>
      </c>
      <c r="D1208" s="6">
        <f>Sheet1!D1208</f>
        <v>257.5</v>
      </c>
      <c r="E1208" s="6">
        <f>Sheet1!E1208</f>
        <v>250.9</v>
      </c>
      <c r="F1208" s="6">
        <f>Sheet1!F1208</f>
        <v>253</v>
      </c>
      <c r="H1208" s="6">
        <f ca="1">IF(ROW($H1208)-1&lt;$I$1,$F1208,AVERAGE($F1208:OFFSET($F1208,(($I$1-1)*-1),0)))</f>
        <v>254.09166666666667</v>
      </c>
      <c r="J1208" s="6">
        <f ca="1">IF(ROW($J1208)-1&lt;$K$1,$F1208,AVERAGE($F1208:OFFSET($F1208,(($K$1-1)*-1),0)))</f>
        <v>263.33749999999992</v>
      </c>
      <c r="L1208" s="7">
        <f t="shared" ca="1" si="108"/>
        <v>-1</v>
      </c>
      <c r="M1208" s="7" t="str">
        <f t="shared" ca="1" si="109"/>
        <v/>
      </c>
      <c r="N1208" s="6" t="str">
        <f t="shared" ca="1" si="110"/>
        <v/>
      </c>
      <c r="O1208" s="6">
        <f t="shared" si="111"/>
        <v>-2.5</v>
      </c>
      <c r="Q1208" s="6">
        <v>28.649999999999977</v>
      </c>
      <c r="R1208" s="9">
        <f t="shared" si="112"/>
        <v>10743.749999999991</v>
      </c>
      <c r="S1208" s="7">
        <f t="shared" si="113"/>
        <v>3918.7500000000377</v>
      </c>
    </row>
    <row r="1209" spans="1:19" x14ac:dyDescent="0.25">
      <c r="A1209" s="4">
        <f>Sheet1!A1209</f>
        <v>40835</v>
      </c>
      <c r="B1209" s="5">
        <f>Sheet1!B1209</f>
        <v>0.58333333333333337</v>
      </c>
      <c r="C1209" s="6">
        <f>Sheet1!C1209</f>
        <v>252.75</v>
      </c>
      <c r="D1209" s="6">
        <f>Sheet1!D1209</f>
        <v>260.75</v>
      </c>
      <c r="E1209" s="6">
        <f>Sheet1!E1209</f>
        <v>252.4</v>
      </c>
      <c r="F1209" s="6">
        <f>Sheet1!F1209</f>
        <v>257.64999999999998</v>
      </c>
      <c r="H1209" s="6">
        <f ca="1">IF(ROW($H1209)-1&lt;$I$1,$F1209,AVERAGE($F1209:OFFSET($F1209,(($I$1-1)*-1),0)))</f>
        <v>256.2166666666667</v>
      </c>
      <c r="J1209" s="6">
        <f ca="1">IF(ROW($J1209)-1&lt;$K$1,$F1209,AVERAGE($F1209:OFFSET($F1209,(($K$1-1)*-1),0)))</f>
        <v>262.12857142857138</v>
      </c>
      <c r="L1209" s="7">
        <f t="shared" ca="1" si="108"/>
        <v>-1</v>
      </c>
      <c r="M1209" s="7" t="str">
        <f t="shared" ca="1" si="109"/>
        <v/>
      </c>
      <c r="N1209" s="6" t="str">
        <f t="shared" ca="1" si="110"/>
        <v/>
      </c>
      <c r="O1209" s="6">
        <f t="shared" si="111"/>
        <v>4.6499999999999773</v>
      </c>
      <c r="Q1209" s="6">
        <v>24</v>
      </c>
      <c r="R1209" s="9">
        <f t="shared" si="112"/>
        <v>9000</v>
      </c>
      <c r="S1209" s="7">
        <f t="shared" si="113"/>
        <v>3918.7500000000377</v>
      </c>
    </row>
    <row r="1210" spans="1:19" x14ac:dyDescent="0.25">
      <c r="A1210" s="4">
        <f>Sheet1!A1210</f>
        <v>40836</v>
      </c>
      <c r="B1210" s="5">
        <f>Sheet1!B1210</f>
        <v>0.58333333333333337</v>
      </c>
      <c r="C1210" s="6">
        <f>Sheet1!C1210</f>
        <v>255.9</v>
      </c>
      <c r="D1210" s="6">
        <f>Sheet1!D1210</f>
        <v>258.35000000000002</v>
      </c>
      <c r="E1210" s="6">
        <f>Sheet1!E1210</f>
        <v>251.2</v>
      </c>
      <c r="F1210" s="6">
        <f>Sheet1!F1210</f>
        <v>253.15</v>
      </c>
      <c r="H1210" s="6">
        <f ca="1">IF(ROW($H1210)-1&lt;$I$1,$F1210,AVERAGE($F1210:OFFSET($F1210,(($I$1-1)*-1),0)))</f>
        <v>256.58333333333331</v>
      </c>
      <c r="J1210" s="6">
        <f ca="1">IF(ROW($J1210)-1&lt;$K$1,$F1210,AVERAGE($F1210:OFFSET($F1210,(($K$1-1)*-1),0)))</f>
        <v>260.72499999999991</v>
      </c>
      <c r="L1210" s="7">
        <f t="shared" ca="1" si="108"/>
        <v>-1</v>
      </c>
      <c r="M1210" s="7" t="str">
        <f t="shared" ca="1" si="109"/>
        <v/>
      </c>
      <c r="N1210" s="6" t="str">
        <f t="shared" ca="1" si="110"/>
        <v/>
      </c>
      <c r="O1210" s="6">
        <f t="shared" si="111"/>
        <v>-4.4999999999999716</v>
      </c>
      <c r="Q1210" s="6">
        <v>28.499999999999972</v>
      </c>
      <c r="R1210" s="9">
        <f t="shared" si="112"/>
        <v>10687.499999999989</v>
      </c>
      <c r="S1210" s="7">
        <f t="shared" si="113"/>
        <v>3918.7500000000377</v>
      </c>
    </row>
    <row r="1211" spans="1:19" x14ac:dyDescent="0.25">
      <c r="A1211" s="4">
        <f>Sheet1!A1211</f>
        <v>40837</v>
      </c>
      <c r="B1211" s="5">
        <f>Sheet1!B1211</f>
        <v>0.58333333333333337</v>
      </c>
      <c r="C1211" s="6">
        <f>Sheet1!C1211</f>
        <v>255.15</v>
      </c>
      <c r="D1211" s="6">
        <f>Sheet1!D1211</f>
        <v>268.2</v>
      </c>
      <c r="E1211" s="6">
        <f>Sheet1!E1211</f>
        <v>254.7</v>
      </c>
      <c r="F1211" s="6">
        <f>Sheet1!F1211</f>
        <v>266.35000000000002</v>
      </c>
      <c r="H1211" s="6">
        <f ca="1">IF(ROW($H1211)-1&lt;$I$1,$F1211,AVERAGE($F1211:OFFSET($F1211,(($I$1-1)*-1),0)))</f>
        <v>257.7833333333333</v>
      </c>
      <c r="J1211" s="6">
        <f ca="1">IF(ROW($J1211)-1&lt;$K$1,$F1211,AVERAGE($F1211:OFFSET($F1211,(($K$1-1)*-1),0)))</f>
        <v>259.81607142857143</v>
      </c>
      <c r="L1211" s="7">
        <f t="shared" ca="1" si="108"/>
        <v>-1</v>
      </c>
      <c r="M1211" s="7" t="str">
        <f t="shared" ca="1" si="109"/>
        <v/>
      </c>
      <c r="N1211" s="6" t="str">
        <f t="shared" ca="1" si="110"/>
        <v/>
      </c>
      <c r="O1211" s="6">
        <f t="shared" si="111"/>
        <v>13.200000000000017</v>
      </c>
      <c r="Q1211" s="6">
        <v>15.299999999999955</v>
      </c>
      <c r="R1211" s="9">
        <f t="shared" si="112"/>
        <v>5737.4999999999827</v>
      </c>
      <c r="S1211" s="7">
        <f t="shared" si="113"/>
        <v>3918.7500000000377</v>
      </c>
    </row>
    <row r="1212" spans="1:19" x14ac:dyDescent="0.25">
      <c r="A1212" s="4">
        <f>Sheet1!A1212</f>
        <v>40840</v>
      </c>
      <c r="B1212" s="5">
        <f>Sheet1!B1212</f>
        <v>0.58333333333333337</v>
      </c>
      <c r="C1212" s="6">
        <f>Sheet1!C1212</f>
        <v>266.95</v>
      </c>
      <c r="D1212" s="6">
        <f>Sheet1!D1212</f>
        <v>273</v>
      </c>
      <c r="E1212" s="6">
        <f>Sheet1!E1212</f>
        <v>264.60000000000002</v>
      </c>
      <c r="F1212" s="6">
        <f>Sheet1!F1212</f>
        <v>272.3</v>
      </c>
      <c r="H1212" s="6">
        <f ca="1">IF(ROW($H1212)-1&lt;$I$1,$F1212,AVERAGE($F1212:OFFSET($F1212,(($I$1-1)*-1),0)))</f>
        <v>259.65833333333336</v>
      </c>
      <c r="J1212" s="6">
        <f ca="1">IF(ROW($J1212)-1&lt;$K$1,$F1212,AVERAGE($F1212:OFFSET($F1212,(($K$1-1)*-1),0)))</f>
        <v>259.28392857142859</v>
      </c>
      <c r="L1212" s="7">
        <f t="shared" ca="1" si="108"/>
        <v>1</v>
      </c>
      <c r="M1212" s="7">
        <f t="shared" ca="1" si="109"/>
        <v>1</v>
      </c>
      <c r="N1212" s="6" t="str">
        <f t="shared" ca="1" si="110"/>
        <v/>
      </c>
      <c r="O1212" s="6">
        <f t="shared" si="111"/>
        <v>5.9499999999999886</v>
      </c>
      <c r="Q1212" s="6">
        <v>9.3499999999999659</v>
      </c>
      <c r="R1212" s="9">
        <f t="shared" si="112"/>
        <v>3506.2499999999873</v>
      </c>
      <c r="S1212" s="7">
        <f t="shared" si="113"/>
        <v>3918.7500000000377</v>
      </c>
    </row>
    <row r="1213" spans="1:19" x14ac:dyDescent="0.25">
      <c r="A1213" s="4">
        <f>Sheet1!A1213</f>
        <v>40841</v>
      </c>
      <c r="B1213" s="5">
        <f>Sheet1!B1213</f>
        <v>0.58333333333333337</v>
      </c>
      <c r="C1213" s="6">
        <f>Sheet1!C1213</f>
        <v>272.75</v>
      </c>
      <c r="D1213" s="6">
        <f>Sheet1!D1213</f>
        <v>274</v>
      </c>
      <c r="E1213" s="6">
        <f>Sheet1!E1213</f>
        <v>257.10000000000002</v>
      </c>
      <c r="F1213" s="6">
        <f>Sheet1!F1213</f>
        <v>258.05</v>
      </c>
      <c r="H1213" s="6">
        <f ca="1">IF(ROW($H1213)-1&lt;$I$1,$F1213,AVERAGE($F1213:OFFSET($F1213,(($I$1-1)*-1),0)))</f>
        <v>260.08333333333331</v>
      </c>
      <c r="J1213" s="6">
        <f ca="1">IF(ROW($J1213)-1&lt;$K$1,$F1213,AVERAGE($F1213:OFFSET($F1213,(($K$1-1)*-1),0)))</f>
        <v>258.4267857142857</v>
      </c>
      <c r="L1213" s="7">
        <f t="shared" ca="1" si="108"/>
        <v>1</v>
      </c>
      <c r="M1213" s="7" t="str">
        <f t="shared" ca="1" si="109"/>
        <v/>
      </c>
      <c r="N1213" s="6">
        <f t="shared" ca="1" si="110"/>
        <v>272.75</v>
      </c>
      <c r="O1213" s="6">
        <f t="shared" si="111"/>
        <v>-14.25</v>
      </c>
      <c r="P1213" s="6">
        <v>8.8999999999999773</v>
      </c>
      <c r="Q1213" s="6">
        <v>-14.699999999999989</v>
      </c>
      <c r="R1213" s="9">
        <f t="shared" si="112"/>
        <v>-5512.4999999999955</v>
      </c>
      <c r="S1213" s="7">
        <f t="shared" si="113"/>
        <v>7256.2500000000291</v>
      </c>
    </row>
    <row r="1214" spans="1:19" x14ac:dyDescent="0.25">
      <c r="A1214" s="4">
        <f>Sheet1!A1214</f>
        <v>40842</v>
      </c>
      <c r="B1214" s="5">
        <f>Sheet1!B1214</f>
        <v>0.58333333333333337</v>
      </c>
      <c r="C1214" s="6">
        <f>Sheet1!C1214</f>
        <v>258.3</v>
      </c>
      <c r="D1214" s="6">
        <f>Sheet1!D1214</f>
        <v>262</v>
      </c>
      <c r="E1214" s="6">
        <f>Sheet1!E1214</f>
        <v>253.4</v>
      </c>
      <c r="F1214" s="6">
        <f>Sheet1!F1214</f>
        <v>255.2</v>
      </c>
      <c r="H1214" s="6">
        <f ca="1">IF(ROW($H1214)-1&lt;$I$1,$F1214,AVERAGE($F1214:OFFSET($F1214,(($I$1-1)*-1),0)))</f>
        <v>260.45</v>
      </c>
      <c r="J1214" s="6">
        <f ca="1">IF(ROW($J1214)-1&lt;$K$1,$F1214,AVERAGE($F1214:OFFSET($F1214,(($K$1-1)*-1),0)))</f>
        <v>257.47321428571428</v>
      </c>
      <c r="L1214" s="7">
        <f t="shared" ca="1" si="108"/>
        <v>1</v>
      </c>
      <c r="M1214" s="7" t="str">
        <f t="shared" ca="1" si="109"/>
        <v/>
      </c>
      <c r="N1214" s="6" t="str">
        <f t="shared" ca="1" si="110"/>
        <v/>
      </c>
      <c r="O1214" s="6">
        <f t="shared" si="111"/>
        <v>-2.8500000000000227</v>
      </c>
      <c r="Q1214" s="6">
        <v>-17.550000000000011</v>
      </c>
      <c r="R1214" s="9">
        <f t="shared" si="112"/>
        <v>-6581.2500000000045</v>
      </c>
      <c r="S1214" s="7">
        <f t="shared" si="113"/>
        <v>7256.2500000000291</v>
      </c>
    </row>
    <row r="1215" spans="1:19" x14ac:dyDescent="0.25">
      <c r="A1215" s="4">
        <f>Sheet1!A1215</f>
        <v>40843</v>
      </c>
      <c r="B1215" s="5">
        <f>Sheet1!B1215</f>
        <v>0.58333333333333337</v>
      </c>
      <c r="C1215" s="6">
        <f>Sheet1!C1215</f>
        <v>255.5</v>
      </c>
      <c r="D1215" s="6">
        <f>Sheet1!D1215</f>
        <v>262.45</v>
      </c>
      <c r="E1215" s="6">
        <f>Sheet1!E1215</f>
        <v>255.5</v>
      </c>
      <c r="F1215" s="6">
        <f>Sheet1!F1215</f>
        <v>256.10000000000002</v>
      </c>
      <c r="H1215" s="6">
        <f ca="1">IF(ROW($H1215)-1&lt;$I$1,$F1215,AVERAGE($F1215:OFFSET($F1215,(($I$1-1)*-1),0)))</f>
        <v>260.19166666666666</v>
      </c>
      <c r="J1215" s="6">
        <f ca="1">IF(ROW($J1215)-1&lt;$K$1,$F1215,AVERAGE($F1215:OFFSET($F1215,(($K$1-1)*-1),0)))</f>
        <v>256.49285714285713</v>
      </c>
      <c r="L1215" s="7">
        <f t="shared" ca="1" si="108"/>
        <v>1</v>
      </c>
      <c r="M1215" s="7" t="str">
        <f t="shared" ca="1" si="109"/>
        <v/>
      </c>
      <c r="N1215" s="6" t="str">
        <f t="shared" ca="1" si="110"/>
        <v/>
      </c>
      <c r="O1215" s="6">
        <f t="shared" si="111"/>
        <v>0.90000000000003411</v>
      </c>
      <c r="Q1215" s="6">
        <v>-16.649999999999977</v>
      </c>
      <c r="R1215" s="9">
        <f t="shared" si="112"/>
        <v>-6243.7499999999918</v>
      </c>
      <c r="S1215" s="7">
        <f t="shared" si="113"/>
        <v>7256.2500000000291</v>
      </c>
    </row>
    <row r="1216" spans="1:19" x14ac:dyDescent="0.25">
      <c r="A1216" s="4">
        <f>Sheet1!A1216</f>
        <v>40844</v>
      </c>
      <c r="B1216" s="5">
        <f>Sheet1!B1216</f>
        <v>0.58333333333333337</v>
      </c>
      <c r="C1216" s="6">
        <f>Sheet1!C1216</f>
        <v>256.10000000000002</v>
      </c>
      <c r="D1216" s="6">
        <f>Sheet1!D1216</f>
        <v>258.2</v>
      </c>
      <c r="E1216" s="6">
        <f>Sheet1!E1216</f>
        <v>253.6</v>
      </c>
      <c r="F1216" s="6">
        <f>Sheet1!F1216</f>
        <v>256.64999999999998</v>
      </c>
      <c r="H1216" s="6">
        <f ca="1">IF(ROW($H1216)-1&lt;$I$1,$F1216,AVERAGE($F1216:OFFSET($F1216,(($I$1-1)*-1),0)))</f>
        <v>260.77500000000003</v>
      </c>
      <c r="J1216" s="6">
        <f ca="1">IF(ROW($J1216)-1&lt;$K$1,$F1216,AVERAGE($F1216:OFFSET($F1216,(($K$1-1)*-1),0)))</f>
        <v>255.59821428571428</v>
      </c>
      <c r="L1216" s="7">
        <f t="shared" ca="1" si="108"/>
        <v>1</v>
      </c>
      <c r="M1216" s="7" t="str">
        <f t="shared" ca="1" si="109"/>
        <v/>
      </c>
      <c r="N1216" s="6" t="str">
        <f t="shared" ca="1" si="110"/>
        <v/>
      </c>
      <c r="O1216" s="6">
        <f t="shared" si="111"/>
        <v>0.54999999999995453</v>
      </c>
      <c r="Q1216" s="6">
        <v>-16.100000000000023</v>
      </c>
      <c r="R1216" s="9">
        <f t="shared" si="112"/>
        <v>-6037.5000000000082</v>
      </c>
      <c r="S1216" s="7">
        <f t="shared" si="113"/>
        <v>7256.2500000000291</v>
      </c>
    </row>
    <row r="1217" spans="1:19" x14ac:dyDescent="0.25">
      <c r="A1217" s="4">
        <f>Sheet1!A1217</f>
        <v>40847</v>
      </c>
      <c r="B1217" s="5">
        <f>Sheet1!B1217</f>
        <v>0.58333333333333337</v>
      </c>
      <c r="C1217" s="6">
        <f>Sheet1!C1217</f>
        <v>254.5</v>
      </c>
      <c r="D1217" s="6">
        <f>Sheet1!D1217</f>
        <v>254.95</v>
      </c>
      <c r="E1217" s="6">
        <f>Sheet1!E1217</f>
        <v>246.85</v>
      </c>
      <c r="F1217" s="6">
        <f>Sheet1!F1217</f>
        <v>248.45</v>
      </c>
      <c r="H1217" s="6">
        <f ca="1">IF(ROW($H1217)-1&lt;$I$1,$F1217,AVERAGE($F1217:OFFSET($F1217,(($I$1-1)*-1),0)))</f>
        <v>257.79166666666669</v>
      </c>
      <c r="J1217" s="6">
        <f ca="1">IF(ROW($J1217)-1&lt;$K$1,$F1217,AVERAGE($F1217:OFFSET($F1217,(($K$1-1)*-1),0)))</f>
        <v>254.70535714285714</v>
      </c>
      <c r="L1217" s="7">
        <f t="shared" ca="1" si="108"/>
        <v>1</v>
      </c>
      <c r="M1217" s="7" t="str">
        <f t="shared" ca="1" si="109"/>
        <v/>
      </c>
      <c r="N1217" s="6" t="str">
        <f t="shared" ca="1" si="110"/>
        <v/>
      </c>
      <c r="O1217" s="6">
        <f t="shared" si="111"/>
        <v>-8.1999999999999886</v>
      </c>
      <c r="Q1217" s="6">
        <v>-24.300000000000011</v>
      </c>
      <c r="R1217" s="9">
        <f t="shared" si="112"/>
        <v>-9112.5000000000036</v>
      </c>
      <c r="S1217" s="7">
        <f t="shared" si="113"/>
        <v>7256.2500000000291</v>
      </c>
    </row>
    <row r="1218" spans="1:19" x14ac:dyDescent="0.25">
      <c r="A1218" s="4">
        <f>Sheet1!A1218</f>
        <v>40848</v>
      </c>
      <c r="B1218" s="5">
        <f>Sheet1!B1218</f>
        <v>0.58333333333333337</v>
      </c>
      <c r="C1218" s="6">
        <f>Sheet1!C1218</f>
        <v>247.9</v>
      </c>
      <c r="D1218" s="6">
        <f>Sheet1!D1218</f>
        <v>247.9</v>
      </c>
      <c r="E1218" s="6">
        <f>Sheet1!E1218</f>
        <v>241.95</v>
      </c>
      <c r="F1218" s="6">
        <f>Sheet1!F1218</f>
        <v>245.15</v>
      </c>
      <c r="H1218" s="6">
        <f ca="1">IF(ROW($H1218)-1&lt;$I$1,$F1218,AVERAGE($F1218:OFFSET($F1218,(($I$1-1)*-1),0)))</f>
        <v>253.26666666666668</v>
      </c>
      <c r="J1218" s="6">
        <f ca="1">IF(ROW($J1218)-1&lt;$K$1,$F1218,AVERAGE($F1218:OFFSET($F1218,(($K$1-1)*-1),0)))</f>
        <v>254.14821428571426</v>
      </c>
      <c r="L1218" s="7">
        <f t="shared" ca="1" si="108"/>
        <v>-1</v>
      </c>
      <c r="M1218" s="7">
        <f t="shared" ca="1" si="109"/>
        <v>-1</v>
      </c>
      <c r="N1218" s="6" t="str">
        <f t="shared" ca="1" si="110"/>
        <v/>
      </c>
      <c r="O1218" s="6">
        <f t="shared" si="111"/>
        <v>-3.2999999999999829</v>
      </c>
      <c r="Q1218" s="6">
        <v>-27.599999999999994</v>
      </c>
      <c r="R1218" s="9">
        <f t="shared" si="112"/>
        <v>-10349.999999999998</v>
      </c>
      <c r="S1218" s="7">
        <f t="shared" si="113"/>
        <v>7256.2500000000291</v>
      </c>
    </row>
    <row r="1219" spans="1:19" x14ac:dyDescent="0.25">
      <c r="A1219" s="4">
        <f>Sheet1!A1219</f>
        <v>40849</v>
      </c>
      <c r="B1219" s="5">
        <f>Sheet1!B1219</f>
        <v>0.58333333333333337</v>
      </c>
      <c r="C1219" s="6">
        <f>Sheet1!C1219</f>
        <v>246.9</v>
      </c>
      <c r="D1219" s="6">
        <f>Sheet1!D1219</f>
        <v>249</v>
      </c>
      <c r="E1219" s="6">
        <f>Sheet1!E1219</f>
        <v>244.5</v>
      </c>
      <c r="F1219" s="6">
        <f>Sheet1!F1219</f>
        <v>245.5</v>
      </c>
      <c r="H1219" s="6">
        <f ca="1">IF(ROW($H1219)-1&lt;$I$1,$F1219,AVERAGE($F1219:OFFSET($F1219,(($I$1-1)*-1),0)))</f>
        <v>251.17500000000004</v>
      </c>
      <c r="J1219" s="6">
        <f ca="1">IF(ROW($J1219)-1&lt;$K$1,$F1219,AVERAGE($F1219:OFFSET($F1219,(($K$1-1)*-1),0)))</f>
        <v>253.88214285714284</v>
      </c>
      <c r="L1219" s="7">
        <f t="shared" ref="L1219:L1282" ca="1" si="114">IF(ROW($L1219)&gt;($K$1),IF($H1219&gt;$J1219,1,IF($H1219&lt;$J1219,-1,$L1218*-1)),0)</f>
        <v>-1</v>
      </c>
      <c r="M1219" s="7" t="str">
        <f t="shared" ca="1" si="109"/>
        <v/>
      </c>
      <c r="N1219" s="6">
        <f t="shared" ca="1" si="110"/>
        <v>246.9</v>
      </c>
      <c r="O1219" s="6">
        <f t="shared" si="111"/>
        <v>0.34999999999999432</v>
      </c>
      <c r="P1219" s="6">
        <v>-25.849999999999994</v>
      </c>
      <c r="Q1219" s="6">
        <v>1.4000000000000057</v>
      </c>
      <c r="R1219" s="9">
        <f t="shared" si="112"/>
        <v>525.00000000000216</v>
      </c>
      <c r="S1219" s="7">
        <f t="shared" si="113"/>
        <v>-2437.4999999999691</v>
      </c>
    </row>
    <row r="1220" spans="1:19" x14ac:dyDescent="0.25">
      <c r="A1220" s="4">
        <f>Sheet1!A1220</f>
        <v>40850</v>
      </c>
      <c r="B1220" s="5">
        <f>Sheet1!B1220</f>
        <v>0.58333333333333337</v>
      </c>
      <c r="C1220" s="6">
        <f>Sheet1!C1220</f>
        <v>244.75</v>
      </c>
      <c r="D1220" s="6">
        <f>Sheet1!D1220</f>
        <v>251.6</v>
      </c>
      <c r="E1220" s="6">
        <f>Sheet1!E1220</f>
        <v>244.75</v>
      </c>
      <c r="F1220" s="6">
        <f>Sheet1!F1220</f>
        <v>248.3</v>
      </c>
      <c r="H1220" s="6">
        <f ca="1">IF(ROW($H1220)-1&lt;$I$1,$F1220,AVERAGE($F1220:OFFSET($F1220,(($I$1-1)*-1),0)))</f>
        <v>250.02499999999998</v>
      </c>
      <c r="J1220" s="6">
        <f ca="1">IF(ROW($J1220)-1&lt;$K$1,$F1220,AVERAGE($F1220:OFFSET($F1220,(($K$1-1)*-1),0)))</f>
        <v>253.55535714285716</v>
      </c>
      <c r="L1220" s="7">
        <f t="shared" ca="1" si="114"/>
        <v>-1</v>
      </c>
      <c r="M1220" s="7" t="str">
        <f t="shared" ref="M1220:M1283" ca="1" si="115">IF(L1220&lt;&gt;L1219,L1220,"")</f>
        <v/>
      </c>
      <c r="N1220" s="6" t="str">
        <f t="shared" ref="N1220:N1283" ca="1" si="116">IF(M1219&lt;&gt;"",C1220,"")</f>
        <v/>
      </c>
      <c r="O1220" s="6">
        <f t="shared" ref="O1220:O1283" si="117">F1220-F1219</f>
        <v>2.8000000000000114</v>
      </c>
      <c r="Q1220" s="6">
        <v>-1.4000000000000057</v>
      </c>
      <c r="R1220" s="9">
        <f t="shared" ref="R1220:R1283" si="118">IF(Q1220="","",Q1220*375)</f>
        <v>-525.00000000000216</v>
      </c>
      <c r="S1220" s="7">
        <f t="shared" si="113"/>
        <v>-2437.4999999999691</v>
      </c>
    </row>
    <row r="1221" spans="1:19" x14ac:dyDescent="0.25">
      <c r="A1221" s="4">
        <f>Sheet1!A1221</f>
        <v>40851</v>
      </c>
      <c r="B1221" s="5">
        <f>Sheet1!B1221</f>
        <v>0.58333333333333337</v>
      </c>
      <c r="C1221" s="6">
        <f>Sheet1!C1221</f>
        <v>249</v>
      </c>
      <c r="D1221" s="6">
        <f>Sheet1!D1221</f>
        <v>252.9</v>
      </c>
      <c r="E1221" s="6">
        <f>Sheet1!E1221</f>
        <v>245.75</v>
      </c>
      <c r="F1221" s="6">
        <f>Sheet1!F1221</f>
        <v>251.7</v>
      </c>
      <c r="H1221" s="6">
        <f ca="1">IF(ROW($H1221)-1&lt;$I$1,$F1221,AVERAGE($F1221:OFFSET($F1221,(($I$1-1)*-1),0)))</f>
        <v>249.29166666666666</v>
      </c>
      <c r="J1221" s="6">
        <f ca="1">IF(ROW($J1221)-1&lt;$K$1,$F1221,AVERAGE($F1221:OFFSET($F1221,(($K$1-1)*-1),0)))</f>
        <v>253.17500000000001</v>
      </c>
      <c r="L1221" s="7">
        <f t="shared" ca="1" si="114"/>
        <v>-1</v>
      </c>
      <c r="M1221" s="7" t="str">
        <f t="shared" ca="1" si="115"/>
        <v/>
      </c>
      <c r="N1221" s="6" t="str">
        <f t="shared" ca="1" si="116"/>
        <v/>
      </c>
      <c r="O1221" s="6">
        <f t="shared" si="117"/>
        <v>3.3999999999999773</v>
      </c>
      <c r="Q1221" s="6">
        <v>-4.7999999999999829</v>
      </c>
      <c r="R1221" s="9">
        <f t="shared" si="118"/>
        <v>-1799.9999999999936</v>
      </c>
      <c r="S1221" s="7">
        <f t="shared" si="113"/>
        <v>-2437.4999999999691</v>
      </c>
    </row>
    <row r="1222" spans="1:19" x14ac:dyDescent="0.25">
      <c r="A1222" s="4">
        <f>Sheet1!A1222</f>
        <v>40854</v>
      </c>
      <c r="B1222" s="5">
        <f>Sheet1!B1222</f>
        <v>0.58333333333333337</v>
      </c>
      <c r="C1222" s="6">
        <f>Sheet1!C1222</f>
        <v>251.7</v>
      </c>
      <c r="D1222" s="6">
        <f>Sheet1!D1222</f>
        <v>258.3</v>
      </c>
      <c r="E1222" s="6">
        <f>Sheet1!E1222</f>
        <v>250.15</v>
      </c>
      <c r="F1222" s="6">
        <f>Sheet1!F1222</f>
        <v>254.5</v>
      </c>
      <c r="H1222" s="6">
        <f ca="1">IF(ROW($H1222)-1&lt;$I$1,$F1222,AVERAGE($F1222:OFFSET($F1222,(($I$1-1)*-1),0)))</f>
        <v>248.93333333333337</v>
      </c>
      <c r="J1222" s="6">
        <f ca="1">IF(ROW($J1222)-1&lt;$K$1,$F1222,AVERAGE($F1222:OFFSET($F1222,(($K$1-1)*-1),0)))</f>
        <v>253.15714285714284</v>
      </c>
      <c r="L1222" s="7">
        <f t="shared" ca="1" si="114"/>
        <v>-1</v>
      </c>
      <c r="M1222" s="7" t="str">
        <f t="shared" ca="1" si="115"/>
        <v/>
      </c>
      <c r="N1222" s="6" t="str">
        <f t="shared" ca="1" si="116"/>
        <v/>
      </c>
      <c r="O1222" s="6">
        <f t="shared" si="117"/>
        <v>2.8000000000000114</v>
      </c>
      <c r="Q1222" s="6">
        <v>-7.5999999999999943</v>
      </c>
      <c r="R1222" s="9">
        <f t="shared" si="118"/>
        <v>-2849.9999999999977</v>
      </c>
      <c r="S1222" s="7">
        <f t="shared" si="113"/>
        <v>-2437.4999999999691</v>
      </c>
    </row>
    <row r="1223" spans="1:19" x14ac:dyDescent="0.25">
      <c r="A1223" s="4">
        <f>Sheet1!A1223</f>
        <v>40855</v>
      </c>
      <c r="B1223" s="5">
        <f>Sheet1!B1223</f>
        <v>0.58333333333333337</v>
      </c>
      <c r="C1223" s="6">
        <f>Sheet1!C1223</f>
        <v>256.39999999999998</v>
      </c>
      <c r="D1223" s="6">
        <f>Sheet1!D1223</f>
        <v>258.8</v>
      </c>
      <c r="E1223" s="6">
        <f>Sheet1!E1223</f>
        <v>250.2</v>
      </c>
      <c r="F1223" s="6">
        <f>Sheet1!F1223</f>
        <v>251.1</v>
      </c>
      <c r="H1223" s="6">
        <f ca="1">IF(ROW($H1223)-1&lt;$I$1,$F1223,AVERAGE($F1223:OFFSET($F1223,(($I$1-1)*-1),0)))</f>
        <v>249.375</v>
      </c>
      <c r="J1223" s="6">
        <f ca="1">IF(ROW($J1223)-1&lt;$K$1,$F1223,AVERAGE($F1223:OFFSET($F1223,(($K$1-1)*-1),0)))</f>
        <v>253.10178571428574</v>
      </c>
      <c r="L1223" s="7">
        <f t="shared" ca="1" si="114"/>
        <v>-1</v>
      </c>
      <c r="M1223" s="7" t="str">
        <f t="shared" ca="1" si="115"/>
        <v/>
      </c>
      <c r="N1223" s="6" t="str">
        <f t="shared" ca="1" si="116"/>
        <v/>
      </c>
      <c r="O1223" s="6">
        <f t="shared" si="117"/>
        <v>-3.4000000000000057</v>
      </c>
      <c r="Q1223" s="6">
        <v>-4.1999999999999886</v>
      </c>
      <c r="R1223" s="9">
        <f t="shared" si="118"/>
        <v>-1574.9999999999957</v>
      </c>
      <c r="S1223" s="7">
        <f t="shared" si="113"/>
        <v>-2437.4999999999691</v>
      </c>
    </row>
    <row r="1224" spans="1:19" x14ac:dyDescent="0.25">
      <c r="A1224" s="4">
        <f>Sheet1!A1224</f>
        <v>40856</v>
      </c>
      <c r="B1224" s="5">
        <f>Sheet1!B1224</f>
        <v>0.58333333333333337</v>
      </c>
      <c r="C1224" s="6">
        <f>Sheet1!C1224</f>
        <v>251.9</v>
      </c>
      <c r="D1224" s="6">
        <f>Sheet1!D1224</f>
        <v>252.95</v>
      </c>
      <c r="E1224" s="6">
        <f>Sheet1!E1224</f>
        <v>248.45</v>
      </c>
      <c r="F1224" s="6">
        <f>Sheet1!F1224</f>
        <v>251.7</v>
      </c>
      <c r="H1224" s="6">
        <f ca="1">IF(ROW($H1224)-1&lt;$I$1,$F1224,AVERAGE($F1224:OFFSET($F1224,(($I$1-1)*-1),0)))</f>
        <v>250.46666666666667</v>
      </c>
      <c r="J1224" s="6">
        <f ca="1">IF(ROW($J1224)-1&lt;$K$1,$F1224,AVERAGE($F1224:OFFSET($F1224,(($K$1-1)*-1),0)))</f>
        <v>253.14821428571426</v>
      </c>
      <c r="L1224" s="7">
        <f t="shared" ca="1" si="114"/>
        <v>-1</v>
      </c>
      <c r="M1224" s="7" t="str">
        <f t="shared" ca="1" si="115"/>
        <v/>
      </c>
      <c r="N1224" s="6" t="str">
        <f t="shared" ca="1" si="116"/>
        <v/>
      </c>
      <c r="O1224" s="6">
        <f t="shared" si="117"/>
        <v>0.59999999999999432</v>
      </c>
      <c r="Q1224" s="6">
        <v>-4.7999999999999829</v>
      </c>
      <c r="R1224" s="9">
        <f t="shared" si="118"/>
        <v>-1799.9999999999936</v>
      </c>
      <c r="S1224" s="7">
        <f t="shared" si="113"/>
        <v>-2437.4999999999691</v>
      </c>
    </row>
    <row r="1225" spans="1:19" x14ac:dyDescent="0.25">
      <c r="A1225" s="4">
        <f>Sheet1!A1225</f>
        <v>40857</v>
      </c>
      <c r="B1225" s="5">
        <f>Sheet1!B1225</f>
        <v>0.58333333333333337</v>
      </c>
      <c r="C1225" s="6">
        <f>Sheet1!C1225</f>
        <v>250.55</v>
      </c>
      <c r="D1225" s="6">
        <f>Sheet1!D1225</f>
        <v>254.3</v>
      </c>
      <c r="E1225" s="6">
        <f>Sheet1!E1225</f>
        <v>249.25</v>
      </c>
      <c r="F1225" s="6">
        <f>Sheet1!F1225</f>
        <v>251.5</v>
      </c>
      <c r="H1225" s="6">
        <f ca="1">IF(ROW($H1225)-1&lt;$I$1,$F1225,AVERAGE($F1225:OFFSET($F1225,(($I$1-1)*-1),0)))</f>
        <v>251.46666666666667</v>
      </c>
      <c r="J1225" s="6">
        <f ca="1">IF(ROW($J1225)-1&lt;$K$1,$F1225,AVERAGE($F1225:OFFSET($F1225,(($K$1-1)*-1),0)))</f>
        <v>253.3821428571429</v>
      </c>
      <c r="L1225" s="7">
        <f t="shared" ca="1" si="114"/>
        <v>-1</v>
      </c>
      <c r="M1225" s="7" t="str">
        <f t="shared" ca="1" si="115"/>
        <v/>
      </c>
      <c r="N1225" s="6" t="str">
        <f t="shared" ca="1" si="116"/>
        <v/>
      </c>
      <c r="O1225" s="6">
        <f t="shared" si="117"/>
        <v>-0.19999999999998863</v>
      </c>
      <c r="Q1225" s="6">
        <v>-4.5999999999999943</v>
      </c>
      <c r="R1225" s="9">
        <f t="shared" si="118"/>
        <v>-1724.999999999998</v>
      </c>
      <c r="S1225" s="7">
        <f t="shared" si="113"/>
        <v>-2437.4999999999691</v>
      </c>
    </row>
    <row r="1226" spans="1:19" x14ac:dyDescent="0.25">
      <c r="A1226" s="4">
        <f>Sheet1!A1226</f>
        <v>40858</v>
      </c>
      <c r="B1226" s="5">
        <f>Sheet1!B1226</f>
        <v>0.58333333333333337</v>
      </c>
      <c r="C1226" s="6">
        <f>Sheet1!C1226</f>
        <v>252.15</v>
      </c>
      <c r="D1226" s="6">
        <f>Sheet1!D1226</f>
        <v>256.45</v>
      </c>
      <c r="E1226" s="6">
        <f>Sheet1!E1226</f>
        <v>251.1</v>
      </c>
      <c r="F1226" s="6">
        <f>Sheet1!F1226</f>
        <v>255.4</v>
      </c>
      <c r="H1226" s="6">
        <f ca="1">IF(ROW($H1226)-1&lt;$I$1,$F1226,AVERAGE($F1226:OFFSET($F1226,(($I$1-1)*-1),0)))</f>
        <v>252.65</v>
      </c>
      <c r="J1226" s="6">
        <f ca="1">IF(ROW($J1226)-1&lt;$K$1,$F1226,AVERAGE($F1226:OFFSET($F1226,(($K$1-1)*-1),0)))</f>
        <v>253.64464285714283</v>
      </c>
      <c r="L1226" s="7">
        <f t="shared" ca="1" si="114"/>
        <v>-1</v>
      </c>
      <c r="M1226" s="7" t="str">
        <f t="shared" ca="1" si="115"/>
        <v/>
      </c>
      <c r="N1226" s="6" t="str">
        <f t="shared" ca="1" si="116"/>
        <v/>
      </c>
      <c r="O1226" s="6">
        <f t="shared" si="117"/>
        <v>3.9000000000000057</v>
      </c>
      <c r="Q1226" s="6">
        <v>-8.5</v>
      </c>
      <c r="R1226" s="9">
        <f t="shared" si="118"/>
        <v>-3187.5</v>
      </c>
      <c r="S1226" s="7">
        <f t="shared" si="113"/>
        <v>-2437.4999999999691</v>
      </c>
    </row>
    <row r="1227" spans="1:19" x14ac:dyDescent="0.25">
      <c r="A1227" s="4">
        <f>Sheet1!A1227</f>
        <v>40861</v>
      </c>
      <c r="B1227" s="5">
        <f>Sheet1!B1227</f>
        <v>0.58333333333333337</v>
      </c>
      <c r="C1227" s="6">
        <f>Sheet1!C1227</f>
        <v>257.10000000000002</v>
      </c>
      <c r="D1227" s="6">
        <f>Sheet1!D1227</f>
        <v>259.60000000000002</v>
      </c>
      <c r="E1227" s="6">
        <f>Sheet1!E1227</f>
        <v>249.1</v>
      </c>
      <c r="F1227" s="6">
        <f>Sheet1!F1227</f>
        <v>252.25</v>
      </c>
      <c r="H1227" s="6">
        <f ca="1">IF(ROW($H1227)-1&lt;$I$1,$F1227,AVERAGE($F1227:OFFSET($F1227,(($I$1-1)*-1),0)))</f>
        <v>252.74166666666667</v>
      </c>
      <c r="J1227" s="6">
        <f ca="1">IF(ROW($J1227)-1&lt;$K$1,$F1227,AVERAGE($F1227:OFFSET($F1227,(($K$1-1)*-1),0)))</f>
        <v>253.75357142857138</v>
      </c>
      <c r="L1227" s="7">
        <f t="shared" ca="1" si="114"/>
        <v>-1</v>
      </c>
      <c r="M1227" s="7" t="str">
        <f t="shared" ca="1" si="115"/>
        <v/>
      </c>
      <c r="N1227" s="6" t="str">
        <f t="shared" ca="1" si="116"/>
        <v/>
      </c>
      <c r="O1227" s="6">
        <f t="shared" si="117"/>
        <v>-3.1500000000000057</v>
      </c>
      <c r="Q1227" s="6">
        <v>-5.3499999999999943</v>
      </c>
      <c r="R1227" s="9">
        <f t="shared" si="118"/>
        <v>-2006.249999999998</v>
      </c>
      <c r="S1227" s="7">
        <f t="shared" si="113"/>
        <v>-2437.4999999999691</v>
      </c>
    </row>
    <row r="1228" spans="1:19" x14ac:dyDescent="0.25">
      <c r="A1228" s="4">
        <f>Sheet1!A1228</f>
        <v>40862</v>
      </c>
      <c r="B1228" s="5">
        <f>Sheet1!B1228</f>
        <v>0.58333333333333337</v>
      </c>
      <c r="C1228" s="6">
        <f>Sheet1!C1228</f>
        <v>253.55</v>
      </c>
      <c r="D1228" s="6">
        <f>Sheet1!D1228</f>
        <v>261.39999999999998</v>
      </c>
      <c r="E1228" s="6">
        <f>Sheet1!E1228</f>
        <v>251.7</v>
      </c>
      <c r="F1228" s="6">
        <f>Sheet1!F1228</f>
        <v>260.8</v>
      </c>
      <c r="H1228" s="6">
        <f ca="1">IF(ROW($H1228)-1&lt;$I$1,$F1228,AVERAGE($F1228:OFFSET($F1228,(($I$1-1)*-1),0)))</f>
        <v>253.79166666666663</v>
      </c>
      <c r="J1228" s="6">
        <f ca="1">IF(ROW($J1228)-1&lt;$K$1,$F1228,AVERAGE($F1228:OFFSET($F1228,(($K$1-1)*-1),0)))</f>
        <v>253.92857142857142</v>
      </c>
      <c r="L1228" s="7">
        <f t="shared" ca="1" si="114"/>
        <v>-1</v>
      </c>
      <c r="M1228" s="7" t="str">
        <f t="shared" ca="1" si="115"/>
        <v/>
      </c>
      <c r="N1228" s="6" t="str">
        <f t="shared" ca="1" si="116"/>
        <v/>
      </c>
      <c r="O1228" s="6">
        <f t="shared" si="117"/>
        <v>8.5500000000000114</v>
      </c>
      <c r="Q1228" s="6">
        <v>-13.900000000000006</v>
      </c>
      <c r="R1228" s="9">
        <f t="shared" si="118"/>
        <v>-5212.5000000000018</v>
      </c>
      <c r="S1228" s="7">
        <f t="shared" si="113"/>
        <v>-2437.4999999999691</v>
      </c>
    </row>
    <row r="1229" spans="1:19" x14ac:dyDescent="0.25">
      <c r="A1229" s="4">
        <f>Sheet1!A1229</f>
        <v>40863</v>
      </c>
      <c r="B1229" s="5">
        <f>Sheet1!B1229</f>
        <v>0.58333333333333337</v>
      </c>
      <c r="C1229" s="6">
        <f>Sheet1!C1229</f>
        <v>258.5</v>
      </c>
      <c r="D1229" s="6">
        <f>Sheet1!D1229</f>
        <v>260.05</v>
      </c>
      <c r="E1229" s="6">
        <f>Sheet1!E1229</f>
        <v>256.39999999999998</v>
      </c>
      <c r="F1229" s="6">
        <f>Sheet1!F1229</f>
        <v>257.14999999999998</v>
      </c>
      <c r="H1229" s="6">
        <f ca="1">IF(ROW($H1229)-1&lt;$I$1,$F1229,AVERAGE($F1229:OFFSET($F1229,(($I$1-1)*-1),0)))</f>
        <v>254.80000000000004</v>
      </c>
      <c r="J1229" s="6">
        <f ca="1">IF(ROW($J1229)-1&lt;$K$1,$F1229,AVERAGE($F1229:OFFSET($F1229,(($K$1-1)*-1),0)))</f>
        <v>254.33214285714283</v>
      </c>
      <c r="L1229" s="7">
        <f t="shared" ca="1" si="114"/>
        <v>1</v>
      </c>
      <c r="M1229" s="7">
        <f t="shared" ca="1" si="115"/>
        <v>1</v>
      </c>
      <c r="N1229" s="6" t="str">
        <f t="shared" ca="1" si="116"/>
        <v/>
      </c>
      <c r="O1229" s="6">
        <f t="shared" si="117"/>
        <v>-3.6500000000000341</v>
      </c>
      <c r="Q1229" s="6">
        <v>-10.249999999999972</v>
      </c>
      <c r="R1229" s="9">
        <f t="shared" si="118"/>
        <v>-3843.7499999999895</v>
      </c>
      <c r="S1229" s="7">
        <f t="shared" si="113"/>
        <v>-2437.4999999999691</v>
      </c>
    </row>
    <row r="1230" spans="1:19" x14ac:dyDescent="0.25">
      <c r="A1230" s="4">
        <f>Sheet1!A1230</f>
        <v>40864</v>
      </c>
      <c r="B1230" s="5">
        <f>Sheet1!B1230</f>
        <v>0.58333333333333337</v>
      </c>
      <c r="C1230" s="6">
        <f>Sheet1!C1230</f>
        <v>256</v>
      </c>
      <c r="D1230" s="6">
        <f>Sheet1!D1230</f>
        <v>257.89999999999998</v>
      </c>
      <c r="E1230" s="6">
        <f>Sheet1!E1230</f>
        <v>253.35</v>
      </c>
      <c r="F1230" s="6">
        <f>Sheet1!F1230</f>
        <v>254.2</v>
      </c>
      <c r="H1230" s="6">
        <f ca="1">IF(ROW($H1230)-1&lt;$I$1,$F1230,AVERAGE($F1230:OFFSET($F1230,(($I$1-1)*-1),0)))</f>
        <v>255.21666666666667</v>
      </c>
      <c r="J1230" s="6">
        <f ca="1">IF(ROW($J1230)-1&lt;$K$1,$F1230,AVERAGE($F1230:OFFSET($F1230,(($K$1-1)*-1),0)))</f>
        <v>254.56071428571428</v>
      </c>
      <c r="L1230" s="7">
        <f t="shared" ca="1" si="114"/>
        <v>1</v>
      </c>
      <c r="M1230" s="7" t="str">
        <f t="shared" ca="1" si="115"/>
        <v/>
      </c>
      <c r="N1230" s="6">
        <f t="shared" ca="1" si="116"/>
        <v>256</v>
      </c>
      <c r="O1230" s="6">
        <f t="shared" si="117"/>
        <v>-2.9499999999999886</v>
      </c>
      <c r="P1230" s="6">
        <v>-9.0999999999999943</v>
      </c>
      <c r="Q1230" s="6">
        <v>-1.8000000000000114</v>
      </c>
      <c r="R1230" s="9">
        <f t="shared" si="118"/>
        <v>-675.00000000000432</v>
      </c>
      <c r="S1230" s="7">
        <f t="shared" si="113"/>
        <v>-5849.9999999999673</v>
      </c>
    </row>
    <row r="1231" spans="1:19" x14ac:dyDescent="0.25">
      <c r="A1231" s="4">
        <f>Sheet1!A1231</f>
        <v>40865</v>
      </c>
      <c r="B1231" s="5">
        <f>Sheet1!B1231</f>
        <v>0.58333333333333337</v>
      </c>
      <c r="C1231" s="6">
        <f>Sheet1!C1231</f>
        <v>253.55</v>
      </c>
      <c r="D1231" s="6">
        <f>Sheet1!D1231</f>
        <v>258.39999999999998</v>
      </c>
      <c r="E1231" s="6">
        <f>Sheet1!E1231</f>
        <v>253.55</v>
      </c>
      <c r="F1231" s="6">
        <f>Sheet1!F1231</f>
        <v>256.95</v>
      </c>
      <c r="H1231" s="6">
        <f ca="1">IF(ROW($H1231)-1&lt;$I$1,$F1231,AVERAGE($F1231:OFFSET($F1231,(($I$1-1)*-1),0)))</f>
        <v>256.125</v>
      </c>
      <c r="J1231" s="6">
        <f ca="1">IF(ROW($J1231)-1&lt;$K$1,$F1231,AVERAGE($F1231:OFFSET($F1231,(($K$1-1)*-1),0)))</f>
        <v>254.99107142857139</v>
      </c>
      <c r="L1231" s="7">
        <f t="shared" ca="1" si="114"/>
        <v>1</v>
      </c>
      <c r="M1231" s="7" t="str">
        <f t="shared" ca="1" si="115"/>
        <v/>
      </c>
      <c r="N1231" s="6" t="str">
        <f t="shared" ca="1" si="116"/>
        <v/>
      </c>
      <c r="O1231" s="6">
        <f t="shared" si="117"/>
        <v>2.75</v>
      </c>
      <c r="Q1231" s="6">
        <v>0.94999999999998863</v>
      </c>
      <c r="R1231" s="9">
        <f t="shared" si="118"/>
        <v>356.24999999999574</v>
      </c>
      <c r="S1231" s="7">
        <f t="shared" si="113"/>
        <v>-5849.9999999999673</v>
      </c>
    </row>
    <row r="1232" spans="1:19" x14ac:dyDescent="0.25">
      <c r="A1232" s="4">
        <f>Sheet1!A1232</f>
        <v>40868</v>
      </c>
      <c r="B1232" s="5">
        <f>Sheet1!B1232</f>
        <v>0.58333333333333337</v>
      </c>
      <c r="C1232" s="6">
        <f>Sheet1!C1232</f>
        <v>256.35000000000002</v>
      </c>
      <c r="D1232" s="6">
        <f>Sheet1!D1232</f>
        <v>256.64999999999998</v>
      </c>
      <c r="E1232" s="6">
        <f>Sheet1!E1232</f>
        <v>254.2</v>
      </c>
      <c r="F1232" s="6">
        <f>Sheet1!F1232</f>
        <v>255.1</v>
      </c>
      <c r="H1232" s="6">
        <f ca="1">IF(ROW($H1232)-1&lt;$I$1,$F1232,AVERAGE($F1232:OFFSET($F1232,(($I$1-1)*-1),0)))</f>
        <v>256.07499999999999</v>
      </c>
      <c r="J1232" s="6">
        <f ca="1">IF(ROW($J1232)-1&lt;$K$1,$F1232,AVERAGE($F1232:OFFSET($F1232,(($K$1-1)*-1),0)))</f>
        <v>255.13928571428571</v>
      </c>
      <c r="L1232" s="7">
        <f t="shared" ca="1" si="114"/>
        <v>1</v>
      </c>
      <c r="M1232" s="7" t="str">
        <f t="shared" ca="1" si="115"/>
        <v/>
      </c>
      <c r="N1232" s="6" t="str">
        <f t="shared" ca="1" si="116"/>
        <v/>
      </c>
      <c r="O1232" s="6">
        <f t="shared" si="117"/>
        <v>-1.8499999999999943</v>
      </c>
      <c r="Q1232" s="6">
        <v>-0.90000000000000568</v>
      </c>
      <c r="R1232" s="9">
        <f t="shared" si="118"/>
        <v>-337.50000000000216</v>
      </c>
      <c r="S1232" s="7">
        <f t="shared" ref="S1232:S1295" si="119">S1231+(P1232*375)</f>
        <v>-5849.9999999999673</v>
      </c>
    </row>
    <row r="1233" spans="1:19" x14ac:dyDescent="0.25">
      <c r="A1233" s="4">
        <f>Sheet1!A1233</f>
        <v>40869</v>
      </c>
      <c r="B1233" s="5">
        <f>Sheet1!B1233</f>
        <v>0.58333333333333337</v>
      </c>
      <c r="C1233" s="6">
        <f>Sheet1!C1233</f>
        <v>255.2</v>
      </c>
      <c r="D1233" s="6">
        <f>Sheet1!D1233</f>
        <v>256</v>
      </c>
      <c r="E1233" s="6">
        <f>Sheet1!E1233</f>
        <v>252.7</v>
      </c>
      <c r="F1233" s="6">
        <f>Sheet1!F1233</f>
        <v>255</v>
      </c>
      <c r="H1233" s="6">
        <f ca="1">IF(ROW($H1233)-1&lt;$I$1,$F1233,AVERAGE($F1233:OFFSET($F1233,(($I$1-1)*-1),0)))</f>
        <v>256.53333333333336</v>
      </c>
      <c r="J1233" s="6">
        <f ca="1">IF(ROW($J1233)-1&lt;$K$1,$F1233,AVERAGE($F1233:OFFSET($F1233,(($K$1-1)*-1),0)))</f>
        <v>254.99107142857139</v>
      </c>
      <c r="L1233" s="7">
        <f t="shared" ca="1" si="114"/>
        <v>1</v>
      </c>
      <c r="M1233" s="7" t="str">
        <f t="shared" ca="1" si="115"/>
        <v/>
      </c>
      <c r="N1233" s="6" t="str">
        <f t="shared" ca="1" si="116"/>
        <v/>
      </c>
      <c r="O1233" s="6">
        <f t="shared" si="117"/>
        <v>-9.9999999999994316E-2</v>
      </c>
      <c r="Q1233" s="6">
        <v>-1</v>
      </c>
      <c r="R1233" s="9">
        <f t="shared" si="118"/>
        <v>-375</v>
      </c>
      <c r="S1233" s="7">
        <f t="shared" si="119"/>
        <v>-5849.9999999999673</v>
      </c>
    </row>
    <row r="1234" spans="1:19" x14ac:dyDescent="0.25">
      <c r="A1234" s="4">
        <f>Sheet1!A1234</f>
        <v>40870</v>
      </c>
      <c r="B1234" s="5">
        <f>Sheet1!B1234</f>
        <v>0.58333333333333337</v>
      </c>
      <c r="C1234" s="6">
        <f>Sheet1!C1234</f>
        <v>253.9</v>
      </c>
      <c r="D1234" s="6">
        <f>Sheet1!D1234</f>
        <v>258.60000000000002</v>
      </c>
      <c r="E1234" s="6">
        <f>Sheet1!E1234</f>
        <v>252.85</v>
      </c>
      <c r="F1234" s="6">
        <f>Sheet1!F1234</f>
        <v>253.5</v>
      </c>
      <c r="H1234" s="6">
        <f ca="1">IF(ROW($H1234)-1&lt;$I$1,$F1234,AVERAGE($F1234:OFFSET($F1234,(($I$1-1)*-1),0)))</f>
        <v>255.31666666666669</v>
      </c>
      <c r="J1234" s="6">
        <f ca="1">IF(ROW($J1234)-1&lt;$K$1,$F1234,AVERAGE($F1234:OFFSET($F1234,(($K$1-1)*-1),0)))</f>
        <v>254.72142857142853</v>
      </c>
      <c r="L1234" s="7">
        <f t="shared" ca="1" si="114"/>
        <v>1</v>
      </c>
      <c r="M1234" s="7" t="str">
        <f t="shared" ca="1" si="115"/>
        <v/>
      </c>
      <c r="N1234" s="6" t="str">
        <f t="shared" ca="1" si="116"/>
        <v/>
      </c>
      <c r="O1234" s="6">
        <f t="shared" si="117"/>
        <v>-1.5</v>
      </c>
      <c r="Q1234" s="6">
        <v>-2.5</v>
      </c>
      <c r="R1234" s="9">
        <f t="shared" si="118"/>
        <v>-937.5</v>
      </c>
      <c r="S1234" s="7">
        <f t="shared" si="119"/>
        <v>-5849.9999999999673</v>
      </c>
    </row>
    <row r="1235" spans="1:19" x14ac:dyDescent="0.25">
      <c r="A1235" s="4">
        <f>Sheet1!A1235</f>
        <v>40872</v>
      </c>
      <c r="B1235" s="5">
        <f>Sheet1!B1235</f>
        <v>0.58333333333333337</v>
      </c>
      <c r="C1235" s="6">
        <f>Sheet1!C1235</f>
        <v>253.5</v>
      </c>
      <c r="D1235" s="6">
        <f>Sheet1!D1235</f>
        <v>254.45</v>
      </c>
      <c r="E1235" s="6">
        <f>Sheet1!E1235</f>
        <v>250.2</v>
      </c>
      <c r="F1235" s="6">
        <f>Sheet1!F1235</f>
        <v>250.65</v>
      </c>
      <c r="H1235" s="6">
        <f ca="1">IF(ROW($H1235)-1&lt;$I$1,$F1235,AVERAGE($F1235:OFFSET($F1235,(($I$1-1)*-1),0)))</f>
        <v>254.23333333333335</v>
      </c>
      <c r="J1235" s="6">
        <f ca="1">IF(ROW($J1235)-1&lt;$K$1,$F1235,AVERAGE($F1235:OFFSET($F1235,(($K$1-1)*-1),0)))</f>
        <v>254.54821428571427</v>
      </c>
      <c r="L1235" s="7">
        <f t="shared" ca="1" si="114"/>
        <v>-1</v>
      </c>
      <c r="M1235" s="7">
        <f t="shared" ca="1" si="115"/>
        <v>-1</v>
      </c>
      <c r="N1235" s="6" t="str">
        <f t="shared" ca="1" si="116"/>
        <v/>
      </c>
      <c r="O1235" s="6">
        <f t="shared" si="117"/>
        <v>-2.8499999999999943</v>
      </c>
      <c r="Q1235" s="6">
        <v>-5.3499999999999943</v>
      </c>
      <c r="R1235" s="9">
        <f t="shared" si="118"/>
        <v>-2006.249999999998</v>
      </c>
      <c r="S1235" s="7">
        <f t="shared" si="119"/>
        <v>-5849.9999999999673</v>
      </c>
    </row>
    <row r="1236" spans="1:19" x14ac:dyDescent="0.25">
      <c r="A1236" s="4">
        <f>Sheet1!A1236</f>
        <v>40875</v>
      </c>
      <c r="B1236" s="5">
        <f>Sheet1!B1236</f>
        <v>0.58333333333333337</v>
      </c>
      <c r="C1236" s="6">
        <f>Sheet1!C1236</f>
        <v>250.65</v>
      </c>
      <c r="D1236" s="6">
        <f>Sheet1!D1236</f>
        <v>256.5</v>
      </c>
      <c r="E1236" s="6">
        <f>Sheet1!E1236</f>
        <v>245.45</v>
      </c>
      <c r="F1236" s="6">
        <f>Sheet1!F1236</f>
        <v>245.9</v>
      </c>
      <c r="H1236" s="6">
        <f ca="1">IF(ROW($H1236)-1&lt;$I$1,$F1236,AVERAGE($F1236:OFFSET($F1236,(($I$1-1)*-1),0)))</f>
        <v>252.85000000000002</v>
      </c>
      <c r="J1236" s="6">
        <f ca="1">IF(ROW($J1236)-1&lt;$K$1,$F1236,AVERAGE($F1236:OFFSET($F1236,(($K$1-1)*-1),0)))</f>
        <v>254.29464285714283</v>
      </c>
      <c r="L1236" s="7">
        <f t="shared" ca="1" si="114"/>
        <v>-1</v>
      </c>
      <c r="M1236" s="7" t="str">
        <f t="shared" ca="1" si="115"/>
        <v/>
      </c>
      <c r="N1236" s="6">
        <f t="shared" ca="1" si="116"/>
        <v>250.65</v>
      </c>
      <c r="O1236" s="6">
        <f t="shared" si="117"/>
        <v>-4.75</v>
      </c>
      <c r="P1236" s="6">
        <v>-5.3499999999999943</v>
      </c>
      <c r="Q1236" s="6">
        <v>4.75</v>
      </c>
      <c r="R1236" s="9">
        <f t="shared" si="118"/>
        <v>1781.25</v>
      </c>
      <c r="S1236" s="7">
        <f t="shared" si="119"/>
        <v>-7856.2499999999654</v>
      </c>
    </row>
    <row r="1237" spans="1:19" x14ac:dyDescent="0.25">
      <c r="A1237" s="4">
        <f>Sheet1!A1237</f>
        <v>40876</v>
      </c>
      <c r="B1237" s="5">
        <f>Sheet1!B1237</f>
        <v>0.58333333333333337</v>
      </c>
      <c r="C1237" s="6">
        <f>Sheet1!C1237</f>
        <v>246.6</v>
      </c>
      <c r="D1237" s="6">
        <f>Sheet1!D1237</f>
        <v>250.15</v>
      </c>
      <c r="E1237" s="6">
        <f>Sheet1!E1237</f>
        <v>245.4</v>
      </c>
      <c r="F1237" s="6">
        <f>Sheet1!F1237</f>
        <v>245.65</v>
      </c>
      <c r="H1237" s="6">
        <f ca="1">IF(ROW($H1237)-1&lt;$I$1,$F1237,AVERAGE($F1237:OFFSET($F1237,(($I$1-1)*-1),0)))</f>
        <v>250.9666666666667</v>
      </c>
      <c r="J1237" s="6">
        <f ca="1">IF(ROW($J1237)-1&lt;$K$1,$F1237,AVERAGE($F1237:OFFSET($F1237,(($K$1-1)*-1),0)))</f>
        <v>253.86607142857136</v>
      </c>
      <c r="L1237" s="7">
        <f t="shared" ca="1" si="114"/>
        <v>-1</v>
      </c>
      <c r="M1237" s="7" t="str">
        <f t="shared" ca="1" si="115"/>
        <v/>
      </c>
      <c r="N1237" s="6" t="str">
        <f t="shared" ca="1" si="116"/>
        <v/>
      </c>
      <c r="O1237" s="6">
        <f t="shared" si="117"/>
        <v>-0.25</v>
      </c>
      <c r="Q1237" s="6">
        <v>5</v>
      </c>
      <c r="R1237" s="9">
        <f t="shared" si="118"/>
        <v>1875</v>
      </c>
      <c r="S1237" s="7">
        <f t="shared" si="119"/>
        <v>-7856.2499999999654</v>
      </c>
    </row>
    <row r="1238" spans="1:19" x14ac:dyDescent="0.25">
      <c r="A1238" s="4">
        <f>Sheet1!A1238</f>
        <v>40877</v>
      </c>
      <c r="B1238" s="5">
        <f>Sheet1!B1238</f>
        <v>0.58333333333333337</v>
      </c>
      <c r="C1238" s="6">
        <f>Sheet1!C1238</f>
        <v>245.25</v>
      </c>
      <c r="D1238" s="6">
        <f>Sheet1!D1238</f>
        <v>255.65</v>
      </c>
      <c r="E1238" s="6">
        <f>Sheet1!E1238</f>
        <v>244.85</v>
      </c>
      <c r="F1238" s="6">
        <f>Sheet1!F1238</f>
        <v>255</v>
      </c>
      <c r="H1238" s="6">
        <f ca="1">IF(ROW($H1238)-1&lt;$I$1,$F1238,AVERAGE($F1238:OFFSET($F1238,(($I$1-1)*-1),0)))</f>
        <v>250.95000000000002</v>
      </c>
      <c r="J1238" s="6">
        <f ca="1">IF(ROW($J1238)-1&lt;$K$1,$F1238,AVERAGE($F1238:OFFSET($F1238,(($K$1-1)*-1),0)))</f>
        <v>253.93214285714279</v>
      </c>
      <c r="L1238" s="7">
        <f t="shared" ca="1" si="114"/>
        <v>-1</v>
      </c>
      <c r="M1238" s="7" t="str">
        <f t="shared" ca="1" si="115"/>
        <v/>
      </c>
      <c r="N1238" s="6" t="str">
        <f t="shared" ca="1" si="116"/>
        <v/>
      </c>
      <c r="O1238" s="6">
        <f t="shared" si="117"/>
        <v>9.3499999999999943</v>
      </c>
      <c r="Q1238" s="6">
        <v>-4.3499999999999943</v>
      </c>
      <c r="R1238" s="9">
        <f t="shared" si="118"/>
        <v>-1631.249999999998</v>
      </c>
      <c r="S1238" s="7">
        <f t="shared" si="119"/>
        <v>-7856.2499999999654</v>
      </c>
    </row>
    <row r="1239" spans="1:19" x14ac:dyDescent="0.25">
      <c r="A1239" s="4">
        <f>Sheet1!A1239</f>
        <v>40878</v>
      </c>
      <c r="B1239" s="5">
        <f>Sheet1!B1239</f>
        <v>0.58333333333333337</v>
      </c>
      <c r="C1239" s="6">
        <f>Sheet1!C1239</f>
        <v>254.2</v>
      </c>
      <c r="D1239" s="6">
        <f>Sheet1!D1239</f>
        <v>257.05</v>
      </c>
      <c r="E1239" s="6">
        <f>Sheet1!E1239</f>
        <v>251.7</v>
      </c>
      <c r="F1239" s="6">
        <f>Sheet1!F1239</f>
        <v>253.8</v>
      </c>
      <c r="H1239" s="6">
        <f ca="1">IF(ROW($H1239)-1&lt;$I$1,$F1239,AVERAGE($F1239:OFFSET($F1239,(($I$1-1)*-1),0)))</f>
        <v>250.74999999999997</v>
      </c>
      <c r="J1239" s="6">
        <f ca="1">IF(ROW($J1239)-1&lt;$K$1,$F1239,AVERAGE($F1239:OFFSET($F1239,(($K$1-1)*-1),0)))</f>
        <v>253.48392857142852</v>
      </c>
      <c r="L1239" s="7">
        <f t="shared" ca="1" si="114"/>
        <v>-1</v>
      </c>
      <c r="M1239" s="7" t="str">
        <f t="shared" ca="1" si="115"/>
        <v/>
      </c>
      <c r="N1239" s="6" t="str">
        <f t="shared" ca="1" si="116"/>
        <v/>
      </c>
      <c r="O1239" s="6">
        <f t="shared" si="117"/>
        <v>-1.1999999999999886</v>
      </c>
      <c r="Q1239" s="6">
        <v>-3.1500000000000057</v>
      </c>
      <c r="R1239" s="9">
        <f t="shared" si="118"/>
        <v>-1181.250000000002</v>
      </c>
      <c r="S1239" s="7">
        <f t="shared" si="119"/>
        <v>-7856.2499999999654</v>
      </c>
    </row>
    <row r="1240" spans="1:19" x14ac:dyDescent="0.25">
      <c r="A1240" s="4">
        <f>Sheet1!A1240</f>
        <v>40879</v>
      </c>
      <c r="B1240" s="5">
        <f>Sheet1!B1240</f>
        <v>0.58333333333333337</v>
      </c>
      <c r="C1240" s="6">
        <f>Sheet1!C1240</f>
        <v>253.8</v>
      </c>
      <c r="D1240" s="6">
        <f>Sheet1!D1240</f>
        <v>256.5</v>
      </c>
      <c r="E1240" s="6">
        <f>Sheet1!E1240</f>
        <v>243.6</v>
      </c>
      <c r="F1240" s="6">
        <f>Sheet1!F1240</f>
        <v>247.65</v>
      </c>
      <c r="H1240" s="6">
        <f ca="1">IF(ROW($H1240)-1&lt;$I$1,$F1240,AVERAGE($F1240:OFFSET($F1240,(($I$1-1)*-1),0)))</f>
        <v>249.77500000000001</v>
      </c>
      <c r="J1240" s="6">
        <f ca="1">IF(ROW($J1240)-1&lt;$K$1,$F1240,AVERAGE($F1240:OFFSET($F1240,(($K$1-1)*-1),0)))</f>
        <v>252.60357142857137</v>
      </c>
      <c r="L1240" s="7">
        <f t="shared" ca="1" si="114"/>
        <v>-1</v>
      </c>
      <c r="M1240" s="7" t="str">
        <f t="shared" ca="1" si="115"/>
        <v/>
      </c>
      <c r="N1240" s="6" t="str">
        <f t="shared" ca="1" si="116"/>
        <v/>
      </c>
      <c r="O1240" s="6">
        <f t="shared" si="117"/>
        <v>-6.1500000000000057</v>
      </c>
      <c r="Q1240" s="6">
        <v>3</v>
      </c>
      <c r="R1240" s="9">
        <f t="shared" si="118"/>
        <v>1125</v>
      </c>
      <c r="S1240" s="7">
        <f t="shared" si="119"/>
        <v>-7856.2499999999654</v>
      </c>
    </row>
    <row r="1241" spans="1:19" x14ac:dyDescent="0.25">
      <c r="A1241" s="4">
        <f>Sheet1!A1241</f>
        <v>40882</v>
      </c>
      <c r="B1241" s="5">
        <f>Sheet1!B1241</f>
        <v>0.58333333333333337</v>
      </c>
      <c r="C1241" s="6">
        <f>Sheet1!C1241</f>
        <v>248.05</v>
      </c>
      <c r="D1241" s="6">
        <f>Sheet1!D1241</f>
        <v>255.8</v>
      </c>
      <c r="E1241" s="6">
        <f>Sheet1!E1241</f>
        <v>247.85</v>
      </c>
      <c r="F1241" s="6">
        <f>Sheet1!F1241</f>
        <v>254.5</v>
      </c>
      <c r="H1241" s="6">
        <f ca="1">IF(ROW($H1241)-1&lt;$I$1,$F1241,AVERAGE($F1241:OFFSET($F1241,(($I$1-1)*-1),0)))</f>
        <v>250.41666666666666</v>
      </c>
      <c r="J1241" s="6">
        <f ca="1">IF(ROW($J1241)-1&lt;$K$1,$F1241,AVERAGE($F1241:OFFSET($F1241,(($K$1-1)*-1),0)))</f>
        <v>252.47678571428568</v>
      </c>
      <c r="L1241" s="7">
        <f t="shared" ca="1" si="114"/>
        <v>-1</v>
      </c>
      <c r="M1241" s="7" t="str">
        <f t="shared" ca="1" si="115"/>
        <v/>
      </c>
      <c r="N1241" s="6" t="str">
        <f t="shared" ca="1" si="116"/>
        <v/>
      </c>
      <c r="O1241" s="6">
        <f t="shared" si="117"/>
        <v>6.8499999999999943</v>
      </c>
      <c r="Q1241" s="6">
        <v>-3.8499999999999943</v>
      </c>
      <c r="R1241" s="9">
        <f t="shared" si="118"/>
        <v>-1443.749999999998</v>
      </c>
      <c r="S1241" s="7">
        <f t="shared" si="119"/>
        <v>-7856.2499999999654</v>
      </c>
    </row>
    <row r="1242" spans="1:19" x14ac:dyDescent="0.25">
      <c r="A1242" s="4">
        <f>Sheet1!A1242</f>
        <v>40883</v>
      </c>
      <c r="B1242" s="5">
        <f>Sheet1!B1242</f>
        <v>0.58333333333333337</v>
      </c>
      <c r="C1242" s="6">
        <f>Sheet1!C1242</f>
        <v>252.7</v>
      </c>
      <c r="D1242" s="6">
        <f>Sheet1!D1242</f>
        <v>255.4</v>
      </c>
      <c r="E1242" s="6">
        <f>Sheet1!E1242</f>
        <v>250.45</v>
      </c>
      <c r="F1242" s="6">
        <f>Sheet1!F1242</f>
        <v>253.85</v>
      </c>
      <c r="H1242" s="6">
        <f ca="1">IF(ROW($H1242)-1&lt;$I$1,$F1242,AVERAGE($F1242:OFFSET($F1242,(($I$1-1)*-1),0)))</f>
        <v>251.74166666666665</v>
      </c>
      <c r="J1242" s="6">
        <f ca="1">IF(ROW($J1242)-1&lt;$K$1,$F1242,AVERAGE($F1242:OFFSET($F1242,(($K$1-1)*-1),0)))</f>
        <v>252.42857142857139</v>
      </c>
      <c r="L1242" s="7">
        <f t="shared" ca="1" si="114"/>
        <v>-1</v>
      </c>
      <c r="M1242" s="7" t="str">
        <f t="shared" ca="1" si="115"/>
        <v/>
      </c>
      <c r="N1242" s="6" t="str">
        <f t="shared" ca="1" si="116"/>
        <v/>
      </c>
      <c r="O1242" s="6">
        <f t="shared" si="117"/>
        <v>-0.65000000000000568</v>
      </c>
      <c r="Q1242" s="6">
        <v>-3.1999999999999886</v>
      </c>
      <c r="R1242" s="9">
        <f t="shared" si="118"/>
        <v>-1199.9999999999957</v>
      </c>
      <c r="S1242" s="7">
        <f t="shared" si="119"/>
        <v>-7856.2499999999654</v>
      </c>
    </row>
    <row r="1243" spans="1:19" x14ac:dyDescent="0.25">
      <c r="A1243" s="4">
        <f>Sheet1!A1243</f>
        <v>40884</v>
      </c>
      <c r="B1243" s="5">
        <f>Sheet1!B1243</f>
        <v>0.58333333333333337</v>
      </c>
      <c r="C1243" s="6">
        <f>Sheet1!C1243</f>
        <v>254.05</v>
      </c>
      <c r="D1243" s="6">
        <f>Sheet1!D1243</f>
        <v>254.35</v>
      </c>
      <c r="E1243" s="6">
        <f>Sheet1!E1243</f>
        <v>247.25</v>
      </c>
      <c r="F1243" s="6">
        <f>Sheet1!F1243</f>
        <v>247.95</v>
      </c>
      <c r="H1243" s="6">
        <f ca="1">IF(ROW($H1243)-1&lt;$I$1,$F1243,AVERAGE($F1243:OFFSET($F1243,(($I$1-1)*-1),0)))</f>
        <v>252.125</v>
      </c>
      <c r="J1243" s="6">
        <f ca="1">IF(ROW($J1243)-1&lt;$K$1,$F1243,AVERAGE($F1243:OFFSET($F1243,(($K$1-1)*-1),0)))</f>
        <v>252.13749999999996</v>
      </c>
      <c r="L1243" s="7">
        <f t="shared" ca="1" si="114"/>
        <v>-1</v>
      </c>
      <c r="M1243" s="7" t="str">
        <f t="shared" ca="1" si="115"/>
        <v/>
      </c>
      <c r="N1243" s="6" t="str">
        <f t="shared" ca="1" si="116"/>
        <v/>
      </c>
      <c r="O1243" s="6">
        <f t="shared" si="117"/>
        <v>-5.9000000000000057</v>
      </c>
      <c r="Q1243" s="6">
        <v>2.7000000000000171</v>
      </c>
      <c r="R1243" s="9">
        <f t="shared" si="118"/>
        <v>1012.5000000000064</v>
      </c>
      <c r="S1243" s="7">
        <f t="shared" si="119"/>
        <v>-7856.2499999999654</v>
      </c>
    </row>
    <row r="1244" spans="1:19" x14ac:dyDescent="0.25">
      <c r="A1244" s="4">
        <f>Sheet1!A1244</f>
        <v>40885</v>
      </c>
      <c r="B1244" s="5">
        <f>Sheet1!B1244</f>
        <v>0.58333333333333337</v>
      </c>
      <c r="C1244" s="6">
        <f>Sheet1!C1244</f>
        <v>248.1</v>
      </c>
      <c r="D1244" s="6">
        <f>Sheet1!D1244</f>
        <v>250.4</v>
      </c>
      <c r="E1244" s="6">
        <f>Sheet1!E1244</f>
        <v>245.3</v>
      </c>
      <c r="F1244" s="6">
        <f>Sheet1!F1244</f>
        <v>246.75</v>
      </c>
      <c r="H1244" s="6">
        <f ca="1">IF(ROW($H1244)-1&lt;$I$1,$F1244,AVERAGE($F1244:OFFSET($F1244,(($I$1-1)*-1),0)))</f>
        <v>250.75</v>
      </c>
      <c r="J1244" s="6">
        <f ca="1">IF(ROW($J1244)-1&lt;$K$1,$F1244,AVERAGE($F1244:OFFSET($F1244,(($K$1-1)*-1),0)))</f>
        <v>251.78392857142853</v>
      </c>
      <c r="L1244" s="7">
        <f t="shared" ca="1" si="114"/>
        <v>-1</v>
      </c>
      <c r="M1244" s="7" t="str">
        <f t="shared" ca="1" si="115"/>
        <v/>
      </c>
      <c r="N1244" s="6" t="str">
        <f t="shared" ca="1" si="116"/>
        <v/>
      </c>
      <c r="O1244" s="6">
        <f t="shared" si="117"/>
        <v>-1.1999999999999886</v>
      </c>
      <c r="Q1244" s="6">
        <v>3.9000000000000057</v>
      </c>
      <c r="R1244" s="9">
        <f t="shared" si="118"/>
        <v>1462.500000000002</v>
      </c>
      <c r="S1244" s="7">
        <f t="shared" si="119"/>
        <v>-7856.2499999999654</v>
      </c>
    </row>
    <row r="1245" spans="1:19" x14ac:dyDescent="0.25">
      <c r="A1245" s="4">
        <f>Sheet1!A1245</f>
        <v>40886</v>
      </c>
      <c r="B1245" s="5">
        <f>Sheet1!B1245</f>
        <v>0.58333333333333337</v>
      </c>
      <c r="C1245" s="6">
        <f>Sheet1!C1245</f>
        <v>247.1</v>
      </c>
      <c r="D1245" s="6">
        <f>Sheet1!D1245</f>
        <v>250.1</v>
      </c>
      <c r="E1245" s="6">
        <f>Sheet1!E1245</f>
        <v>243.95</v>
      </c>
      <c r="F1245" s="6">
        <f>Sheet1!F1245</f>
        <v>245.85</v>
      </c>
      <c r="H1245" s="6">
        <f ca="1">IF(ROW($H1245)-1&lt;$I$1,$F1245,AVERAGE($F1245:OFFSET($F1245,(($I$1-1)*-1),0)))</f>
        <v>249.42499999999998</v>
      </c>
      <c r="J1245" s="6">
        <f ca="1">IF(ROW($J1245)-1&lt;$K$1,$F1245,AVERAGE($F1245:OFFSET($F1245,(($K$1-1)*-1),0)))</f>
        <v>251.69107142857138</v>
      </c>
      <c r="L1245" s="7">
        <f t="shared" ca="1" si="114"/>
        <v>-1</v>
      </c>
      <c r="M1245" s="7" t="str">
        <f t="shared" ca="1" si="115"/>
        <v/>
      </c>
      <c r="N1245" s="6" t="str">
        <f t="shared" ca="1" si="116"/>
        <v/>
      </c>
      <c r="O1245" s="6">
        <f t="shared" si="117"/>
        <v>-0.90000000000000568</v>
      </c>
      <c r="Q1245" s="6">
        <v>4.8000000000000114</v>
      </c>
      <c r="R1245" s="9">
        <f t="shared" si="118"/>
        <v>1800.0000000000043</v>
      </c>
      <c r="S1245" s="7">
        <f t="shared" si="119"/>
        <v>-7856.2499999999654</v>
      </c>
    </row>
    <row r="1246" spans="1:19" x14ac:dyDescent="0.25">
      <c r="A1246" s="4">
        <f>Sheet1!A1246</f>
        <v>40889</v>
      </c>
      <c r="B1246" s="5">
        <f>Sheet1!B1246</f>
        <v>0.58333333333333337</v>
      </c>
      <c r="C1246" s="6">
        <f>Sheet1!C1246</f>
        <v>245.25</v>
      </c>
      <c r="D1246" s="6">
        <f>Sheet1!D1246</f>
        <v>245.7</v>
      </c>
      <c r="E1246" s="6">
        <f>Sheet1!E1246</f>
        <v>238.3</v>
      </c>
      <c r="F1246" s="6">
        <f>Sheet1!F1246</f>
        <v>239.15</v>
      </c>
      <c r="H1246" s="6">
        <f ca="1">IF(ROW($H1246)-1&lt;$I$1,$F1246,AVERAGE($F1246:OFFSET($F1246,(($I$1-1)*-1),0)))</f>
        <v>248.00833333333333</v>
      </c>
      <c r="J1246" s="6">
        <f ca="1">IF(ROW($J1246)-1&lt;$K$1,$F1246,AVERAGE($F1246:OFFSET($F1246,(($K$1-1)*-1),0)))</f>
        <v>251.47678571428565</v>
      </c>
      <c r="L1246" s="7">
        <f t="shared" ca="1" si="114"/>
        <v>-1</v>
      </c>
      <c r="M1246" s="7" t="str">
        <f t="shared" ca="1" si="115"/>
        <v/>
      </c>
      <c r="N1246" s="6" t="str">
        <f t="shared" ca="1" si="116"/>
        <v/>
      </c>
      <c r="O1246" s="6">
        <f t="shared" si="117"/>
        <v>-6.6999999999999886</v>
      </c>
      <c r="Q1246" s="6">
        <v>11.5</v>
      </c>
      <c r="R1246" s="9">
        <f t="shared" si="118"/>
        <v>4312.5</v>
      </c>
      <c r="S1246" s="7">
        <f t="shared" si="119"/>
        <v>-7856.2499999999654</v>
      </c>
    </row>
    <row r="1247" spans="1:19" x14ac:dyDescent="0.25">
      <c r="A1247" s="4">
        <f>Sheet1!A1247</f>
        <v>40890</v>
      </c>
      <c r="B1247" s="5">
        <f>Sheet1!B1247</f>
        <v>0.58333333333333337</v>
      </c>
      <c r="C1247" s="6">
        <f>Sheet1!C1247</f>
        <v>239.2</v>
      </c>
      <c r="D1247" s="6">
        <f>Sheet1!D1247</f>
        <v>242.6</v>
      </c>
      <c r="E1247" s="6">
        <f>Sheet1!E1247</f>
        <v>238.7</v>
      </c>
      <c r="F1247" s="6">
        <f>Sheet1!F1247</f>
        <v>241.05</v>
      </c>
      <c r="H1247" s="6">
        <f ca="1">IF(ROW($H1247)-1&lt;$I$1,$F1247,AVERAGE($F1247:OFFSET($F1247,(($I$1-1)*-1),0)))</f>
        <v>245.76666666666665</v>
      </c>
      <c r="J1247" s="6">
        <f ca="1">IF(ROW($J1247)-1&lt;$K$1,$F1247,AVERAGE($F1247:OFFSET($F1247,(($K$1-1)*-1),0)))</f>
        <v>251.31785714285712</v>
      </c>
      <c r="L1247" s="7">
        <f t="shared" ca="1" si="114"/>
        <v>-1</v>
      </c>
      <c r="M1247" s="7" t="str">
        <f t="shared" ca="1" si="115"/>
        <v/>
      </c>
      <c r="N1247" s="6" t="str">
        <f t="shared" ca="1" si="116"/>
        <v/>
      </c>
      <c r="O1247" s="6">
        <f t="shared" si="117"/>
        <v>1.9000000000000057</v>
      </c>
      <c r="Q1247" s="6">
        <v>9.5999999999999943</v>
      </c>
      <c r="R1247" s="9">
        <f t="shared" si="118"/>
        <v>3599.9999999999977</v>
      </c>
      <c r="S1247" s="7">
        <f t="shared" si="119"/>
        <v>-7856.2499999999654</v>
      </c>
    </row>
    <row r="1248" spans="1:19" x14ac:dyDescent="0.25">
      <c r="A1248" s="4">
        <f>Sheet1!A1248</f>
        <v>40891</v>
      </c>
      <c r="B1248" s="5">
        <f>Sheet1!B1248</f>
        <v>0.58333333333333337</v>
      </c>
      <c r="C1248" s="6">
        <f>Sheet1!C1248</f>
        <v>240.4</v>
      </c>
      <c r="D1248" s="6">
        <f>Sheet1!D1248</f>
        <v>241</v>
      </c>
      <c r="E1248" s="6">
        <f>Sheet1!E1248</f>
        <v>235.35</v>
      </c>
      <c r="F1248" s="6">
        <f>Sheet1!F1248</f>
        <v>236.1</v>
      </c>
      <c r="H1248" s="6">
        <f ca="1">IF(ROW($H1248)-1&lt;$I$1,$F1248,AVERAGE($F1248:OFFSET($F1248,(($I$1-1)*-1),0)))</f>
        <v>242.80833333333331</v>
      </c>
      <c r="J1248" s="6">
        <f ca="1">IF(ROW($J1248)-1&lt;$K$1,$F1248,AVERAGE($F1248:OFFSET($F1248,(($K$1-1)*-1),0)))</f>
        <v>250.88214285714284</v>
      </c>
      <c r="L1248" s="7">
        <f t="shared" ca="1" si="114"/>
        <v>-1</v>
      </c>
      <c r="M1248" s="7" t="str">
        <f t="shared" ca="1" si="115"/>
        <v/>
      </c>
      <c r="N1248" s="6" t="str">
        <f t="shared" ca="1" si="116"/>
        <v/>
      </c>
      <c r="O1248" s="6">
        <f t="shared" si="117"/>
        <v>-4.9500000000000171</v>
      </c>
      <c r="Q1248" s="6">
        <v>14.550000000000011</v>
      </c>
      <c r="R1248" s="9">
        <f t="shared" si="118"/>
        <v>5456.2500000000045</v>
      </c>
      <c r="S1248" s="7">
        <f t="shared" si="119"/>
        <v>-7856.2499999999654</v>
      </c>
    </row>
    <row r="1249" spans="1:19" x14ac:dyDescent="0.25">
      <c r="A1249" s="4">
        <f>Sheet1!A1249</f>
        <v>40892</v>
      </c>
      <c r="B1249" s="5">
        <f>Sheet1!B1249</f>
        <v>0.58333333333333337</v>
      </c>
      <c r="C1249" s="6">
        <f>Sheet1!C1249</f>
        <v>237.1</v>
      </c>
      <c r="D1249" s="6">
        <f>Sheet1!D1249</f>
        <v>238.6</v>
      </c>
      <c r="E1249" s="6">
        <f>Sheet1!E1249</f>
        <v>234.65</v>
      </c>
      <c r="F1249" s="6">
        <f>Sheet1!F1249</f>
        <v>235.85</v>
      </c>
      <c r="H1249" s="6">
        <f ca="1">IF(ROW($H1249)-1&lt;$I$1,$F1249,AVERAGE($F1249:OFFSET($F1249,(($I$1-1)*-1),0)))</f>
        <v>240.79166666666663</v>
      </c>
      <c r="J1249" s="6">
        <f ca="1">IF(ROW($J1249)-1&lt;$K$1,$F1249,AVERAGE($F1249:OFFSET($F1249,(($K$1-1)*-1),0)))</f>
        <v>250.31607142857146</v>
      </c>
      <c r="L1249" s="7">
        <f t="shared" ca="1" si="114"/>
        <v>-1</v>
      </c>
      <c r="M1249" s="7" t="str">
        <f t="shared" ca="1" si="115"/>
        <v/>
      </c>
      <c r="N1249" s="6" t="str">
        <f t="shared" ca="1" si="116"/>
        <v/>
      </c>
      <c r="O1249" s="6">
        <f t="shared" si="117"/>
        <v>-0.25</v>
      </c>
      <c r="Q1249" s="6">
        <v>14.800000000000011</v>
      </c>
      <c r="R1249" s="9">
        <f t="shared" si="118"/>
        <v>5550.0000000000045</v>
      </c>
      <c r="S1249" s="7">
        <f t="shared" si="119"/>
        <v>-7856.2499999999654</v>
      </c>
    </row>
    <row r="1250" spans="1:19" x14ac:dyDescent="0.25">
      <c r="A1250" s="4">
        <f>Sheet1!A1250</f>
        <v>40893</v>
      </c>
      <c r="B1250" s="5">
        <f>Sheet1!B1250</f>
        <v>0.58333333333333337</v>
      </c>
      <c r="C1250" s="6">
        <f>Sheet1!C1250</f>
        <v>235.85</v>
      </c>
      <c r="D1250" s="6">
        <f>Sheet1!D1250</f>
        <v>237.15</v>
      </c>
      <c r="E1250" s="6">
        <f>Sheet1!E1250</f>
        <v>232.3</v>
      </c>
      <c r="F1250" s="6">
        <f>Sheet1!F1250</f>
        <v>233.2</v>
      </c>
      <c r="H1250" s="6">
        <f ca="1">IF(ROW($H1250)-1&lt;$I$1,$F1250,AVERAGE($F1250:OFFSET($F1250,(($I$1-1)*-1),0)))</f>
        <v>238.53333333333333</v>
      </c>
      <c r="J1250" s="6">
        <f ca="1">IF(ROW($J1250)-1&lt;$K$1,$F1250,AVERAGE($F1250:OFFSET($F1250,(($K$1-1)*-1),0)))</f>
        <v>249.55535714285716</v>
      </c>
      <c r="L1250" s="7">
        <f t="shared" ca="1" si="114"/>
        <v>-1</v>
      </c>
      <c r="M1250" s="7" t="str">
        <f t="shared" ca="1" si="115"/>
        <v/>
      </c>
      <c r="N1250" s="6" t="str">
        <f t="shared" ca="1" si="116"/>
        <v/>
      </c>
      <c r="O1250" s="6">
        <f t="shared" si="117"/>
        <v>-2.6500000000000057</v>
      </c>
      <c r="Q1250" s="6">
        <v>17.450000000000017</v>
      </c>
      <c r="R1250" s="9">
        <f t="shared" si="118"/>
        <v>6543.7500000000064</v>
      </c>
      <c r="S1250" s="7">
        <f t="shared" si="119"/>
        <v>-7856.2499999999654</v>
      </c>
    </row>
    <row r="1251" spans="1:19" x14ac:dyDescent="0.25">
      <c r="A1251" s="4">
        <f>Sheet1!A1251</f>
        <v>40896</v>
      </c>
      <c r="B1251" s="5">
        <f>Sheet1!B1251</f>
        <v>0.58333333333333337</v>
      </c>
      <c r="C1251" s="6">
        <f>Sheet1!C1251</f>
        <v>234.2</v>
      </c>
      <c r="D1251" s="6">
        <f>Sheet1!D1251</f>
        <v>238.05</v>
      </c>
      <c r="E1251" s="6">
        <f>Sheet1!E1251</f>
        <v>230.45</v>
      </c>
      <c r="F1251" s="6">
        <f>Sheet1!F1251</f>
        <v>237.55</v>
      </c>
      <c r="H1251" s="6">
        <f ca="1">IF(ROW($H1251)-1&lt;$I$1,$F1251,AVERAGE($F1251:OFFSET($F1251,(($I$1-1)*-1),0)))</f>
        <v>237.15</v>
      </c>
      <c r="J1251" s="6">
        <f ca="1">IF(ROW($J1251)-1&lt;$K$1,$F1251,AVERAGE($F1251:OFFSET($F1251,(($K$1-1)*-1),0)))</f>
        <v>249.07142857142864</v>
      </c>
      <c r="L1251" s="7">
        <f t="shared" ca="1" si="114"/>
        <v>-1</v>
      </c>
      <c r="M1251" s="7" t="str">
        <f t="shared" ca="1" si="115"/>
        <v/>
      </c>
      <c r="N1251" s="6" t="str">
        <f t="shared" ca="1" si="116"/>
        <v/>
      </c>
      <c r="O1251" s="6">
        <f t="shared" si="117"/>
        <v>4.3500000000000227</v>
      </c>
      <c r="Q1251" s="6">
        <v>13.099999999999994</v>
      </c>
      <c r="R1251" s="9">
        <f t="shared" si="118"/>
        <v>4912.4999999999982</v>
      </c>
      <c r="S1251" s="7">
        <f t="shared" si="119"/>
        <v>-7856.2499999999654</v>
      </c>
    </row>
    <row r="1252" spans="1:19" x14ac:dyDescent="0.25">
      <c r="A1252" s="4">
        <f>Sheet1!A1252</f>
        <v>40897</v>
      </c>
      <c r="B1252" s="5">
        <f>Sheet1!B1252</f>
        <v>0.58333333333333337</v>
      </c>
      <c r="C1252" s="6">
        <f>Sheet1!C1252</f>
        <v>238.1</v>
      </c>
      <c r="D1252" s="6">
        <f>Sheet1!D1252</f>
        <v>242.15</v>
      </c>
      <c r="E1252" s="6">
        <f>Sheet1!E1252</f>
        <v>237.1</v>
      </c>
      <c r="F1252" s="6">
        <f>Sheet1!F1252</f>
        <v>240.9</v>
      </c>
      <c r="H1252" s="6">
        <f ca="1">IF(ROW($H1252)-1&lt;$I$1,$F1252,AVERAGE($F1252:OFFSET($F1252,(($I$1-1)*-1),0)))</f>
        <v>237.44166666666669</v>
      </c>
      <c r="J1252" s="6">
        <f ca="1">IF(ROW($J1252)-1&lt;$K$1,$F1252,AVERAGE($F1252:OFFSET($F1252,(($K$1-1)*-1),0)))</f>
        <v>248.68571428571431</v>
      </c>
      <c r="L1252" s="7">
        <f t="shared" ca="1" si="114"/>
        <v>-1</v>
      </c>
      <c r="M1252" s="7" t="str">
        <f t="shared" ca="1" si="115"/>
        <v/>
      </c>
      <c r="N1252" s="6" t="str">
        <f t="shared" ca="1" si="116"/>
        <v/>
      </c>
      <c r="O1252" s="6">
        <f t="shared" si="117"/>
        <v>3.3499999999999943</v>
      </c>
      <c r="Q1252" s="6">
        <v>9.75</v>
      </c>
      <c r="R1252" s="9">
        <f t="shared" si="118"/>
        <v>3656.25</v>
      </c>
      <c r="S1252" s="7">
        <f t="shared" si="119"/>
        <v>-7856.2499999999654</v>
      </c>
    </row>
    <row r="1253" spans="1:19" x14ac:dyDescent="0.25">
      <c r="A1253" s="4">
        <f>Sheet1!A1253</f>
        <v>40898</v>
      </c>
      <c r="B1253" s="5">
        <f>Sheet1!B1253</f>
        <v>0.58333333333333337</v>
      </c>
      <c r="C1253" s="6">
        <f>Sheet1!C1253</f>
        <v>240.2</v>
      </c>
      <c r="D1253" s="6">
        <f>Sheet1!D1253</f>
        <v>240.9</v>
      </c>
      <c r="E1253" s="6">
        <f>Sheet1!E1253</f>
        <v>236.6</v>
      </c>
      <c r="F1253" s="6">
        <f>Sheet1!F1253</f>
        <v>238</v>
      </c>
      <c r="H1253" s="6">
        <f ca="1">IF(ROW($H1253)-1&lt;$I$1,$F1253,AVERAGE($F1253:OFFSET($F1253,(($I$1-1)*-1),0)))</f>
        <v>236.93333333333337</v>
      </c>
      <c r="J1253" s="6">
        <f ca="1">IF(ROW($J1253)-1&lt;$K$1,$F1253,AVERAGE($F1253:OFFSET($F1253,(($K$1-1)*-1),0)))</f>
        <v>248.20357142857145</v>
      </c>
      <c r="L1253" s="7">
        <f t="shared" ca="1" si="114"/>
        <v>-1</v>
      </c>
      <c r="M1253" s="7" t="str">
        <f t="shared" ca="1" si="115"/>
        <v/>
      </c>
      <c r="N1253" s="6" t="str">
        <f t="shared" ca="1" si="116"/>
        <v/>
      </c>
      <c r="O1253" s="6">
        <f t="shared" si="117"/>
        <v>-2.9000000000000057</v>
      </c>
      <c r="Q1253" s="6">
        <v>12.650000000000006</v>
      </c>
      <c r="R1253" s="9">
        <f t="shared" si="118"/>
        <v>4743.7500000000018</v>
      </c>
      <c r="S1253" s="7">
        <f t="shared" si="119"/>
        <v>-7856.2499999999654</v>
      </c>
    </row>
    <row r="1254" spans="1:19" x14ac:dyDescent="0.25">
      <c r="A1254" s="4">
        <f>Sheet1!A1254</f>
        <v>40899</v>
      </c>
      <c r="B1254" s="5">
        <f>Sheet1!B1254</f>
        <v>0.58333333333333337</v>
      </c>
      <c r="C1254" s="6">
        <f>Sheet1!C1254</f>
        <v>237.8</v>
      </c>
      <c r="D1254" s="6">
        <f>Sheet1!D1254</f>
        <v>241.5</v>
      </c>
      <c r="E1254" s="6">
        <f>Sheet1!E1254</f>
        <v>236.75</v>
      </c>
      <c r="F1254" s="6">
        <f>Sheet1!F1254</f>
        <v>239.5</v>
      </c>
      <c r="H1254" s="6">
        <f ca="1">IF(ROW($H1254)-1&lt;$I$1,$F1254,AVERAGE($F1254:OFFSET($F1254,(($I$1-1)*-1),0)))</f>
        <v>237.5</v>
      </c>
      <c r="J1254" s="6">
        <f ca="1">IF(ROW($J1254)-1&lt;$K$1,$F1254,AVERAGE($F1254:OFFSET($F1254,(($K$1-1)*-1),0)))</f>
        <v>247.63571428571433</v>
      </c>
      <c r="L1254" s="7">
        <f t="shared" ca="1" si="114"/>
        <v>-1</v>
      </c>
      <c r="M1254" s="7" t="str">
        <f t="shared" ca="1" si="115"/>
        <v/>
      </c>
      <c r="N1254" s="6" t="str">
        <f t="shared" ca="1" si="116"/>
        <v/>
      </c>
      <c r="O1254" s="6">
        <f t="shared" si="117"/>
        <v>1.5</v>
      </c>
      <c r="Q1254" s="6">
        <v>11.150000000000006</v>
      </c>
      <c r="R1254" s="9">
        <f t="shared" si="118"/>
        <v>4181.2500000000018</v>
      </c>
      <c r="S1254" s="7">
        <f t="shared" si="119"/>
        <v>-7856.2499999999654</v>
      </c>
    </row>
    <row r="1255" spans="1:19" x14ac:dyDescent="0.25">
      <c r="A1255" s="4">
        <f>Sheet1!A1255</f>
        <v>40900</v>
      </c>
      <c r="B1255" s="5">
        <f>Sheet1!B1255</f>
        <v>0.58333333333333337</v>
      </c>
      <c r="C1255" s="6">
        <f>Sheet1!C1255</f>
        <v>239</v>
      </c>
      <c r="D1255" s="6">
        <f>Sheet1!D1255</f>
        <v>240.95</v>
      </c>
      <c r="E1255" s="6">
        <f>Sheet1!E1255</f>
        <v>235.5</v>
      </c>
      <c r="F1255" s="6">
        <f>Sheet1!F1255</f>
        <v>237.75</v>
      </c>
      <c r="H1255" s="6">
        <f ca="1">IF(ROW($H1255)-1&lt;$I$1,$F1255,AVERAGE($F1255:OFFSET($F1255,(($I$1-1)*-1),0)))</f>
        <v>237.81666666666669</v>
      </c>
      <c r="J1255" s="6">
        <f ca="1">IF(ROW($J1255)-1&lt;$K$1,$F1255,AVERAGE($F1255:OFFSET($F1255,(($K$1-1)*-1),0)))</f>
        <v>247.11785714285716</v>
      </c>
      <c r="L1255" s="7">
        <f t="shared" ca="1" si="114"/>
        <v>-1</v>
      </c>
      <c r="M1255" s="7" t="str">
        <f t="shared" ca="1" si="115"/>
        <v/>
      </c>
      <c r="N1255" s="6" t="str">
        <f t="shared" ca="1" si="116"/>
        <v/>
      </c>
      <c r="O1255" s="6">
        <f t="shared" si="117"/>
        <v>-1.75</v>
      </c>
      <c r="Q1255" s="6">
        <v>12.900000000000006</v>
      </c>
      <c r="R1255" s="9">
        <f t="shared" si="118"/>
        <v>4837.5000000000018</v>
      </c>
      <c r="S1255" s="7">
        <f t="shared" si="119"/>
        <v>-7856.2499999999654</v>
      </c>
    </row>
    <row r="1256" spans="1:19" x14ac:dyDescent="0.25">
      <c r="A1256" s="4">
        <f>Sheet1!A1256</f>
        <v>40904</v>
      </c>
      <c r="B1256" s="5">
        <f>Sheet1!B1256</f>
        <v>0.58333333333333337</v>
      </c>
      <c r="C1256" s="6">
        <f>Sheet1!C1256</f>
        <v>236.45</v>
      </c>
      <c r="D1256" s="6">
        <f>Sheet1!D1256</f>
        <v>241.1</v>
      </c>
      <c r="E1256" s="6">
        <f>Sheet1!E1256</f>
        <v>236.45</v>
      </c>
      <c r="F1256" s="6">
        <f>Sheet1!F1256</f>
        <v>240.95</v>
      </c>
      <c r="H1256" s="6">
        <f ca="1">IF(ROW($H1256)-1&lt;$I$1,$F1256,AVERAGE($F1256:OFFSET($F1256,(($I$1-1)*-1),0)))</f>
        <v>239.10833333333335</v>
      </c>
      <c r="J1256" s="6">
        <f ca="1">IF(ROW($J1256)-1&lt;$K$1,$F1256,AVERAGE($F1256:OFFSET($F1256,(($K$1-1)*-1),0)))</f>
        <v>246.40892857142859</v>
      </c>
      <c r="L1256" s="7">
        <f t="shared" ca="1" si="114"/>
        <v>-1</v>
      </c>
      <c r="M1256" s="7" t="str">
        <f t="shared" ca="1" si="115"/>
        <v/>
      </c>
      <c r="N1256" s="6" t="str">
        <f t="shared" ca="1" si="116"/>
        <v/>
      </c>
      <c r="O1256" s="6">
        <f t="shared" si="117"/>
        <v>3.1999999999999886</v>
      </c>
      <c r="Q1256" s="6">
        <v>9.7000000000000171</v>
      </c>
      <c r="R1256" s="9">
        <f t="shared" si="118"/>
        <v>3637.5000000000064</v>
      </c>
      <c r="S1256" s="7">
        <f t="shared" si="119"/>
        <v>-7856.2499999999654</v>
      </c>
    </row>
    <row r="1257" spans="1:19" x14ac:dyDescent="0.25">
      <c r="A1257" s="4">
        <f>Sheet1!A1257</f>
        <v>40905</v>
      </c>
      <c r="B1257" s="5">
        <f>Sheet1!B1257</f>
        <v>0.58333333333333337</v>
      </c>
      <c r="C1257" s="6">
        <f>Sheet1!C1257</f>
        <v>240</v>
      </c>
      <c r="D1257" s="6">
        <f>Sheet1!D1257</f>
        <v>247.4</v>
      </c>
      <c r="E1257" s="6">
        <f>Sheet1!E1257</f>
        <v>239.1</v>
      </c>
      <c r="F1257" s="6">
        <f>Sheet1!F1257</f>
        <v>244.85</v>
      </c>
      <c r="H1257" s="6">
        <f ca="1">IF(ROW($H1257)-1&lt;$I$1,$F1257,AVERAGE($F1257:OFFSET($F1257,(($I$1-1)*-1),0)))</f>
        <v>240.32499999999996</v>
      </c>
      <c r="J1257" s="6">
        <f ca="1">IF(ROW($J1257)-1&lt;$K$1,$F1257,AVERAGE($F1257:OFFSET($F1257,(($K$1-1)*-1),0)))</f>
        <v>245.96964285714287</v>
      </c>
      <c r="L1257" s="7">
        <f t="shared" ca="1" si="114"/>
        <v>-1</v>
      </c>
      <c r="M1257" s="7" t="str">
        <f t="shared" ca="1" si="115"/>
        <v/>
      </c>
      <c r="N1257" s="6" t="str">
        <f t="shared" ca="1" si="116"/>
        <v/>
      </c>
      <c r="O1257" s="6">
        <f t="shared" si="117"/>
        <v>3.9000000000000057</v>
      </c>
      <c r="Q1257" s="6">
        <v>5.8000000000000114</v>
      </c>
      <c r="R1257" s="9">
        <f t="shared" si="118"/>
        <v>2175.0000000000041</v>
      </c>
      <c r="S1257" s="7">
        <f t="shared" si="119"/>
        <v>-7856.2499999999654</v>
      </c>
    </row>
    <row r="1258" spans="1:19" x14ac:dyDescent="0.25">
      <c r="A1258" s="4">
        <f>Sheet1!A1258</f>
        <v>40906</v>
      </c>
      <c r="B1258" s="5">
        <f>Sheet1!B1258</f>
        <v>0.58333333333333337</v>
      </c>
      <c r="C1258" s="6">
        <f>Sheet1!C1258</f>
        <v>243.85</v>
      </c>
      <c r="D1258" s="6">
        <f>Sheet1!D1258</f>
        <v>245.3</v>
      </c>
      <c r="E1258" s="6">
        <f>Sheet1!E1258</f>
        <v>242.2</v>
      </c>
      <c r="F1258" s="6">
        <f>Sheet1!F1258</f>
        <v>242.35</v>
      </c>
      <c r="H1258" s="6">
        <f ca="1">IF(ROW($H1258)-1&lt;$I$1,$F1258,AVERAGE($F1258:OFFSET($F1258,(($I$1-1)*-1),0)))</f>
        <v>240.56666666666663</v>
      </c>
      <c r="J1258" s="6">
        <f ca="1">IF(ROW($J1258)-1&lt;$K$1,$F1258,AVERAGE($F1258:OFFSET($F1258,(($K$1-1)*-1),0)))</f>
        <v>245.54642857142861</v>
      </c>
      <c r="L1258" s="7">
        <f t="shared" ca="1" si="114"/>
        <v>-1</v>
      </c>
      <c r="M1258" s="7" t="str">
        <f t="shared" ca="1" si="115"/>
        <v/>
      </c>
      <c r="N1258" s="6" t="str">
        <f t="shared" ca="1" si="116"/>
        <v/>
      </c>
      <c r="O1258" s="6">
        <f t="shared" si="117"/>
        <v>-2.5</v>
      </c>
      <c r="Q1258" s="6">
        <v>8.3000000000000114</v>
      </c>
      <c r="R1258" s="9">
        <f t="shared" si="118"/>
        <v>3112.5000000000041</v>
      </c>
      <c r="S1258" s="7">
        <f t="shared" si="119"/>
        <v>-7856.2499999999654</v>
      </c>
    </row>
    <row r="1259" spans="1:19" x14ac:dyDescent="0.25">
      <c r="A1259" s="4">
        <f>Sheet1!A1259</f>
        <v>40907</v>
      </c>
      <c r="B1259" s="5">
        <f>Sheet1!B1259</f>
        <v>0.58333333333333337</v>
      </c>
      <c r="C1259" s="6">
        <f>Sheet1!C1259</f>
        <v>242.55</v>
      </c>
      <c r="D1259" s="6">
        <f>Sheet1!D1259</f>
        <v>245.7</v>
      </c>
      <c r="E1259" s="6">
        <f>Sheet1!E1259</f>
        <v>242.3</v>
      </c>
      <c r="F1259" s="6">
        <f>Sheet1!F1259</f>
        <v>244.95</v>
      </c>
      <c r="H1259" s="6">
        <f ca="1">IF(ROW($H1259)-1&lt;$I$1,$F1259,AVERAGE($F1259:OFFSET($F1259,(($I$1-1)*-1),0)))</f>
        <v>241.72500000000002</v>
      </c>
      <c r="J1259" s="6">
        <f ca="1">IF(ROW($J1259)-1&lt;$K$1,$F1259,AVERAGE($F1259:OFFSET($F1259,(($K$1-1)*-1),0)))</f>
        <v>245.11785714285716</v>
      </c>
      <c r="L1259" s="7">
        <f t="shared" ca="1" si="114"/>
        <v>-1</v>
      </c>
      <c r="M1259" s="7" t="str">
        <f t="shared" ca="1" si="115"/>
        <v/>
      </c>
      <c r="N1259" s="6" t="str">
        <f t="shared" ca="1" si="116"/>
        <v/>
      </c>
      <c r="O1259" s="6">
        <f t="shared" si="117"/>
        <v>2.5999999999999943</v>
      </c>
      <c r="Q1259" s="6">
        <v>5.7000000000000171</v>
      </c>
      <c r="R1259" s="9">
        <f t="shared" si="118"/>
        <v>2137.5000000000064</v>
      </c>
      <c r="S1259" s="7">
        <f t="shared" si="119"/>
        <v>-7856.2499999999654</v>
      </c>
    </row>
    <row r="1260" spans="1:19" x14ac:dyDescent="0.25">
      <c r="A1260" s="4">
        <f>Sheet1!A1260</f>
        <v>40911</v>
      </c>
      <c r="B1260" s="5">
        <f>Sheet1!B1260</f>
        <v>0.58333333333333337</v>
      </c>
      <c r="C1260" s="6">
        <f>Sheet1!C1260</f>
        <v>244.95</v>
      </c>
      <c r="D1260" s="6">
        <f>Sheet1!D1260</f>
        <v>246.1</v>
      </c>
      <c r="E1260" s="6">
        <f>Sheet1!E1260</f>
        <v>240.5</v>
      </c>
      <c r="F1260" s="6">
        <f>Sheet1!F1260</f>
        <v>245.3</v>
      </c>
      <c r="H1260" s="6">
        <f ca="1">IF(ROW($H1260)-1&lt;$I$1,$F1260,AVERAGE($F1260:OFFSET($F1260,(($I$1-1)*-1),0)))</f>
        <v>242.69166666666663</v>
      </c>
      <c r="J1260" s="6">
        <f ca="1">IF(ROW($J1260)-1&lt;$K$1,$F1260,AVERAGE($F1260:OFFSET($F1260,(($K$1-1)*-1),0)))</f>
        <v>244.76785714285714</v>
      </c>
      <c r="L1260" s="7">
        <f t="shared" ca="1" si="114"/>
        <v>-1</v>
      </c>
      <c r="M1260" s="7" t="str">
        <f t="shared" ca="1" si="115"/>
        <v/>
      </c>
      <c r="N1260" s="6" t="str">
        <f t="shared" ca="1" si="116"/>
        <v/>
      </c>
      <c r="O1260" s="6">
        <f t="shared" si="117"/>
        <v>0.35000000000002274</v>
      </c>
      <c r="Q1260" s="6">
        <v>5.3499999999999943</v>
      </c>
      <c r="R1260" s="9">
        <f t="shared" si="118"/>
        <v>2006.249999999998</v>
      </c>
      <c r="S1260" s="7">
        <f t="shared" si="119"/>
        <v>-7856.2499999999654</v>
      </c>
    </row>
    <row r="1261" spans="1:19" x14ac:dyDescent="0.25">
      <c r="A1261" s="4">
        <f>Sheet1!A1261</f>
        <v>40912</v>
      </c>
      <c r="B1261" s="5">
        <f>Sheet1!B1261</f>
        <v>0.58333333333333337</v>
      </c>
      <c r="C1261" s="6">
        <f>Sheet1!C1261</f>
        <v>244.1</v>
      </c>
      <c r="D1261" s="6">
        <f>Sheet1!D1261</f>
        <v>247.25</v>
      </c>
      <c r="E1261" s="6">
        <f>Sheet1!E1261</f>
        <v>242.5</v>
      </c>
      <c r="F1261" s="6">
        <f>Sheet1!F1261</f>
        <v>244.8</v>
      </c>
      <c r="H1261" s="6">
        <f ca="1">IF(ROW($H1261)-1&lt;$I$1,$F1261,AVERAGE($F1261:OFFSET($F1261,(($I$1-1)*-1),0)))</f>
        <v>243.86666666666665</v>
      </c>
      <c r="J1261" s="6">
        <f ca="1">IF(ROW($J1261)-1&lt;$K$1,$F1261,AVERAGE($F1261:OFFSET($F1261,(($K$1-1)*-1),0)))</f>
        <v>244.40357142857144</v>
      </c>
      <c r="L1261" s="7">
        <f t="shared" ca="1" si="114"/>
        <v>-1</v>
      </c>
      <c r="M1261" s="7" t="str">
        <f t="shared" ca="1" si="115"/>
        <v/>
      </c>
      <c r="N1261" s="6" t="str">
        <f t="shared" ca="1" si="116"/>
        <v/>
      </c>
      <c r="O1261" s="6">
        <f t="shared" si="117"/>
        <v>-0.5</v>
      </c>
      <c r="Q1261" s="6">
        <v>5.8499999999999943</v>
      </c>
      <c r="R1261" s="9">
        <f t="shared" si="118"/>
        <v>2193.7499999999977</v>
      </c>
      <c r="S1261" s="7">
        <f t="shared" si="119"/>
        <v>-7856.2499999999654</v>
      </c>
    </row>
    <row r="1262" spans="1:19" x14ac:dyDescent="0.25">
      <c r="A1262" s="4">
        <f>Sheet1!A1262</f>
        <v>40913</v>
      </c>
      <c r="B1262" s="5">
        <f>Sheet1!B1262</f>
        <v>0.58333333333333337</v>
      </c>
      <c r="C1262" s="6">
        <f>Sheet1!C1262</f>
        <v>243.55</v>
      </c>
      <c r="D1262" s="6">
        <f>Sheet1!D1262</f>
        <v>243.9</v>
      </c>
      <c r="E1262" s="6">
        <f>Sheet1!E1262</f>
        <v>235.65</v>
      </c>
      <c r="F1262" s="6">
        <f>Sheet1!F1262</f>
        <v>237.65</v>
      </c>
      <c r="H1262" s="6">
        <f ca="1">IF(ROW($H1262)-1&lt;$I$1,$F1262,AVERAGE($F1262:OFFSET($F1262,(($I$1-1)*-1),0)))</f>
        <v>243.31666666666669</v>
      </c>
      <c r="J1262" s="6">
        <f ca="1">IF(ROW($J1262)-1&lt;$K$1,$F1262,AVERAGE($F1262:OFFSET($F1262,(($K$1-1)*-1),0)))</f>
        <v>243.83750000000001</v>
      </c>
      <c r="L1262" s="7">
        <f t="shared" ca="1" si="114"/>
        <v>-1</v>
      </c>
      <c r="M1262" s="7" t="str">
        <f t="shared" ca="1" si="115"/>
        <v/>
      </c>
      <c r="N1262" s="6" t="str">
        <f t="shared" ca="1" si="116"/>
        <v/>
      </c>
      <c r="O1262" s="6">
        <f t="shared" si="117"/>
        <v>-7.1500000000000057</v>
      </c>
      <c r="Q1262" s="6">
        <v>13</v>
      </c>
      <c r="R1262" s="9">
        <f t="shared" si="118"/>
        <v>4875</v>
      </c>
      <c r="S1262" s="7">
        <f t="shared" si="119"/>
        <v>-7856.2499999999654</v>
      </c>
    </row>
    <row r="1263" spans="1:19" x14ac:dyDescent="0.25">
      <c r="A1263" s="4">
        <f>Sheet1!A1263</f>
        <v>40914</v>
      </c>
      <c r="B1263" s="5">
        <f>Sheet1!B1263</f>
        <v>0.58333333333333337</v>
      </c>
      <c r="C1263" s="6">
        <f>Sheet1!C1263</f>
        <v>237.1</v>
      </c>
      <c r="D1263" s="6">
        <f>Sheet1!D1263</f>
        <v>240.5</v>
      </c>
      <c r="E1263" s="6">
        <f>Sheet1!E1263</f>
        <v>234.7</v>
      </c>
      <c r="F1263" s="6">
        <f>Sheet1!F1263</f>
        <v>239.85</v>
      </c>
      <c r="H1263" s="6">
        <f ca="1">IF(ROW($H1263)-1&lt;$I$1,$F1263,AVERAGE($F1263:OFFSET($F1263,(($I$1-1)*-1),0)))</f>
        <v>242.48333333333332</v>
      </c>
      <c r="J1263" s="6">
        <f ca="1">IF(ROW($J1263)-1&lt;$K$1,$F1263,AVERAGE($F1263:OFFSET($F1263,(($K$1-1)*-1),0)))</f>
        <v>243.45178571428573</v>
      </c>
      <c r="L1263" s="7">
        <f t="shared" ca="1" si="114"/>
        <v>-1</v>
      </c>
      <c r="M1263" s="7" t="str">
        <f t="shared" ca="1" si="115"/>
        <v/>
      </c>
      <c r="N1263" s="6" t="str">
        <f t="shared" ca="1" si="116"/>
        <v/>
      </c>
      <c r="O1263" s="6">
        <f t="shared" si="117"/>
        <v>2.1999999999999886</v>
      </c>
      <c r="Q1263" s="6">
        <v>10.800000000000011</v>
      </c>
      <c r="R1263" s="9">
        <f t="shared" si="118"/>
        <v>4050.0000000000041</v>
      </c>
      <c r="S1263" s="7">
        <f t="shared" si="119"/>
        <v>-7856.2499999999654</v>
      </c>
    </row>
    <row r="1264" spans="1:19" x14ac:dyDescent="0.25">
      <c r="A1264" s="4">
        <f>Sheet1!A1264</f>
        <v>40917</v>
      </c>
      <c r="B1264" s="5">
        <f>Sheet1!B1264</f>
        <v>0.58333333333333337</v>
      </c>
      <c r="C1264" s="6">
        <f>Sheet1!C1264</f>
        <v>238.85</v>
      </c>
      <c r="D1264" s="6">
        <f>Sheet1!D1264</f>
        <v>242.6</v>
      </c>
      <c r="E1264" s="6">
        <f>Sheet1!E1264</f>
        <v>235.7</v>
      </c>
      <c r="F1264" s="6">
        <f>Sheet1!F1264</f>
        <v>239.95</v>
      </c>
      <c r="H1264" s="6">
        <f ca="1">IF(ROW($H1264)-1&lt;$I$1,$F1264,AVERAGE($F1264:OFFSET($F1264,(($I$1-1)*-1),0)))</f>
        <v>242.08333333333334</v>
      </c>
      <c r="J1264" s="6">
        <f ca="1">IF(ROW($J1264)-1&lt;$K$1,$F1264,AVERAGE($F1264:OFFSET($F1264,(($K$1-1)*-1),0)))</f>
        <v>243.23928571428573</v>
      </c>
      <c r="L1264" s="7">
        <f t="shared" ca="1" si="114"/>
        <v>-1</v>
      </c>
      <c r="M1264" s="7" t="str">
        <f t="shared" ca="1" si="115"/>
        <v/>
      </c>
      <c r="N1264" s="6" t="str">
        <f t="shared" ca="1" si="116"/>
        <v/>
      </c>
      <c r="O1264" s="6">
        <f t="shared" si="117"/>
        <v>9.9999999999994316E-2</v>
      </c>
      <c r="Q1264" s="6">
        <v>10.700000000000017</v>
      </c>
      <c r="R1264" s="9">
        <f t="shared" si="118"/>
        <v>4012.5000000000064</v>
      </c>
      <c r="S1264" s="7">
        <f t="shared" si="119"/>
        <v>-7856.2499999999654</v>
      </c>
    </row>
    <row r="1265" spans="1:19" x14ac:dyDescent="0.25">
      <c r="A1265" s="4">
        <f>Sheet1!A1265</f>
        <v>40918</v>
      </c>
      <c r="B1265" s="5">
        <f>Sheet1!B1265</f>
        <v>0.58333333333333337</v>
      </c>
      <c r="C1265" s="6">
        <f>Sheet1!C1265</f>
        <v>239.6</v>
      </c>
      <c r="D1265" s="6">
        <f>Sheet1!D1265</f>
        <v>244.2</v>
      </c>
      <c r="E1265" s="6">
        <f>Sheet1!E1265</f>
        <v>239.25</v>
      </c>
      <c r="F1265" s="6">
        <f>Sheet1!F1265</f>
        <v>244.05</v>
      </c>
      <c r="H1265" s="6">
        <f ca="1">IF(ROW($H1265)-1&lt;$I$1,$F1265,AVERAGE($F1265:OFFSET($F1265,(($I$1-1)*-1),0)))</f>
        <v>241.93333333333331</v>
      </c>
      <c r="J1265" s="6">
        <f ca="1">IF(ROW($J1265)-1&lt;$K$1,$F1265,AVERAGE($F1265:OFFSET($F1265,(($K$1-1)*-1),0)))</f>
        <v>243.18214285714288</v>
      </c>
      <c r="L1265" s="7">
        <f t="shared" ca="1" si="114"/>
        <v>-1</v>
      </c>
      <c r="M1265" s="7" t="str">
        <f t="shared" ca="1" si="115"/>
        <v/>
      </c>
      <c r="N1265" s="6" t="str">
        <f t="shared" ca="1" si="116"/>
        <v/>
      </c>
      <c r="O1265" s="6">
        <f t="shared" si="117"/>
        <v>4.1000000000000227</v>
      </c>
      <c r="Q1265" s="6">
        <v>6.5999999999999943</v>
      </c>
      <c r="R1265" s="9">
        <f t="shared" si="118"/>
        <v>2474.9999999999977</v>
      </c>
      <c r="S1265" s="7">
        <f t="shared" si="119"/>
        <v>-7856.2499999999654</v>
      </c>
    </row>
    <row r="1266" spans="1:19" x14ac:dyDescent="0.25">
      <c r="A1266" s="4">
        <f>Sheet1!A1266</f>
        <v>40919</v>
      </c>
      <c r="B1266" s="5">
        <f>Sheet1!B1266</f>
        <v>0.58333333333333337</v>
      </c>
      <c r="C1266" s="6">
        <f>Sheet1!C1266</f>
        <v>243.35</v>
      </c>
      <c r="D1266" s="6">
        <f>Sheet1!D1266</f>
        <v>253.3</v>
      </c>
      <c r="E1266" s="6">
        <f>Sheet1!E1266</f>
        <v>242.25</v>
      </c>
      <c r="F1266" s="6">
        <f>Sheet1!F1266</f>
        <v>253</v>
      </c>
      <c r="H1266" s="6">
        <f ca="1">IF(ROW($H1266)-1&lt;$I$1,$F1266,AVERAGE($F1266:OFFSET($F1266,(($I$1-1)*-1),0)))</f>
        <v>243.21666666666667</v>
      </c>
      <c r="J1266" s="6">
        <f ca="1">IF(ROW($J1266)-1&lt;$K$1,$F1266,AVERAGE($F1266:OFFSET($F1266,(($K$1-1)*-1),0)))</f>
        <v>243.11071428571429</v>
      </c>
      <c r="L1266" s="7">
        <f t="shared" ca="1" si="114"/>
        <v>1</v>
      </c>
      <c r="M1266" s="7">
        <f t="shared" ca="1" si="115"/>
        <v>1</v>
      </c>
      <c r="N1266" s="6" t="str">
        <f t="shared" ca="1" si="116"/>
        <v/>
      </c>
      <c r="O1266" s="6">
        <f t="shared" si="117"/>
        <v>8.9499999999999886</v>
      </c>
      <c r="Q1266" s="6">
        <v>-2.3499999999999943</v>
      </c>
      <c r="R1266" s="9">
        <f t="shared" si="118"/>
        <v>-881.24999999999784</v>
      </c>
      <c r="S1266" s="7">
        <f t="shared" si="119"/>
        <v>-7856.2499999999654</v>
      </c>
    </row>
    <row r="1267" spans="1:19" x14ac:dyDescent="0.25">
      <c r="A1267" s="4">
        <f>Sheet1!A1267</f>
        <v>40920</v>
      </c>
      <c r="B1267" s="5">
        <f>Sheet1!B1267</f>
        <v>0.58333333333333337</v>
      </c>
      <c r="C1267" s="6">
        <f>Sheet1!C1267</f>
        <v>251.9</v>
      </c>
      <c r="D1267" s="6">
        <f>Sheet1!D1267</f>
        <v>256.60000000000002</v>
      </c>
      <c r="E1267" s="6">
        <f>Sheet1!E1267</f>
        <v>249.95</v>
      </c>
      <c r="F1267" s="6">
        <f>Sheet1!F1267</f>
        <v>252</v>
      </c>
      <c r="H1267" s="6">
        <f ca="1">IF(ROW($H1267)-1&lt;$I$1,$F1267,AVERAGE($F1267:OFFSET($F1267,(($I$1-1)*-1),0)))</f>
        <v>244.41666666666666</v>
      </c>
      <c r="J1267" s="6">
        <f ca="1">IF(ROW($J1267)-1&lt;$K$1,$F1267,AVERAGE($F1267:OFFSET($F1267,(($K$1-1)*-1),0)))</f>
        <v>243.04642857142861</v>
      </c>
      <c r="L1267" s="7">
        <f t="shared" ca="1" si="114"/>
        <v>1</v>
      </c>
      <c r="M1267" s="7" t="str">
        <f t="shared" ca="1" si="115"/>
        <v/>
      </c>
      <c r="N1267" s="6">
        <f t="shared" ca="1" si="116"/>
        <v>251.9</v>
      </c>
      <c r="O1267" s="6">
        <f t="shared" si="117"/>
        <v>-1</v>
      </c>
      <c r="P1267" s="6">
        <v>-1.25</v>
      </c>
      <c r="Q1267" s="6">
        <v>9.9999999999994316E-2</v>
      </c>
      <c r="R1267" s="9">
        <f t="shared" si="118"/>
        <v>37.499999999997868</v>
      </c>
      <c r="S1267" s="7">
        <f t="shared" si="119"/>
        <v>-8324.9999999999654</v>
      </c>
    </row>
    <row r="1268" spans="1:19" x14ac:dyDescent="0.25">
      <c r="A1268" s="4">
        <f>Sheet1!A1268</f>
        <v>40921</v>
      </c>
      <c r="B1268" s="5">
        <f>Sheet1!B1268</f>
        <v>0.58333333333333337</v>
      </c>
      <c r="C1268" s="6">
        <f>Sheet1!C1268</f>
        <v>251.7</v>
      </c>
      <c r="D1268" s="6">
        <f>Sheet1!D1268</f>
        <v>254.5</v>
      </c>
      <c r="E1268" s="6">
        <f>Sheet1!E1268</f>
        <v>242.6</v>
      </c>
      <c r="F1268" s="6">
        <f>Sheet1!F1268</f>
        <v>243.35</v>
      </c>
      <c r="H1268" s="6">
        <f ca="1">IF(ROW($H1268)-1&lt;$I$1,$F1268,AVERAGE($F1268:OFFSET($F1268,(($I$1-1)*-1),0)))</f>
        <v>245.36666666666665</v>
      </c>
      <c r="J1268" s="6">
        <f ca="1">IF(ROW($J1268)-1&lt;$K$1,$F1268,AVERAGE($F1268:OFFSET($F1268,(($K$1-1)*-1),0)))</f>
        <v>242.89285714285717</v>
      </c>
      <c r="L1268" s="7">
        <f t="shared" ca="1" si="114"/>
        <v>1</v>
      </c>
      <c r="M1268" s="7" t="str">
        <f t="shared" ca="1" si="115"/>
        <v/>
      </c>
      <c r="N1268" s="6" t="str">
        <f t="shared" ca="1" si="116"/>
        <v/>
      </c>
      <c r="O1268" s="6">
        <f t="shared" si="117"/>
        <v>-8.6500000000000057</v>
      </c>
      <c r="Q1268" s="6">
        <v>-8.5500000000000114</v>
      </c>
      <c r="R1268" s="9">
        <f t="shared" si="118"/>
        <v>-3206.2500000000041</v>
      </c>
      <c r="S1268" s="7">
        <f t="shared" si="119"/>
        <v>-8324.9999999999654</v>
      </c>
    </row>
    <row r="1269" spans="1:19" x14ac:dyDescent="0.25">
      <c r="A1269" s="4">
        <f>Sheet1!A1269</f>
        <v>40925</v>
      </c>
      <c r="B1269" s="5">
        <f>Sheet1!B1269</f>
        <v>0.58333333333333337</v>
      </c>
      <c r="C1269" s="6">
        <f>Sheet1!C1269</f>
        <v>243.55</v>
      </c>
      <c r="D1269" s="6">
        <f>Sheet1!D1269</f>
        <v>247.35</v>
      </c>
      <c r="E1269" s="6">
        <f>Sheet1!E1269</f>
        <v>239.2</v>
      </c>
      <c r="F1269" s="6">
        <f>Sheet1!F1269</f>
        <v>243.25</v>
      </c>
      <c r="H1269" s="6">
        <f ca="1">IF(ROW($H1269)-1&lt;$I$1,$F1269,AVERAGE($F1269:OFFSET($F1269,(($I$1-1)*-1),0)))</f>
        <v>245.93333333333331</v>
      </c>
      <c r="J1269" s="6">
        <f ca="1">IF(ROW($J1269)-1&lt;$K$1,$F1269,AVERAGE($F1269:OFFSET($F1269,(($K$1-1)*-1),0)))</f>
        <v>242.49107142857142</v>
      </c>
      <c r="L1269" s="7">
        <f t="shared" ca="1" si="114"/>
        <v>1</v>
      </c>
      <c r="M1269" s="7" t="str">
        <f t="shared" ca="1" si="115"/>
        <v/>
      </c>
      <c r="N1269" s="6" t="str">
        <f t="shared" ca="1" si="116"/>
        <v/>
      </c>
      <c r="O1269" s="6">
        <f t="shared" si="117"/>
        <v>-9.9999999999994316E-2</v>
      </c>
      <c r="Q1269" s="6">
        <v>-8.6500000000000057</v>
      </c>
      <c r="R1269" s="9">
        <f t="shared" si="118"/>
        <v>-3243.7500000000023</v>
      </c>
      <c r="S1269" s="7">
        <f t="shared" si="119"/>
        <v>-8324.9999999999654</v>
      </c>
    </row>
    <row r="1270" spans="1:19" x14ac:dyDescent="0.25">
      <c r="A1270" s="4">
        <f>Sheet1!A1270</f>
        <v>40926</v>
      </c>
      <c r="B1270" s="5">
        <f>Sheet1!B1270</f>
        <v>0.58333333333333337</v>
      </c>
      <c r="C1270" s="6">
        <f>Sheet1!C1270</f>
        <v>244.05</v>
      </c>
      <c r="D1270" s="6">
        <f>Sheet1!D1270</f>
        <v>245.1</v>
      </c>
      <c r="E1270" s="6">
        <f>Sheet1!E1270</f>
        <v>240.35</v>
      </c>
      <c r="F1270" s="6">
        <f>Sheet1!F1270</f>
        <v>242.95</v>
      </c>
      <c r="H1270" s="6">
        <f ca="1">IF(ROW($H1270)-1&lt;$I$1,$F1270,AVERAGE($F1270:OFFSET($F1270,(($I$1-1)*-1),0)))</f>
        <v>246.43333333333337</v>
      </c>
      <c r="J1270" s="6">
        <f ca="1">IF(ROW($J1270)-1&lt;$K$1,$F1270,AVERAGE($F1270:OFFSET($F1270,(($K$1-1)*-1),0)))</f>
        <v>242.10178571428568</v>
      </c>
      <c r="L1270" s="7">
        <f t="shared" ca="1" si="114"/>
        <v>1</v>
      </c>
      <c r="M1270" s="7" t="str">
        <f t="shared" ca="1" si="115"/>
        <v/>
      </c>
      <c r="N1270" s="6" t="str">
        <f t="shared" ca="1" si="116"/>
        <v/>
      </c>
      <c r="O1270" s="6">
        <f t="shared" si="117"/>
        <v>-0.30000000000001137</v>
      </c>
      <c r="Q1270" s="6">
        <v>-8.9500000000000171</v>
      </c>
      <c r="R1270" s="9">
        <f t="shared" si="118"/>
        <v>-3356.2500000000064</v>
      </c>
      <c r="S1270" s="7">
        <f t="shared" si="119"/>
        <v>-8324.9999999999654</v>
      </c>
    </row>
    <row r="1271" spans="1:19" x14ac:dyDescent="0.25">
      <c r="A1271" s="4">
        <f>Sheet1!A1271</f>
        <v>40927</v>
      </c>
      <c r="B1271" s="5">
        <f>Sheet1!B1271</f>
        <v>0.58333333333333337</v>
      </c>
      <c r="C1271" s="6">
        <f>Sheet1!C1271</f>
        <v>242.35</v>
      </c>
      <c r="D1271" s="6">
        <f>Sheet1!D1271</f>
        <v>245.9</v>
      </c>
      <c r="E1271" s="6">
        <f>Sheet1!E1271</f>
        <v>241.45</v>
      </c>
      <c r="F1271" s="6">
        <f>Sheet1!F1271</f>
        <v>244.75</v>
      </c>
      <c r="H1271" s="6">
        <f ca="1">IF(ROW($H1271)-1&lt;$I$1,$F1271,AVERAGE($F1271:OFFSET($F1271,(($I$1-1)*-1),0)))</f>
        <v>246.54999999999998</v>
      </c>
      <c r="J1271" s="6">
        <f ca="1">IF(ROW($J1271)-1&lt;$K$1,$F1271,AVERAGE($F1271:OFFSET($F1271,(($K$1-1)*-1),0)))</f>
        <v>241.98749999999998</v>
      </c>
      <c r="L1271" s="7">
        <f t="shared" ca="1" si="114"/>
        <v>1</v>
      </c>
      <c r="M1271" s="7" t="str">
        <f t="shared" ca="1" si="115"/>
        <v/>
      </c>
      <c r="N1271" s="6" t="str">
        <f t="shared" ca="1" si="116"/>
        <v/>
      </c>
      <c r="O1271" s="6">
        <f t="shared" si="117"/>
        <v>1.8000000000000114</v>
      </c>
      <c r="Q1271" s="6">
        <v>-7.1500000000000057</v>
      </c>
      <c r="R1271" s="9">
        <f t="shared" si="118"/>
        <v>-2681.2500000000023</v>
      </c>
      <c r="S1271" s="7">
        <f t="shared" si="119"/>
        <v>-8324.9999999999654</v>
      </c>
    </row>
    <row r="1272" spans="1:19" x14ac:dyDescent="0.25">
      <c r="A1272" s="4">
        <f>Sheet1!A1272</f>
        <v>40928</v>
      </c>
      <c r="B1272" s="5">
        <f>Sheet1!B1272</f>
        <v>0.58333333333333337</v>
      </c>
      <c r="C1272" s="6">
        <f>Sheet1!C1272</f>
        <v>243.6</v>
      </c>
      <c r="D1272" s="6">
        <f>Sheet1!D1272</f>
        <v>246.75</v>
      </c>
      <c r="E1272" s="6">
        <f>Sheet1!E1272</f>
        <v>242.2</v>
      </c>
      <c r="F1272" s="6">
        <f>Sheet1!F1272</f>
        <v>243.5</v>
      </c>
      <c r="H1272" s="6">
        <f ca="1">IF(ROW($H1272)-1&lt;$I$1,$F1272,AVERAGE($F1272:OFFSET($F1272,(($I$1-1)*-1),0)))</f>
        <v>244.96666666666667</v>
      </c>
      <c r="J1272" s="6">
        <f ca="1">IF(ROW($J1272)-1&lt;$K$1,$F1272,AVERAGE($F1272:OFFSET($F1272,(($K$1-1)*-1),0)))</f>
        <v>241.87142857142859</v>
      </c>
      <c r="L1272" s="7">
        <f t="shared" ca="1" si="114"/>
        <v>1</v>
      </c>
      <c r="M1272" s="7" t="str">
        <f t="shared" ca="1" si="115"/>
        <v/>
      </c>
      <c r="N1272" s="6" t="str">
        <f t="shared" ca="1" si="116"/>
        <v/>
      </c>
      <c r="O1272" s="6">
        <f t="shared" si="117"/>
        <v>-1.25</v>
      </c>
      <c r="Q1272" s="6">
        <v>-8.4000000000000057</v>
      </c>
      <c r="R1272" s="9">
        <f t="shared" si="118"/>
        <v>-3150.0000000000023</v>
      </c>
      <c r="S1272" s="7">
        <f t="shared" si="119"/>
        <v>-8324.9999999999654</v>
      </c>
    </row>
    <row r="1273" spans="1:19" x14ac:dyDescent="0.25">
      <c r="A1273" s="4">
        <f>Sheet1!A1273</f>
        <v>40931</v>
      </c>
      <c r="B1273" s="5">
        <f>Sheet1!B1273</f>
        <v>0.58333333333333337</v>
      </c>
      <c r="C1273" s="6">
        <f>Sheet1!C1273</f>
        <v>242</v>
      </c>
      <c r="D1273" s="6">
        <f>Sheet1!D1273</f>
        <v>243.1</v>
      </c>
      <c r="E1273" s="6">
        <f>Sheet1!E1273</f>
        <v>235.95</v>
      </c>
      <c r="F1273" s="6">
        <f>Sheet1!F1273</f>
        <v>237.55</v>
      </c>
      <c r="H1273" s="6">
        <f ca="1">IF(ROW($H1273)-1&lt;$I$1,$F1273,AVERAGE($F1273:OFFSET($F1273,(($I$1-1)*-1),0)))</f>
        <v>242.55833333333331</v>
      </c>
      <c r="J1273" s="6">
        <f ca="1">IF(ROW($J1273)-1&lt;$K$1,$F1273,AVERAGE($F1273:OFFSET($F1273,(($K$1-1)*-1),0)))</f>
        <v>241.57500000000002</v>
      </c>
      <c r="L1273" s="7">
        <f t="shared" ca="1" si="114"/>
        <v>1</v>
      </c>
      <c r="M1273" s="7" t="str">
        <f t="shared" ca="1" si="115"/>
        <v/>
      </c>
      <c r="N1273" s="6" t="str">
        <f t="shared" ca="1" si="116"/>
        <v/>
      </c>
      <c r="O1273" s="6">
        <f t="shared" si="117"/>
        <v>-5.9499999999999886</v>
      </c>
      <c r="Q1273" s="6">
        <v>-14.349999999999994</v>
      </c>
      <c r="R1273" s="9">
        <f t="shared" si="118"/>
        <v>-5381.2499999999982</v>
      </c>
      <c r="S1273" s="7">
        <f t="shared" si="119"/>
        <v>-8324.9999999999654</v>
      </c>
    </row>
    <row r="1274" spans="1:19" x14ac:dyDescent="0.25">
      <c r="A1274" s="4">
        <f>Sheet1!A1274</f>
        <v>40932</v>
      </c>
      <c r="B1274" s="5">
        <f>Sheet1!B1274</f>
        <v>0.58333333333333337</v>
      </c>
      <c r="C1274" s="6">
        <f>Sheet1!C1274</f>
        <v>237.85</v>
      </c>
      <c r="D1274" s="6">
        <f>Sheet1!D1274</f>
        <v>239.4</v>
      </c>
      <c r="E1274" s="6">
        <f>Sheet1!E1274</f>
        <v>235.65</v>
      </c>
      <c r="F1274" s="6">
        <f>Sheet1!F1274</f>
        <v>238.55</v>
      </c>
      <c r="H1274" s="6">
        <f ca="1">IF(ROW($H1274)-1&lt;$I$1,$F1274,AVERAGE($F1274:OFFSET($F1274,(($I$1-1)*-1),0)))</f>
        <v>241.75833333333333</v>
      </c>
      <c r="J1274" s="6">
        <f ca="1">IF(ROW($J1274)-1&lt;$K$1,$F1274,AVERAGE($F1274:OFFSET($F1274,(($K$1-1)*-1),0)))</f>
        <v>241.55357142857147</v>
      </c>
      <c r="L1274" s="7">
        <f t="shared" ca="1" si="114"/>
        <v>1</v>
      </c>
      <c r="M1274" s="7" t="str">
        <f t="shared" ca="1" si="115"/>
        <v/>
      </c>
      <c r="N1274" s="6" t="str">
        <f t="shared" ca="1" si="116"/>
        <v/>
      </c>
      <c r="O1274" s="6">
        <f t="shared" si="117"/>
        <v>1</v>
      </c>
      <c r="Q1274" s="6">
        <v>-13.349999999999994</v>
      </c>
      <c r="R1274" s="9">
        <f t="shared" si="118"/>
        <v>-5006.2499999999982</v>
      </c>
      <c r="S1274" s="7">
        <f t="shared" si="119"/>
        <v>-8324.9999999999654</v>
      </c>
    </row>
    <row r="1275" spans="1:19" x14ac:dyDescent="0.25">
      <c r="A1275" s="4">
        <f>Sheet1!A1275</f>
        <v>40933</v>
      </c>
      <c r="B1275" s="5">
        <f>Sheet1!B1275</f>
        <v>0.58333333333333337</v>
      </c>
      <c r="C1275" s="6">
        <f>Sheet1!C1275</f>
        <v>238.35</v>
      </c>
      <c r="D1275" s="6">
        <f>Sheet1!D1275</f>
        <v>240</v>
      </c>
      <c r="E1275" s="6">
        <f>Sheet1!E1275</f>
        <v>234.9</v>
      </c>
      <c r="F1275" s="6">
        <f>Sheet1!F1275</f>
        <v>235.3</v>
      </c>
      <c r="H1275" s="6">
        <f ca="1">IF(ROW($H1275)-1&lt;$I$1,$F1275,AVERAGE($F1275:OFFSET($F1275,(($I$1-1)*-1),0)))</f>
        <v>240.43333333333331</v>
      </c>
      <c r="J1275" s="6">
        <f ca="1">IF(ROW($J1275)-1&lt;$K$1,$F1275,AVERAGE($F1275:OFFSET($F1275,(($K$1-1)*-1),0)))</f>
        <v>241.34821428571431</v>
      </c>
      <c r="L1275" s="7">
        <f t="shared" ca="1" si="114"/>
        <v>-1</v>
      </c>
      <c r="M1275" s="7">
        <f t="shared" ca="1" si="115"/>
        <v>-1</v>
      </c>
      <c r="N1275" s="6" t="str">
        <f t="shared" ca="1" si="116"/>
        <v/>
      </c>
      <c r="O1275" s="6">
        <f t="shared" si="117"/>
        <v>-3.25</v>
      </c>
      <c r="Q1275" s="6">
        <v>-16.599999999999994</v>
      </c>
      <c r="R1275" s="9">
        <f t="shared" si="118"/>
        <v>-6224.9999999999982</v>
      </c>
      <c r="S1275" s="7">
        <f t="shared" si="119"/>
        <v>-8324.9999999999654</v>
      </c>
    </row>
    <row r="1276" spans="1:19" x14ac:dyDescent="0.25">
      <c r="A1276" s="4">
        <f>Sheet1!A1276</f>
        <v>40934</v>
      </c>
      <c r="B1276" s="5">
        <f>Sheet1!B1276</f>
        <v>0.58333333333333337</v>
      </c>
      <c r="C1276" s="6">
        <f>Sheet1!C1276</f>
        <v>236.6</v>
      </c>
      <c r="D1276" s="6">
        <f>Sheet1!D1276</f>
        <v>239.6</v>
      </c>
      <c r="E1276" s="6">
        <f>Sheet1!E1276</f>
        <v>235.35</v>
      </c>
      <c r="F1276" s="6">
        <f>Sheet1!F1276</f>
        <v>237.8</v>
      </c>
      <c r="H1276" s="6">
        <f ca="1">IF(ROW($H1276)-1&lt;$I$1,$F1276,AVERAGE($F1276:OFFSET($F1276,(($I$1-1)*-1),0)))</f>
        <v>239.57499999999996</v>
      </c>
      <c r="J1276" s="6">
        <f ca="1">IF(ROW($J1276)-1&lt;$K$1,$F1276,AVERAGE($F1276:OFFSET($F1276,(($K$1-1)*-1),0)))</f>
        <v>241.40892857142862</v>
      </c>
      <c r="L1276" s="7">
        <f t="shared" ca="1" si="114"/>
        <v>-1</v>
      </c>
      <c r="M1276" s="7" t="str">
        <f t="shared" ca="1" si="115"/>
        <v/>
      </c>
      <c r="N1276" s="6">
        <f t="shared" ca="1" si="116"/>
        <v>236.6</v>
      </c>
      <c r="O1276" s="6">
        <f t="shared" si="117"/>
        <v>2.5</v>
      </c>
      <c r="P1276" s="6">
        <v>-15.300000000000011</v>
      </c>
      <c r="Q1276" s="6">
        <v>-1.2000000000000171</v>
      </c>
      <c r="R1276" s="9">
        <f t="shared" si="118"/>
        <v>-450.00000000000637</v>
      </c>
      <c r="S1276" s="7">
        <f t="shared" si="119"/>
        <v>-14062.499999999971</v>
      </c>
    </row>
    <row r="1277" spans="1:19" x14ac:dyDescent="0.25">
      <c r="A1277" s="4">
        <f>Sheet1!A1277</f>
        <v>40935</v>
      </c>
      <c r="B1277" s="5">
        <f>Sheet1!B1277</f>
        <v>0.58333333333333337</v>
      </c>
      <c r="C1277" s="6">
        <f>Sheet1!C1277</f>
        <v>237.75</v>
      </c>
      <c r="D1277" s="6">
        <f>Sheet1!D1277</f>
        <v>238.3</v>
      </c>
      <c r="E1277" s="6">
        <f>Sheet1!E1277</f>
        <v>235</v>
      </c>
      <c r="F1277" s="6">
        <f>Sheet1!F1277</f>
        <v>235.45</v>
      </c>
      <c r="H1277" s="6">
        <f ca="1">IF(ROW($H1277)-1&lt;$I$1,$F1277,AVERAGE($F1277:OFFSET($F1277,(($I$1-1)*-1),0)))</f>
        <v>238.02500000000001</v>
      </c>
      <c r="J1277" s="6">
        <f ca="1">IF(ROW($J1277)-1&lt;$K$1,$F1277,AVERAGE($F1277:OFFSET($F1277,(($K$1-1)*-1),0)))</f>
        <v>241.39464285714288</v>
      </c>
      <c r="L1277" s="7">
        <f t="shared" ca="1" si="114"/>
        <v>-1</v>
      </c>
      <c r="M1277" s="7" t="str">
        <f t="shared" ca="1" si="115"/>
        <v/>
      </c>
      <c r="N1277" s="6" t="str">
        <f t="shared" ca="1" si="116"/>
        <v/>
      </c>
      <c r="O1277" s="6">
        <f t="shared" si="117"/>
        <v>-2.3500000000000227</v>
      </c>
      <c r="Q1277" s="6">
        <v>1.1500000000000057</v>
      </c>
      <c r="R1277" s="9">
        <f t="shared" si="118"/>
        <v>431.25000000000216</v>
      </c>
      <c r="S1277" s="7">
        <f t="shared" si="119"/>
        <v>-14062.499999999971</v>
      </c>
    </row>
    <row r="1278" spans="1:19" x14ac:dyDescent="0.25">
      <c r="A1278" s="4">
        <f>Sheet1!A1278</f>
        <v>40938</v>
      </c>
      <c r="B1278" s="5">
        <f>Sheet1!B1278</f>
        <v>0.58333333333333337</v>
      </c>
      <c r="C1278" s="6">
        <f>Sheet1!C1278</f>
        <v>234.85</v>
      </c>
      <c r="D1278" s="6">
        <f>Sheet1!D1278</f>
        <v>235.4</v>
      </c>
      <c r="E1278" s="6">
        <f>Sheet1!E1278</f>
        <v>233.1</v>
      </c>
      <c r="F1278" s="6">
        <f>Sheet1!F1278</f>
        <v>234.7</v>
      </c>
      <c r="H1278" s="6">
        <f ca="1">IF(ROW($H1278)-1&lt;$I$1,$F1278,AVERAGE($F1278:OFFSET($F1278,(($I$1-1)*-1),0)))</f>
        <v>236.55833333333337</v>
      </c>
      <c r="J1278" s="6">
        <f ca="1">IF(ROW($J1278)-1&lt;$K$1,$F1278,AVERAGE($F1278:OFFSET($F1278,(($K$1-1)*-1),0)))</f>
        <v>241.4482142857143</v>
      </c>
      <c r="L1278" s="7">
        <f t="shared" ca="1" si="114"/>
        <v>-1</v>
      </c>
      <c r="M1278" s="7" t="str">
        <f t="shared" ca="1" si="115"/>
        <v/>
      </c>
      <c r="N1278" s="6" t="str">
        <f t="shared" ca="1" si="116"/>
        <v/>
      </c>
      <c r="O1278" s="6">
        <f t="shared" si="117"/>
        <v>-0.75</v>
      </c>
      <c r="Q1278" s="6">
        <v>1.9000000000000057</v>
      </c>
      <c r="R1278" s="9">
        <f t="shared" si="118"/>
        <v>712.50000000000216</v>
      </c>
      <c r="S1278" s="7">
        <f t="shared" si="119"/>
        <v>-14062.499999999971</v>
      </c>
    </row>
    <row r="1279" spans="1:19" x14ac:dyDescent="0.25">
      <c r="A1279" s="4">
        <f>Sheet1!A1279</f>
        <v>40939</v>
      </c>
      <c r="B1279" s="5">
        <f>Sheet1!B1279</f>
        <v>0.58333333333333337</v>
      </c>
      <c r="C1279" s="6">
        <f>Sheet1!C1279</f>
        <v>235.1</v>
      </c>
      <c r="D1279" s="6">
        <f>Sheet1!D1279</f>
        <v>237.75</v>
      </c>
      <c r="E1279" s="6">
        <f>Sheet1!E1279</f>
        <v>231.2</v>
      </c>
      <c r="F1279" s="6">
        <f>Sheet1!F1279</f>
        <v>233.15</v>
      </c>
      <c r="H1279" s="6">
        <f ca="1">IF(ROW($H1279)-1&lt;$I$1,$F1279,AVERAGE($F1279:OFFSET($F1279,(($I$1-1)*-1),0)))</f>
        <v>235.82500000000005</v>
      </c>
      <c r="J1279" s="6">
        <f ca="1">IF(ROW($J1279)-1&lt;$K$1,$F1279,AVERAGE($F1279:OFFSET($F1279,(($K$1-1)*-1),0)))</f>
        <v>241.29107142857143</v>
      </c>
      <c r="L1279" s="7">
        <f t="shared" ca="1" si="114"/>
        <v>-1</v>
      </c>
      <c r="M1279" s="7" t="str">
        <f t="shared" ca="1" si="115"/>
        <v/>
      </c>
      <c r="N1279" s="6" t="str">
        <f t="shared" ca="1" si="116"/>
        <v/>
      </c>
      <c r="O1279" s="6">
        <f t="shared" si="117"/>
        <v>-1.5499999999999829</v>
      </c>
      <c r="Q1279" s="6">
        <v>3.4499999999999886</v>
      </c>
      <c r="R1279" s="9">
        <f t="shared" si="118"/>
        <v>1293.7499999999957</v>
      </c>
      <c r="S1279" s="7">
        <f t="shared" si="119"/>
        <v>-14062.499999999971</v>
      </c>
    </row>
    <row r="1280" spans="1:19" x14ac:dyDescent="0.25">
      <c r="A1280" s="4">
        <f>Sheet1!A1280</f>
        <v>40940</v>
      </c>
      <c r="B1280" s="5">
        <f>Sheet1!B1280</f>
        <v>0.58333333333333337</v>
      </c>
      <c r="C1280" s="6">
        <f>Sheet1!C1280</f>
        <v>232.6</v>
      </c>
      <c r="D1280" s="6">
        <f>Sheet1!D1280</f>
        <v>234</v>
      </c>
      <c r="E1280" s="6">
        <f>Sheet1!E1280</f>
        <v>231.3</v>
      </c>
      <c r="F1280" s="6">
        <f>Sheet1!F1280</f>
        <v>232.2</v>
      </c>
      <c r="H1280" s="6">
        <f ca="1">IF(ROW($H1280)-1&lt;$I$1,$F1280,AVERAGE($F1280:OFFSET($F1280,(($I$1-1)*-1),0)))</f>
        <v>234.76666666666668</v>
      </c>
      <c r="J1280" s="6">
        <f ca="1">IF(ROW($J1280)-1&lt;$K$1,$F1280,AVERAGE($F1280:OFFSET($F1280,(($K$1-1)*-1),0)))</f>
        <v>240.98035714285712</v>
      </c>
      <c r="L1280" s="7">
        <f t="shared" ca="1" si="114"/>
        <v>-1</v>
      </c>
      <c r="M1280" s="7" t="str">
        <f t="shared" ca="1" si="115"/>
        <v/>
      </c>
      <c r="N1280" s="6" t="str">
        <f t="shared" ca="1" si="116"/>
        <v/>
      </c>
      <c r="O1280" s="6">
        <f t="shared" si="117"/>
        <v>-0.95000000000001705</v>
      </c>
      <c r="Q1280" s="6">
        <v>4.4000000000000057</v>
      </c>
      <c r="R1280" s="9">
        <f t="shared" si="118"/>
        <v>1650.000000000002</v>
      </c>
      <c r="S1280" s="7">
        <f t="shared" si="119"/>
        <v>-14062.499999999971</v>
      </c>
    </row>
    <row r="1281" spans="1:19" x14ac:dyDescent="0.25">
      <c r="A1281" s="4">
        <f>Sheet1!A1281</f>
        <v>40941</v>
      </c>
      <c r="B1281" s="5">
        <f>Sheet1!B1281</f>
        <v>0.58333333333333337</v>
      </c>
      <c r="C1281" s="6">
        <f>Sheet1!C1281</f>
        <v>232.1</v>
      </c>
      <c r="D1281" s="6">
        <f>Sheet1!D1281</f>
        <v>234.25</v>
      </c>
      <c r="E1281" s="6">
        <f>Sheet1!E1281</f>
        <v>229.05</v>
      </c>
      <c r="F1281" s="6">
        <f>Sheet1!F1281</f>
        <v>233.7</v>
      </c>
      <c r="H1281" s="6">
        <f ca="1">IF(ROW($H1281)-1&lt;$I$1,$F1281,AVERAGE($F1281:OFFSET($F1281,(($I$1-1)*-1),0)))</f>
        <v>234.5</v>
      </c>
      <c r="J1281" s="6">
        <f ca="1">IF(ROW($J1281)-1&lt;$K$1,$F1281,AVERAGE($F1281:OFFSET($F1281,(($K$1-1)*-1),0)))</f>
        <v>240.82678571428571</v>
      </c>
      <c r="L1281" s="7">
        <f t="shared" ca="1" si="114"/>
        <v>-1</v>
      </c>
      <c r="M1281" s="7" t="str">
        <f t="shared" ca="1" si="115"/>
        <v/>
      </c>
      <c r="N1281" s="6" t="str">
        <f t="shared" ca="1" si="116"/>
        <v/>
      </c>
      <c r="O1281" s="6">
        <f t="shared" si="117"/>
        <v>1.5</v>
      </c>
      <c r="Q1281" s="6">
        <v>2.9000000000000057</v>
      </c>
      <c r="R1281" s="9">
        <f t="shared" si="118"/>
        <v>1087.500000000002</v>
      </c>
      <c r="S1281" s="7">
        <f t="shared" si="119"/>
        <v>-14062.499999999971</v>
      </c>
    </row>
    <row r="1282" spans="1:19" x14ac:dyDescent="0.25">
      <c r="A1282" s="4">
        <f>Sheet1!A1282</f>
        <v>40942</v>
      </c>
      <c r="B1282" s="5">
        <f>Sheet1!B1282</f>
        <v>0.58333333333333337</v>
      </c>
      <c r="C1282" s="6">
        <f>Sheet1!C1282</f>
        <v>233.9</v>
      </c>
      <c r="D1282" s="6">
        <f>Sheet1!D1282</f>
        <v>237.05</v>
      </c>
      <c r="E1282" s="6">
        <f>Sheet1!E1282</f>
        <v>232.7</v>
      </c>
      <c r="F1282" s="6">
        <f>Sheet1!F1282</f>
        <v>234.05</v>
      </c>
      <c r="H1282" s="6">
        <f ca="1">IF(ROW($H1282)-1&lt;$I$1,$F1282,AVERAGE($F1282:OFFSET($F1282,(($I$1-1)*-1),0)))</f>
        <v>233.875</v>
      </c>
      <c r="J1282" s="6">
        <f ca="1">IF(ROW($J1282)-1&lt;$K$1,$F1282,AVERAGE($F1282:OFFSET($F1282,(($K$1-1)*-1),0)))</f>
        <v>240.63214285714284</v>
      </c>
      <c r="L1282" s="7">
        <f t="shared" ca="1" si="114"/>
        <v>-1</v>
      </c>
      <c r="M1282" s="7" t="str">
        <f t="shared" ca="1" si="115"/>
        <v/>
      </c>
      <c r="N1282" s="6" t="str">
        <f t="shared" ca="1" si="116"/>
        <v/>
      </c>
      <c r="O1282" s="6">
        <f t="shared" si="117"/>
        <v>0.35000000000002274</v>
      </c>
      <c r="Q1282" s="6">
        <v>2.5499999999999829</v>
      </c>
      <c r="R1282" s="9">
        <f t="shared" si="118"/>
        <v>956.24999999999363</v>
      </c>
      <c r="S1282" s="7">
        <f t="shared" si="119"/>
        <v>-14062.499999999971</v>
      </c>
    </row>
    <row r="1283" spans="1:19" x14ac:dyDescent="0.25">
      <c r="A1283" s="4">
        <f>Sheet1!A1283</f>
        <v>40945</v>
      </c>
      <c r="B1283" s="5">
        <f>Sheet1!B1283</f>
        <v>0.58333333333333337</v>
      </c>
      <c r="C1283" s="6">
        <f>Sheet1!C1283</f>
        <v>233.1</v>
      </c>
      <c r="D1283" s="6">
        <f>Sheet1!D1283</f>
        <v>237.9</v>
      </c>
      <c r="E1283" s="6">
        <f>Sheet1!E1283</f>
        <v>231.15</v>
      </c>
      <c r="F1283" s="6">
        <f>Sheet1!F1283</f>
        <v>236.9</v>
      </c>
      <c r="H1283" s="6">
        <f ca="1">IF(ROW($H1283)-1&lt;$I$1,$F1283,AVERAGE($F1283:OFFSET($F1283,(($I$1-1)*-1),0)))</f>
        <v>234.11666666666667</v>
      </c>
      <c r="J1283" s="6">
        <f ca="1">IF(ROW($J1283)-1&lt;$K$1,$F1283,AVERAGE($F1283:OFFSET($F1283,(($K$1-1)*-1),0)))</f>
        <v>240.60178571428568</v>
      </c>
      <c r="L1283" s="7">
        <f t="shared" ref="L1283:L1346" ca="1" si="120">IF(ROW($L1283)&gt;($K$1),IF($H1283&gt;$J1283,1,IF($H1283&lt;$J1283,-1,$L1282*-1)),0)</f>
        <v>-1</v>
      </c>
      <c r="M1283" s="7" t="str">
        <f t="shared" ca="1" si="115"/>
        <v/>
      </c>
      <c r="N1283" s="6" t="str">
        <f t="shared" ca="1" si="116"/>
        <v/>
      </c>
      <c r="O1283" s="6">
        <f t="shared" si="117"/>
        <v>2.8499999999999943</v>
      </c>
      <c r="Q1283" s="6">
        <v>-0.30000000000001137</v>
      </c>
      <c r="R1283" s="9">
        <f t="shared" si="118"/>
        <v>-112.50000000000426</v>
      </c>
      <c r="S1283" s="7">
        <f t="shared" si="119"/>
        <v>-14062.499999999971</v>
      </c>
    </row>
    <row r="1284" spans="1:19" x14ac:dyDescent="0.25">
      <c r="A1284" s="4">
        <f>Sheet1!A1284</f>
        <v>40946</v>
      </c>
      <c r="B1284" s="5">
        <f>Sheet1!B1284</f>
        <v>0.58333333333333337</v>
      </c>
      <c r="C1284" s="6">
        <f>Sheet1!C1284</f>
        <v>237.2</v>
      </c>
      <c r="D1284" s="6">
        <f>Sheet1!D1284</f>
        <v>240.55</v>
      </c>
      <c r="E1284" s="6">
        <f>Sheet1!E1284</f>
        <v>233.9</v>
      </c>
      <c r="F1284" s="6">
        <f>Sheet1!F1284</f>
        <v>239.05</v>
      </c>
      <c r="H1284" s="6">
        <f ca="1">IF(ROW($H1284)-1&lt;$I$1,$F1284,AVERAGE($F1284:OFFSET($F1284,(($I$1-1)*-1),0)))</f>
        <v>234.84166666666667</v>
      </c>
      <c r="J1284" s="6">
        <f ca="1">IF(ROW($J1284)-1&lt;$K$1,$F1284,AVERAGE($F1284:OFFSET($F1284,(($K$1-1)*-1),0)))</f>
        <v>240.53392857142853</v>
      </c>
      <c r="L1284" s="7">
        <f t="shared" ca="1" si="120"/>
        <v>-1</v>
      </c>
      <c r="M1284" s="7" t="str">
        <f t="shared" ref="M1284:M1347" ca="1" si="121">IF(L1284&lt;&gt;L1283,L1284,"")</f>
        <v/>
      </c>
      <c r="N1284" s="6" t="str">
        <f t="shared" ref="N1284:N1347" ca="1" si="122">IF(M1283&lt;&gt;"",C1284,"")</f>
        <v/>
      </c>
      <c r="O1284" s="6">
        <f t="shared" ref="O1284:O1347" si="123">F1284-F1283</f>
        <v>2.1500000000000057</v>
      </c>
      <c r="Q1284" s="6">
        <v>-2.4500000000000171</v>
      </c>
      <c r="R1284" s="9">
        <f t="shared" ref="R1284:R1347" si="124">IF(Q1284="","",Q1284*375)</f>
        <v>-918.75000000000637</v>
      </c>
      <c r="S1284" s="7">
        <f t="shared" si="119"/>
        <v>-14062.499999999971</v>
      </c>
    </row>
    <row r="1285" spans="1:19" x14ac:dyDescent="0.25">
      <c r="A1285" s="4">
        <f>Sheet1!A1285</f>
        <v>40947</v>
      </c>
      <c r="B1285" s="5">
        <f>Sheet1!B1285</f>
        <v>0.58333333333333337</v>
      </c>
      <c r="C1285" s="6">
        <f>Sheet1!C1285</f>
        <v>239</v>
      </c>
      <c r="D1285" s="6">
        <f>Sheet1!D1285</f>
        <v>240.4</v>
      </c>
      <c r="E1285" s="6">
        <f>Sheet1!E1285</f>
        <v>237.25</v>
      </c>
      <c r="F1285" s="6">
        <f>Sheet1!F1285</f>
        <v>238.15</v>
      </c>
      <c r="H1285" s="6">
        <f ca="1">IF(ROW($H1285)-1&lt;$I$1,$F1285,AVERAGE($F1285:OFFSET($F1285,(($I$1-1)*-1),0)))</f>
        <v>235.67500000000004</v>
      </c>
      <c r="J1285" s="6">
        <f ca="1">IF(ROW($J1285)-1&lt;$K$1,$F1285,AVERAGE($F1285:OFFSET($F1285,(($K$1-1)*-1),0)))</f>
        <v>240.2946428571428</v>
      </c>
      <c r="L1285" s="7">
        <f t="shared" ca="1" si="120"/>
        <v>-1</v>
      </c>
      <c r="M1285" s="7" t="str">
        <f t="shared" ca="1" si="121"/>
        <v/>
      </c>
      <c r="N1285" s="6" t="str">
        <f t="shared" ca="1" si="122"/>
        <v/>
      </c>
      <c r="O1285" s="6">
        <f t="shared" si="123"/>
        <v>-0.90000000000000568</v>
      </c>
      <c r="Q1285" s="6">
        <v>-1.5500000000000114</v>
      </c>
      <c r="R1285" s="9">
        <f t="shared" si="124"/>
        <v>-581.25000000000432</v>
      </c>
      <c r="S1285" s="7">
        <f t="shared" si="119"/>
        <v>-14062.499999999971</v>
      </c>
    </row>
    <row r="1286" spans="1:19" x14ac:dyDescent="0.25">
      <c r="A1286" s="4">
        <f>Sheet1!A1286</f>
        <v>40948</v>
      </c>
      <c r="B1286" s="5">
        <f>Sheet1!B1286</f>
        <v>0.58333333333333337</v>
      </c>
      <c r="C1286" s="6">
        <f>Sheet1!C1286</f>
        <v>238.7</v>
      </c>
      <c r="D1286" s="6">
        <f>Sheet1!D1286</f>
        <v>240.25</v>
      </c>
      <c r="E1286" s="6">
        <f>Sheet1!E1286</f>
        <v>232.85</v>
      </c>
      <c r="F1286" s="6">
        <f>Sheet1!F1286</f>
        <v>234.1</v>
      </c>
      <c r="H1286" s="6">
        <f ca="1">IF(ROW($H1286)-1&lt;$I$1,$F1286,AVERAGE($F1286:OFFSET($F1286,(($I$1-1)*-1),0)))</f>
        <v>235.99166666666667</v>
      </c>
      <c r="J1286" s="6">
        <f ca="1">IF(ROW($J1286)-1&lt;$K$1,$F1286,AVERAGE($F1286:OFFSET($F1286,(($K$1-1)*-1),0)))</f>
        <v>239.99999999999997</v>
      </c>
      <c r="L1286" s="7">
        <f t="shared" ca="1" si="120"/>
        <v>-1</v>
      </c>
      <c r="M1286" s="7" t="str">
        <f t="shared" ca="1" si="121"/>
        <v/>
      </c>
      <c r="N1286" s="6" t="str">
        <f t="shared" ca="1" si="122"/>
        <v/>
      </c>
      <c r="O1286" s="6">
        <f t="shared" si="123"/>
        <v>-4.0500000000000114</v>
      </c>
      <c r="Q1286" s="6">
        <v>2.5</v>
      </c>
      <c r="R1286" s="9">
        <f t="shared" si="124"/>
        <v>937.5</v>
      </c>
      <c r="S1286" s="7">
        <f t="shared" si="119"/>
        <v>-14062.499999999971</v>
      </c>
    </row>
    <row r="1287" spans="1:19" x14ac:dyDescent="0.25">
      <c r="A1287" s="4">
        <f>Sheet1!A1287</f>
        <v>40949</v>
      </c>
      <c r="B1287" s="5">
        <f>Sheet1!B1287</f>
        <v>0.58333333333333337</v>
      </c>
      <c r="C1287" s="6">
        <f>Sheet1!C1287</f>
        <v>234.1</v>
      </c>
      <c r="D1287" s="6">
        <f>Sheet1!D1287</f>
        <v>236.1</v>
      </c>
      <c r="E1287" s="6">
        <f>Sheet1!E1287</f>
        <v>232.55</v>
      </c>
      <c r="F1287" s="6">
        <f>Sheet1!F1287</f>
        <v>233.4</v>
      </c>
      <c r="H1287" s="6">
        <f ca="1">IF(ROW($H1287)-1&lt;$I$1,$F1287,AVERAGE($F1287:OFFSET($F1287,(($I$1-1)*-1),0)))</f>
        <v>235.94166666666669</v>
      </c>
      <c r="J1287" s="6">
        <f ca="1">IF(ROW($J1287)-1&lt;$K$1,$F1287,AVERAGE($F1287:OFFSET($F1287,(($K$1-1)*-1),0)))</f>
        <v>239.58749999999995</v>
      </c>
      <c r="L1287" s="7">
        <f t="shared" ca="1" si="120"/>
        <v>-1</v>
      </c>
      <c r="M1287" s="7" t="str">
        <f t="shared" ca="1" si="121"/>
        <v/>
      </c>
      <c r="N1287" s="6" t="str">
        <f t="shared" ca="1" si="122"/>
        <v/>
      </c>
      <c r="O1287" s="6">
        <f t="shared" si="123"/>
        <v>-0.69999999999998863</v>
      </c>
      <c r="Q1287" s="6">
        <v>3.1999999999999886</v>
      </c>
      <c r="R1287" s="9">
        <f t="shared" si="124"/>
        <v>1199.9999999999957</v>
      </c>
      <c r="S1287" s="7">
        <f t="shared" si="119"/>
        <v>-14062.499999999971</v>
      </c>
    </row>
    <row r="1288" spans="1:19" x14ac:dyDescent="0.25">
      <c r="A1288" s="4">
        <f>Sheet1!A1288</f>
        <v>40952</v>
      </c>
      <c r="B1288" s="5">
        <f>Sheet1!B1288</f>
        <v>0.58333333333333337</v>
      </c>
      <c r="C1288" s="6">
        <f>Sheet1!C1288</f>
        <v>233.5</v>
      </c>
      <c r="D1288" s="6">
        <f>Sheet1!D1288</f>
        <v>235.6</v>
      </c>
      <c r="E1288" s="6">
        <f>Sheet1!E1288</f>
        <v>228.7</v>
      </c>
      <c r="F1288" s="6">
        <f>Sheet1!F1288</f>
        <v>230.6</v>
      </c>
      <c r="H1288" s="6">
        <f ca="1">IF(ROW($H1288)-1&lt;$I$1,$F1288,AVERAGE($F1288:OFFSET($F1288,(($I$1-1)*-1),0)))</f>
        <v>235.36666666666667</v>
      </c>
      <c r="J1288" s="6">
        <f ca="1">IF(ROW($J1288)-1&lt;$K$1,$F1288,AVERAGE($F1288:OFFSET($F1288,(($K$1-1)*-1),0)))</f>
        <v>239.06249999999997</v>
      </c>
      <c r="L1288" s="7">
        <f t="shared" ca="1" si="120"/>
        <v>-1</v>
      </c>
      <c r="M1288" s="7" t="str">
        <f t="shared" ca="1" si="121"/>
        <v/>
      </c>
      <c r="N1288" s="6" t="str">
        <f t="shared" ca="1" si="122"/>
        <v/>
      </c>
      <c r="O1288" s="6">
        <f t="shared" si="123"/>
        <v>-2.8000000000000114</v>
      </c>
      <c r="Q1288" s="6">
        <v>6</v>
      </c>
      <c r="R1288" s="9">
        <f t="shared" si="124"/>
        <v>2250</v>
      </c>
      <c r="S1288" s="7">
        <f t="shared" si="119"/>
        <v>-14062.499999999971</v>
      </c>
    </row>
    <row r="1289" spans="1:19" x14ac:dyDescent="0.25">
      <c r="A1289" s="4">
        <f>Sheet1!A1289</f>
        <v>40953</v>
      </c>
      <c r="B1289" s="5">
        <f>Sheet1!B1289</f>
        <v>0.58333333333333337</v>
      </c>
      <c r="C1289" s="6">
        <f>Sheet1!C1289</f>
        <v>230</v>
      </c>
      <c r="D1289" s="6">
        <f>Sheet1!D1289</f>
        <v>231.75</v>
      </c>
      <c r="E1289" s="6">
        <f>Sheet1!E1289</f>
        <v>221.3</v>
      </c>
      <c r="F1289" s="6">
        <f>Sheet1!F1289</f>
        <v>222.15</v>
      </c>
      <c r="H1289" s="6">
        <f ca="1">IF(ROW($H1289)-1&lt;$I$1,$F1289,AVERAGE($F1289:OFFSET($F1289,(($I$1-1)*-1),0)))</f>
        <v>232.90833333333333</v>
      </c>
      <c r="J1289" s="6">
        <f ca="1">IF(ROW($J1289)-1&lt;$K$1,$F1289,AVERAGE($F1289:OFFSET($F1289,(($K$1-1)*-1),0)))</f>
        <v>238.25357142857141</v>
      </c>
      <c r="L1289" s="7">
        <f t="shared" ca="1" si="120"/>
        <v>-1</v>
      </c>
      <c r="M1289" s="7" t="str">
        <f t="shared" ca="1" si="121"/>
        <v/>
      </c>
      <c r="N1289" s="6" t="str">
        <f t="shared" ca="1" si="122"/>
        <v/>
      </c>
      <c r="O1289" s="6">
        <f t="shared" si="123"/>
        <v>-8.4499999999999886</v>
      </c>
      <c r="Q1289" s="6">
        <v>14.449999999999989</v>
      </c>
      <c r="R1289" s="9">
        <f t="shared" si="124"/>
        <v>5418.7499999999955</v>
      </c>
      <c r="S1289" s="7">
        <f t="shared" si="119"/>
        <v>-14062.499999999971</v>
      </c>
    </row>
    <row r="1290" spans="1:19" x14ac:dyDescent="0.25">
      <c r="A1290" s="4">
        <f>Sheet1!A1290</f>
        <v>40954</v>
      </c>
      <c r="B1290" s="5">
        <f>Sheet1!B1290</f>
        <v>0.58333333333333337</v>
      </c>
      <c r="C1290" s="6">
        <f>Sheet1!C1290</f>
        <v>222.25</v>
      </c>
      <c r="D1290" s="6">
        <f>Sheet1!D1290</f>
        <v>224</v>
      </c>
      <c r="E1290" s="6">
        <f>Sheet1!E1290</f>
        <v>216.4</v>
      </c>
      <c r="F1290" s="6">
        <f>Sheet1!F1290</f>
        <v>218.55</v>
      </c>
      <c r="H1290" s="6">
        <f ca="1">IF(ROW($H1290)-1&lt;$I$1,$F1290,AVERAGE($F1290:OFFSET($F1290,(($I$1-1)*-1),0)))</f>
        <v>229.49166666666667</v>
      </c>
      <c r="J1290" s="6">
        <f ca="1">IF(ROW($J1290)-1&lt;$K$1,$F1290,AVERAGE($F1290:OFFSET($F1290,(($K$1-1)*-1),0)))</f>
        <v>237.57142857142853</v>
      </c>
      <c r="L1290" s="7">
        <f t="shared" ca="1" si="120"/>
        <v>-1</v>
      </c>
      <c r="M1290" s="7" t="str">
        <f t="shared" ca="1" si="121"/>
        <v/>
      </c>
      <c r="N1290" s="6" t="str">
        <f t="shared" ca="1" si="122"/>
        <v/>
      </c>
      <c r="O1290" s="6">
        <f t="shared" si="123"/>
        <v>-3.5999999999999943</v>
      </c>
      <c r="Q1290" s="6">
        <v>18.049999999999983</v>
      </c>
      <c r="R1290" s="9">
        <f t="shared" si="124"/>
        <v>6768.7499999999936</v>
      </c>
      <c r="S1290" s="7">
        <f t="shared" si="119"/>
        <v>-14062.499999999971</v>
      </c>
    </row>
    <row r="1291" spans="1:19" x14ac:dyDescent="0.25">
      <c r="A1291" s="4">
        <f>Sheet1!A1291</f>
        <v>40955</v>
      </c>
      <c r="B1291" s="5">
        <f>Sheet1!B1291</f>
        <v>0.58333333333333337</v>
      </c>
      <c r="C1291" s="6">
        <f>Sheet1!C1291</f>
        <v>218.25</v>
      </c>
      <c r="D1291" s="6">
        <f>Sheet1!D1291</f>
        <v>220.5</v>
      </c>
      <c r="E1291" s="6">
        <f>Sheet1!E1291</f>
        <v>213.8</v>
      </c>
      <c r="F1291" s="6">
        <f>Sheet1!F1291</f>
        <v>217.2</v>
      </c>
      <c r="H1291" s="6">
        <f ca="1">IF(ROW($H1291)-1&lt;$I$1,$F1291,AVERAGE($F1291:OFFSET($F1291,(($I$1-1)*-1),0)))</f>
        <v>226</v>
      </c>
      <c r="J1291" s="6">
        <f ca="1">IF(ROW($J1291)-1&lt;$K$1,$F1291,AVERAGE($F1291:OFFSET($F1291,(($K$1-1)*-1),0)))</f>
        <v>236.76250000000002</v>
      </c>
      <c r="L1291" s="7">
        <f t="shared" ca="1" si="120"/>
        <v>-1</v>
      </c>
      <c r="M1291" s="7" t="str">
        <f t="shared" ca="1" si="121"/>
        <v/>
      </c>
      <c r="N1291" s="6" t="str">
        <f t="shared" ca="1" si="122"/>
        <v/>
      </c>
      <c r="O1291" s="6">
        <f t="shared" si="123"/>
        <v>-1.3500000000000227</v>
      </c>
      <c r="Q1291" s="6">
        <v>19.400000000000006</v>
      </c>
      <c r="R1291" s="9">
        <f t="shared" si="124"/>
        <v>7275.0000000000018</v>
      </c>
      <c r="S1291" s="7">
        <f t="shared" si="119"/>
        <v>-14062.499999999971</v>
      </c>
    </row>
    <row r="1292" spans="1:19" x14ac:dyDescent="0.25">
      <c r="A1292" s="4">
        <f>Sheet1!A1292</f>
        <v>40956</v>
      </c>
      <c r="B1292" s="5">
        <f>Sheet1!B1292</f>
        <v>0.58333333333333337</v>
      </c>
      <c r="C1292" s="6">
        <f>Sheet1!C1292</f>
        <v>217.3</v>
      </c>
      <c r="D1292" s="6">
        <f>Sheet1!D1292</f>
        <v>218.95</v>
      </c>
      <c r="E1292" s="6">
        <f>Sheet1!E1292</f>
        <v>216.1</v>
      </c>
      <c r="F1292" s="6">
        <f>Sheet1!F1292</f>
        <v>218.35</v>
      </c>
      <c r="H1292" s="6">
        <f ca="1">IF(ROW($H1292)-1&lt;$I$1,$F1292,AVERAGE($F1292:OFFSET($F1292,(($I$1-1)*-1),0)))</f>
        <v>223.375</v>
      </c>
      <c r="J1292" s="6">
        <f ca="1">IF(ROW($J1292)-1&lt;$K$1,$F1292,AVERAGE($F1292:OFFSET($F1292,(($K$1-1)*-1),0)))</f>
        <v>235.99107142857142</v>
      </c>
      <c r="L1292" s="7">
        <f t="shared" ca="1" si="120"/>
        <v>-1</v>
      </c>
      <c r="M1292" s="7" t="str">
        <f t="shared" ca="1" si="121"/>
        <v/>
      </c>
      <c r="N1292" s="6" t="str">
        <f t="shared" ca="1" si="122"/>
        <v/>
      </c>
      <c r="O1292" s="6">
        <f t="shared" si="123"/>
        <v>1.1500000000000057</v>
      </c>
      <c r="Q1292" s="6">
        <v>18.25</v>
      </c>
      <c r="R1292" s="9">
        <f t="shared" si="124"/>
        <v>6843.75</v>
      </c>
      <c r="S1292" s="7">
        <f t="shared" si="119"/>
        <v>-14062.499999999971</v>
      </c>
    </row>
    <row r="1293" spans="1:19" x14ac:dyDescent="0.25">
      <c r="A1293" s="4">
        <f>Sheet1!A1293</f>
        <v>40960</v>
      </c>
      <c r="B1293" s="5">
        <f>Sheet1!B1293</f>
        <v>0.58333333333333337</v>
      </c>
      <c r="C1293" s="6">
        <f>Sheet1!C1293</f>
        <v>218.8</v>
      </c>
      <c r="D1293" s="6">
        <f>Sheet1!D1293</f>
        <v>222.75</v>
      </c>
      <c r="E1293" s="6">
        <f>Sheet1!E1293</f>
        <v>216.4</v>
      </c>
      <c r="F1293" s="6">
        <f>Sheet1!F1293</f>
        <v>222.05</v>
      </c>
      <c r="H1293" s="6">
        <f ca="1">IF(ROW($H1293)-1&lt;$I$1,$F1293,AVERAGE($F1293:OFFSET($F1293,(($I$1-1)*-1),0)))</f>
        <v>221.48333333333332</v>
      </c>
      <c r="J1293" s="6">
        <f ca="1">IF(ROW($J1293)-1&lt;$K$1,$F1293,AVERAGE($F1293:OFFSET($F1293,(($K$1-1)*-1),0)))</f>
        <v>235.20535714285714</v>
      </c>
      <c r="L1293" s="7">
        <f t="shared" ca="1" si="120"/>
        <v>-1</v>
      </c>
      <c r="M1293" s="7" t="str">
        <f t="shared" ca="1" si="121"/>
        <v/>
      </c>
      <c r="N1293" s="6" t="str">
        <f t="shared" ca="1" si="122"/>
        <v/>
      </c>
      <c r="O1293" s="6">
        <f t="shared" si="123"/>
        <v>3.7000000000000171</v>
      </c>
      <c r="Q1293" s="6">
        <v>14.549999999999983</v>
      </c>
      <c r="R1293" s="9">
        <f t="shared" si="124"/>
        <v>5456.2499999999936</v>
      </c>
      <c r="S1293" s="7">
        <f t="shared" si="119"/>
        <v>-14062.499999999971</v>
      </c>
    </row>
    <row r="1294" spans="1:19" x14ac:dyDescent="0.25">
      <c r="A1294" s="4">
        <f>Sheet1!A1294</f>
        <v>40961</v>
      </c>
      <c r="B1294" s="5">
        <f>Sheet1!B1294</f>
        <v>0.58333333333333337</v>
      </c>
      <c r="C1294" s="6">
        <f>Sheet1!C1294</f>
        <v>222</v>
      </c>
      <c r="D1294" s="6">
        <f>Sheet1!D1294</f>
        <v>222.4</v>
      </c>
      <c r="E1294" s="6">
        <f>Sheet1!E1294</f>
        <v>217.45</v>
      </c>
      <c r="F1294" s="6">
        <f>Sheet1!F1294</f>
        <v>217.85</v>
      </c>
      <c r="H1294" s="6">
        <f ca="1">IF(ROW($H1294)-1&lt;$I$1,$F1294,AVERAGE($F1294:OFFSET($F1294,(($I$1-1)*-1),0)))</f>
        <v>219.35833333333335</v>
      </c>
      <c r="J1294" s="6">
        <f ca="1">IF(ROW($J1294)-1&lt;$K$1,$F1294,AVERAGE($F1294:OFFSET($F1294,(($K$1-1)*-1),0)))</f>
        <v>233.95000000000002</v>
      </c>
      <c r="L1294" s="7">
        <f t="shared" ca="1" si="120"/>
        <v>-1</v>
      </c>
      <c r="M1294" s="7" t="str">
        <f t="shared" ca="1" si="121"/>
        <v/>
      </c>
      <c r="N1294" s="6" t="str">
        <f t="shared" ca="1" si="122"/>
        <v/>
      </c>
      <c r="O1294" s="6">
        <f t="shared" si="123"/>
        <v>-4.2000000000000171</v>
      </c>
      <c r="Q1294" s="6">
        <v>18.75</v>
      </c>
      <c r="R1294" s="9">
        <f t="shared" si="124"/>
        <v>7031.25</v>
      </c>
      <c r="S1294" s="7">
        <f t="shared" si="119"/>
        <v>-14062.499999999971</v>
      </c>
    </row>
    <row r="1295" spans="1:19" x14ac:dyDescent="0.25">
      <c r="A1295" s="4">
        <f>Sheet1!A1295</f>
        <v>40962</v>
      </c>
      <c r="B1295" s="5">
        <f>Sheet1!B1295</f>
        <v>0.58333333333333337</v>
      </c>
      <c r="C1295" s="6">
        <f>Sheet1!C1295</f>
        <v>217</v>
      </c>
      <c r="D1295" s="6">
        <f>Sheet1!D1295</f>
        <v>221.7</v>
      </c>
      <c r="E1295" s="6">
        <f>Sheet1!E1295</f>
        <v>217</v>
      </c>
      <c r="F1295" s="6">
        <f>Sheet1!F1295</f>
        <v>218.05</v>
      </c>
      <c r="H1295" s="6">
        <f ca="1">IF(ROW($H1295)-1&lt;$I$1,$F1295,AVERAGE($F1295:OFFSET($F1295,(($I$1-1)*-1),0)))</f>
        <v>218.67499999999998</v>
      </c>
      <c r="J1295" s="6">
        <f ca="1">IF(ROW($J1295)-1&lt;$K$1,$F1295,AVERAGE($F1295:OFFSET($F1295,(($K$1-1)*-1),0)))</f>
        <v>232.73750000000001</v>
      </c>
      <c r="L1295" s="7">
        <f t="shared" ca="1" si="120"/>
        <v>-1</v>
      </c>
      <c r="M1295" s="7" t="str">
        <f t="shared" ca="1" si="121"/>
        <v/>
      </c>
      <c r="N1295" s="6" t="str">
        <f t="shared" ca="1" si="122"/>
        <v/>
      </c>
      <c r="O1295" s="6">
        <f t="shared" si="123"/>
        <v>0.20000000000001705</v>
      </c>
      <c r="Q1295" s="6">
        <v>18.549999999999983</v>
      </c>
      <c r="R1295" s="9">
        <f t="shared" si="124"/>
        <v>6956.2499999999936</v>
      </c>
      <c r="S1295" s="7">
        <f t="shared" si="119"/>
        <v>-14062.499999999971</v>
      </c>
    </row>
    <row r="1296" spans="1:19" x14ac:dyDescent="0.25">
      <c r="A1296" s="4">
        <f>Sheet1!A1296</f>
        <v>40963</v>
      </c>
      <c r="B1296" s="5">
        <f>Sheet1!B1296</f>
        <v>0.58333333333333337</v>
      </c>
      <c r="C1296" s="6">
        <f>Sheet1!C1296</f>
        <v>218</v>
      </c>
      <c r="D1296" s="6">
        <f>Sheet1!D1296</f>
        <v>220.4</v>
      </c>
      <c r="E1296" s="6">
        <f>Sheet1!E1296</f>
        <v>217.95</v>
      </c>
      <c r="F1296" s="6">
        <f>Sheet1!F1296</f>
        <v>219.6</v>
      </c>
      <c r="H1296" s="6">
        <f ca="1">IF(ROW($H1296)-1&lt;$I$1,$F1296,AVERAGE($F1296:OFFSET($F1296,(($I$1-1)*-1),0)))</f>
        <v>218.85</v>
      </c>
      <c r="J1296" s="6">
        <f ca="1">IF(ROW($J1296)-1&lt;$K$1,$F1296,AVERAGE($F1296:OFFSET($F1296,(($K$1-1)*-1),0)))</f>
        <v>231.88928571428576</v>
      </c>
      <c r="L1296" s="7">
        <f t="shared" ca="1" si="120"/>
        <v>-1</v>
      </c>
      <c r="M1296" s="7" t="str">
        <f t="shared" ca="1" si="121"/>
        <v/>
      </c>
      <c r="N1296" s="6" t="str">
        <f t="shared" ca="1" si="122"/>
        <v/>
      </c>
      <c r="O1296" s="6">
        <f t="shared" si="123"/>
        <v>1.5499999999999829</v>
      </c>
      <c r="Q1296" s="6">
        <v>17</v>
      </c>
      <c r="R1296" s="9">
        <f t="shared" si="124"/>
        <v>6375</v>
      </c>
      <c r="S1296" s="7">
        <f t="shared" ref="S1296:S1359" si="125">S1295+(P1296*375)</f>
        <v>-14062.499999999971</v>
      </c>
    </row>
    <row r="1297" spans="1:19" x14ac:dyDescent="0.25">
      <c r="A1297" s="4">
        <f>Sheet1!A1297</f>
        <v>40966</v>
      </c>
      <c r="B1297" s="5">
        <f>Sheet1!B1297</f>
        <v>0.58333333333333337</v>
      </c>
      <c r="C1297" s="6">
        <f>Sheet1!C1297</f>
        <v>219.6</v>
      </c>
      <c r="D1297" s="6">
        <f>Sheet1!D1297</f>
        <v>221.5</v>
      </c>
      <c r="E1297" s="6">
        <f>Sheet1!E1297</f>
        <v>217.3</v>
      </c>
      <c r="F1297" s="6">
        <f>Sheet1!F1297</f>
        <v>220.6</v>
      </c>
      <c r="H1297" s="6">
        <f ca="1">IF(ROW($H1297)-1&lt;$I$1,$F1297,AVERAGE($F1297:OFFSET($F1297,(($I$1-1)*-1),0)))</f>
        <v>219.41666666666663</v>
      </c>
      <c r="J1297" s="6">
        <f ca="1">IF(ROW($J1297)-1&lt;$K$1,$F1297,AVERAGE($F1297:OFFSET($F1297,(($K$1-1)*-1),0)))</f>
        <v>231.0803571428572</v>
      </c>
      <c r="L1297" s="7">
        <f t="shared" ca="1" si="120"/>
        <v>-1</v>
      </c>
      <c r="M1297" s="7" t="str">
        <f t="shared" ca="1" si="121"/>
        <v/>
      </c>
      <c r="N1297" s="6" t="str">
        <f t="shared" ca="1" si="122"/>
        <v/>
      </c>
      <c r="O1297" s="6">
        <f t="shared" si="123"/>
        <v>1</v>
      </c>
      <c r="Q1297" s="6">
        <v>16</v>
      </c>
      <c r="R1297" s="9">
        <f t="shared" si="124"/>
        <v>6000</v>
      </c>
      <c r="S1297" s="7">
        <f t="shared" si="125"/>
        <v>-14062.499999999971</v>
      </c>
    </row>
    <row r="1298" spans="1:19" x14ac:dyDescent="0.25">
      <c r="A1298" s="4">
        <f>Sheet1!A1298</f>
        <v>40967</v>
      </c>
      <c r="B1298" s="5">
        <f>Sheet1!B1298</f>
        <v>0.58333333333333337</v>
      </c>
      <c r="C1298" s="6">
        <f>Sheet1!C1298</f>
        <v>220.5</v>
      </c>
      <c r="D1298" s="6">
        <f>Sheet1!D1298</f>
        <v>223.35</v>
      </c>
      <c r="E1298" s="6">
        <f>Sheet1!E1298</f>
        <v>218.15</v>
      </c>
      <c r="F1298" s="6">
        <f>Sheet1!F1298</f>
        <v>222.25</v>
      </c>
      <c r="H1298" s="6">
        <f ca="1">IF(ROW($H1298)-1&lt;$I$1,$F1298,AVERAGE($F1298:OFFSET($F1298,(($I$1-1)*-1),0)))</f>
        <v>220.06666666666669</v>
      </c>
      <c r="J1298" s="6">
        <f ca="1">IF(ROW($J1298)-1&lt;$K$1,$F1298,AVERAGE($F1298:OFFSET($F1298,(($K$1-1)*-1),0)))</f>
        <v>230.3410714285715</v>
      </c>
      <c r="L1298" s="7">
        <f t="shared" ca="1" si="120"/>
        <v>-1</v>
      </c>
      <c r="M1298" s="7" t="str">
        <f t="shared" ca="1" si="121"/>
        <v/>
      </c>
      <c r="N1298" s="6" t="str">
        <f t="shared" ca="1" si="122"/>
        <v/>
      </c>
      <c r="O1298" s="6">
        <f t="shared" si="123"/>
        <v>1.6500000000000057</v>
      </c>
      <c r="Q1298" s="6">
        <v>14.349999999999994</v>
      </c>
      <c r="R1298" s="9">
        <f t="shared" si="124"/>
        <v>5381.2499999999982</v>
      </c>
      <c r="S1298" s="7">
        <f t="shared" si="125"/>
        <v>-14062.499999999971</v>
      </c>
    </row>
    <row r="1299" spans="1:19" x14ac:dyDescent="0.25">
      <c r="A1299" s="4">
        <f>Sheet1!A1299</f>
        <v>40968</v>
      </c>
      <c r="B1299" s="5">
        <f>Sheet1!B1299</f>
        <v>0.58333333333333337</v>
      </c>
      <c r="C1299" s="6">
        <f>Sheet1!C1299</f>
        <v>221.7</v>
      </c>
      <c r="D1299" s="6">
        <f>Sheet1!D1299</f>
        <v>222.25</v>
      </c>
      <c r="E1299" s="6">
        <f>Sheet1!E1299</f>
        <v>217.5</v>
      </c>
      <c r="F1299" s="6">
        <f>Sheet1!F1299</f>
        <v>219.25</v>
      </c>
      <c r="H1299" s="6">
        <f ca="1">IF(ROW($H1299)-1&lt;$I$1,$F1299,AVERAGE($F1299:OFFSET($F1299,(($I$1-1)*-1),0)))</f>
        <v>219.6</v>
      </c>
      <c r="J1299" s="6">
        <f ca="1">IF(ROW($J1299)-1&lt;$K$1,$F1299,AVERAGE($F1299:OFFSET($F1299,(($K$1-1)*-1),0)))</f>
        <v>229.43035714285722</v>
      </c>
      <c r="L1299" s="7">
        <f t="shared" ca="1" si="120"/>
        <v>-1</v>
      </c>
      <c r="M1299" s="7" t="str">
        <f t="shared" ca="1" si="121"/>
        <v/>
      </c>
      <c r="N1299" s="6" t="str">
        <f t="shared" ca="1" si="122"/>
        <v/>
      </c>
      <c r="O1299" s="6">
        <f t="shared" si="123"/>
        <v>-3</v>
      </c>
      <c r="Q1299" s="6">
        <v>17.349999999999994</v>
      </c>
      <c r="R1299" s="9">
        <f t="shared" si="124"/>
        <v>6506.2499999999982</v>
      </c>
      <c r="S1299" s="7">
        <f t="shared" si="125"/>
        <v>-14062.499999999971</v>
      </c>
    </row>
    <row r="1300" spans="1:19" x14ac:dyDescent="0.25">
      <c r="A1300" s="4">
        <f>Sheet1!A1300</f>
        <v>40969</v>
      </c>
      <c r="B1300" s="5">
        <f>Sheet1!B1300</f>
        <v>0.58333333333333337</v>
      </c>
      <c r="C1300" s="6">
        <f>Sheet1!C1300</f>
        <v>218.95</v>
      </c>
      <c r="D1300" s="6">
        <f>Sheet1!D1300</f>
        <v>221.1</v>
      </c>
      <c r="E1300" s="6">
        <f>Sheet1!E1300</f>
        <v>217.85</v>
      </c>
      <c r="F1300" s="6">
        <f>Sheet1!F1300</f>
        <v>220.1</v>
      </c>
      <c r="H1300" s="6">
        <f ca="1">IF(ROW($H1300)-1&lt;$I$1,$F1300,AVERAGE($F1300:OFFSET($F1300,(($I$1-1)*-1),0)))</f>
        <v>219.97499999999999</v>
      </c>
      <c r="J1300" s="6">
        <f ca="1">IF(ROW($J1300)-1&lt;$K$1,$F1300,AVERAGE($F1300:OFFSET($F1300,(($K$1-1)*-1),0)))</f>
        <v>228.59464285714293</v>
      </c>
      <c r="L1300" s="7">
        <f t="shared" ca="1" si="120"/>
        <v>-1</v>
      </c>
      <c r="M1300" s="7" t="str">
        <f t="shared" ca="1" si="121"/>
        <v/>
      </c>
      <c r="N1300" s="6" t="str">
        <f t="shared" ca="1" si="122"/>
        <v/>
      </c>
      <c r="O1300" s="6">
        <f t="shared" si="123"/>
        <v>0.84999999999999432</v>
      </c>
      <c r="Q1300" s="6">
        <v>16.5</v>
      </c>
      <c r="R1300" s="9">
        <f t="shared" si="124"/>
        <v>6187.5</v>
      </c>
      <c r="S1300" s="7">
        <f t="shared" si="125"/>
        <v>-14062.499999999971</v>
      </c>
    </row>
    <row r="1301" spans="1:19" x14ac:dyDescent="0.25">
      <c r="A1301" s="4">
        <f>Sheet1!A1301</f>
        <v>40970</v>
      </c>
      <c r="B1301" s="5">
        <f>Sheet1!B1301</f>
        <v>0.58333333333333337</v>
      </c>
      <c r="C1301" s="6">
        <f>Sheet1!C1301</f>
        <v>220.1</v>
      </c>
      <c r="D1301" s="6">
        <f>Sheet1!D1301</f>
        <v>220.75</v>
      </c>
      <c r="E1301" s="6">
        <f>Sheet1!E1301</f>
        <v>216.75</v>
      </c>
      <c r="F1301" s="6">
        <f>Sheet1!F1301</f>
        <v>217.8</v>
      </c>
      <c r="H1301" s="6">
        <f ca="1">IF(ROW($H1301)-1&lt;$I$1,$F1301,AVERAGE($F1301:OFFSET($F1301,(($I$1-1)*-1),0)))</f>
        <v>219.93333333333331</v>
      </c>
      <c r="J1301" s="6">
        <f ca="1">IF(ROW($J1301)-1&lt;$K$1,$F1301,AVERAGE($F1301:OFFSET($F1301,(($K$1-1)*-1),0)))</f>
        <v>227.88928571428582</v>
      </c>
      <c r="L1301" s="7">
        <f t="shared" ca="1" si="120"/>
        <v>-1</v>
      </c>
      <c r="M1301" s="7" t="str">
        <f t="shared" ca="1" si="121"/>
        <v/>
      </c>
      <c r="N1301" s="6" t="str">
        <f t="shared" ca="1" si="122"/>
        <v/>
      </c>
      <c r="O1301" s="6">
        <f t="shared" si="123"/>
        <v>-2.2999999999999829</v>
      </c>
      <c r="Q1301" s="6">
        <v>18.799999999999983</v>
      </c>
      <c r="R1301" s="9">
        <f t="shared" si="124"/>
        <v>7049.9999999999936</v>
      </c>
      <c r="S1301" s="7">
        <f t="shared" si="125"/>
        <v>-14062.499999999971</v>
      </c>
    </row>
    <row r="1302" spans="1:19" x14ac:dyDescent="0.25">
      <c r="A1302" s="4">
        <f>Sheet1!A1302</f>
        <v>40973</v>
      </c>
      <c r="B1302" s="5">
        <f>Sheet1!B1302</f>
        <v>0.58333333333333337</v>
      </c>
      <c r="C1302" s="6">
        <f>Sheet1!C1302</f>
        <v>216.8</v>
      </c>
      <c r="D1302" s="6">
        <f>Sheet1!D1302</f>
        <v>218.5</v>
      </c>
      <c r="E1302" s="6">
        <f>Sheet1!E1302</f>
        <v>215.05</v>
      </c>
      <c r="F1302" s="6">
        <f>Sheet1!F1302</f>
        <v>217.7</v>
      </c>
      <c r="H1302" s="6">
        <f ca="1">IF(ROW($H1302)-1&lt;$I$1,$F1302,AVERAGE($F1302:OFFSET($F1302,(($I$1-1)*-1),0)))</f>
        <v>219.61666666666667</v>
      </c>
      <c r="J1302" s="6">
        <f ca="1">IF(ROW($J1302)-1&lt;$K$1,$F1302,AVERAGE($F1302:OFFSET($F1302,(($K$1-1)*-1),0)))</f>
        <v>227.14464285714294</v>
      </c>
      <c r="L1302" s="7">
        <f t="shared" ca="1" si="120"/>
        <v>-1</v>
      </c>
      <c r="M1302" s="7" t="str">
        <f t="shared" ca="1" si="121"/>
        <v/>
      </c>
      <c r="N1302" s="6" t="str">
        <f t="shared" ca="1" si="122"/>
        <v/>
      </c>
      <c r="O1302" s="6">
        <f t="shared" si="123"/>
        <v>-0.10000000000002274</v>
      </c>
      <c r="Q1302" s="6">
        <v>18.900000000000006</v>
      </c>
      <c r="R1302" s="9">
        <f t="shared" si="124"/>
        <v>7087.5000000000018</v>
      </c>
      <c r="S1302" s="7">
        <f t="shared" si="125"/>
        <v>-14062.499999999971</v>
      </c>
    </row>
    <row r="1303" spans="1:19" x14ac:dyDescent="0.25">
      <c r="A1303" s="4">
        <f>Sheet1!A1303</f>
        <v>40974</v>
      </c>
      <c r="B1303" s="5">
        <f>Sheet1!B1303</f>
        <v>0.58333333333333337</v>
      </c>
      <c r="C1303" s="6">
        <f>Sheet1!C1303</f>
        <v>217.05</v>
      </c>
      <c r="D1303" s="6">
        <f>Sheet1!D1303</f>
        <v>217.6</v>
      </c>
      <c r="E1303" s="6">
        <f>Sheet1!E1303</f>
        <v>208.55</v>
      </c>
      <c r="F1303" s="6">
        <f>Sheet1!F1303</f>
        <v>209.05</v>
      </c>
      <c r="H1303" s="6">
        <f ca="1">IF(ROW($H1303)-1&lt;$I$1,$F1303,AVERAGE($F1303:OFFSET($F1303,(($I$1-1)*-1),0)))</f>
        <v>217.69166666666669</v>
      </c>
      <c r="J1303" s="6">
        <f ca="1">IF(ROW($J1303)-1&lt;$K$1,$F1303,AVERAGE($F1303:OFFSET($F1303,(($K$1-1)*-1),0)))</f>
        <v>226.20714285714294</v>
      </c>
      <c r="L1303" s="7">
        <f t="shared" ca="1" si="120"/>
        <v>-1</v>
      </c>
      <c r="M1303" s="7" t="str">
        <f t="shared" ca="1" si="121"/>
        <v/>
      </c>
      <c r="N1303" s="6" t="str">
        <f t="shared" ca="1" si="122"/>
        <v/>
      </c>
      <c r="O1303" s="6">
        <f t="shared" si="123"/>
        <v>-8.6499999999999773</v>
      </c>
      <c r="Q1303" s="6">
        <v>27.549999999999983</v>
      </c>
      <c r="R1303" s="9">
        <f t="shared" si="124"/>
        <v>10331.249999999993</v>
      </c>
      <c r="S1303" s="7">
        <f t="shared" si="125"/>
        <v>-14062.499999999971</v>
      </c>
    </row>
    <row r="1304" spans="1:19" x14ac:dyDescent="0.25">
      <c r="A1304" s="4">
        <f>Sheet1!A1304</f>
        <v>40975</v>
      </c>
      <c r="B1304" s="5">
        <f>Sheet1!B1304</f>
        <v>0.58333333333333337</v>
      </c>
      <c r="C1304" s="6">
        <f>Sheet1!C1304</f>
        <v>209.05</v>
      </c>
      <c r="D1304" s="6">
        <f>Sheet1!D1304</f>
        <v>210.5</v>
      </c>
      <c r="E1304" s="6">
        <f>Sheet1!E1304</f>
        <v>202.2</v>
      </c>
      <c r="F1304" s="6">
        <f>Sheet1!F1304</f>
        <v>204.6</v>
      </c>
      <c r="H1304" s="6">
        <f ca="1">IF(ROW($H1304)-1&lt;$I$1,$F1304,AVERAGE($F1304:OFFSET($F1304,(($I$1-1)*-1),0)))</f>
        <v>214.75</v>
      </c>
      <c r="J1304" s="6">
        <f ca="1">IF(ROW($J1304)-1&lt;$K$1,$F1304,AVERAGE($F1304:OFFSET($F1304,(($K$1-1)*-1),0)))</f>
        <v>225.02142857142866</v>
      </c>
      <c r="L1304" s="7">
        <f t="shared" ca="1" si="120"/>
        <v>-1</v>
      </c>
      <c r="M1304" s="7" t="str">
        <f t="shared" ca="1" si="121"/>
        <v/>
      </c>
      <c r="N1304" s="6" t="str">
        <f t="shared" ca="1" si="122"/>
        <v/>
      </c>
      <c r="O1304" s="6">
        <f t="shared" si="123"/>
        <v>-4.4500000000000171</v>
      </c>
      <c r="Q1304" s="6">
        <v>32</v>
      </c>
      <c r="R1304" s="9">
        <f t="shared" si="124"/>
        <v>12000</v>
      </c>
      <c r="S1304" s="7">
        <f t="shared" si="125"/>
        <v>-14062.499999999971</v>
      </c>
    </row>
    <row r="1305" spans="1:19" x14ac:dyDescent="0.25">
      <c r="A1305" s="4">
        <f>Sheet1!A1305</f>
        <v>40976</v>
      </c>
      <c r="B1305" s="5">
        <f>Sheet1!B1305</f>
        <v>0.58333333333333337</v>
      </c>
      <c r="C1305" s="6">
        <f>Sheet1!C1305</f>
        <v>203.9</v>
      </c>
      <c r="D1305" s="6">
        <f>Sheet1!D1305</f>
        <v>208</v>
      </c>
      <c r="E1305" s="6">
        <f>Sheet1!E1305</f>
        <v>201.1</v>
      </c>
      <c r="F1305" s="6">
        <f>Sheet1!F1305</f>
        <v>205.4</v>
      </c>
      <c r="H1305" s="6">
        <f ca="1">IF(ROW($H1305)-1&lt;$I$1,$F1305,AVERAGE($F1305:OFFSET($F1305,(($I$1-1)*-1),0)))</f>
        <v>212.44166666666663</v>
      </c>
      <c r="J1305" s="6">
        <f ca="1">IF(ROW($J1305)-1&lt;$K$1,$F1305,AVERAGE($F1305:OFFSET($F1305,(($K$1-1)*-1),0)))</f>
        <v>223.94821428571433</v>
      </c>
      <c r="L1305" s="7">
        <f t="shared" ca="1" si="120"/>
        <v>-1</v>
      </c>
      <c r="M1305" s="7" t="str">
        <f t="shared" ca="1" si="121"/>
        <v/>
      </c>
      <c r="N1305" s="6" t="str">
        <f t="shared" ca="1" si="122"/>
        <v/>
      </c>
      <c r="O1305" s="6">
        <f t="shared" si="123"/>
        <v>0.80000000000001137</v>
      </c>
      <c r="Q1305" s="6">
        <v>31.199999999999989</v>
      </c>
      <c r="R1305" s="9">
        <f t="shared" si="124"/>
        <v>11699.999999999996</v>
      </c>
      <c r="S1305" s="7">
        <f t="shared" si="125"/>
        <v>-14062.499999999971</v>
      </c>
    </row>
    <row r="1306" spans="1:19" x14ac:dyDescent="0.25">
      <c r="A1306" s="4">
        <f>Sheet1!A1306</f>
        <v>40977</v>
      </c>
      <c r="B1306" s="5">
        <f>Sheet1!B1306</f>
        <v>0.58333333333333337</v>
      </c>
      <c r="C1306" s="6">
        <f>Sheet1!C1306</f>
        <v>205.35</v>
      </c>
      <c r="D1306" s="6">
        <f>Sheet1!D1306</f>
        <v>205.4</v>
      </c>
      <c r="E1306" s="6">
        <f>Sheet1!E1306</f>
        <v>201.55</v>
      </c>
      <c r="F1306" s="6">
        <f>Sheet1!F1306</f>
        <v>202.2</v>
      </c>
      <c r="H1306" s="6">
        <f ca="1">IF(ROW($H1306)-1&lt;$I$1,$F1306,AVERAGE($F1306:OFFSET($F1306,(($I$1-1)*-1),0)))</f>
        <v>209.45833333333334</v>
      </c>
      <c r="J1306" s="6">
        <f ca="1">IF(ROW($J1306)-1&lt;$K$1,$F1306,AVERAGE($F1306:OFFSET($F1306,(($K$1-1)*-1),0)))</f>
        <v>222.78750000000005</v>
      </c>
      <c r="L1306" s="7">
        <f t="shared" ca="1" si="120"/>
        <v>-1</v>
      </c>
      <c r="M1306" s="7" t="str">
        <f t="shared" ca="1" si="121"/>
        <v/>
      </c>
      <c r="N1306" s="6" t="str">
        <f t="shared" ca="1" si="122"/>
        <v/>
      </c>
      <c r="O1306" s="6">
        <f t="shared" si="123"/>
        <v>-3.2000000000000171</v>
      </c>
      <c r="Q1306" s="6">
        <v>34.400000000000006</v>
      </c>
      <c r="R1306" s="9">
        <f t="shared" si="124"/>
        <v>12900.000000000002</v>
      </c>
      <c r="S1306" s="7">
        <f t="shared" si="125"/>
        <v>-14062.499999999971</v>
      </c>
    </row>
    <row r="1307" spans="1:19" x14ac:dyDescent="0.25">
      <c r="A1307" s="4">
        <f>Sheet1!A1307</f>
        <v>40980</v>
      </c>
      <c r="B1307" s="5">
        <f>Sheet1!B1307</f>
        <v>0.58333333333333337</v>
      </c>
      <c r="C1307" s="6">
        <f>Sheet1!C1307</f>
        <v>201.7</v>
      </c>
      <c r="D1307" s="6">
        <f>Sheet1!D1307</f>
        <v>201.75</v>
      </c>
      <c r="E1307" s="6">
        <f>Sheet1!E1307</f>
        <v>197.05</v>
      </c>
      <c r="F1307" s="6">
        <f>Sheet1!F1307</f>
        <v>200.85</v>
      </c>
      <c r="H1307" s="6">
        <f ca="1">IF(ROW($H1307)-1&lt;$I$1,$F1307,AVERAGE($F1307:OFFSET($F1307,(($I$1-1)*-1),0)))</f>
        <v>206.63333333333333</v>
      </c>
      <c r="J1307" s="6">
        <f ca="1">IF(ROW($J1307)-1&lt;$K$1,$F1307,AVERAGE($F1307:OFFSET($F1307,(($K$1-1)*-1),0)))</f>
        <v>221.63392857142861</v>
      </c>
      <c r="L1307" s="7">
        <f t="shared" ca="1" si="120"/>
        <v>-1</v>
      </c>
      <c r="M1307" s="7" t="str">
        <f t="shared" ca="1" si="121"/>
        <v/>
      </c>
      <c r="N1307" s="6" t="str">
        <f t="shared" ca="1" si="122"/>
        <v/>
      </c>
      <c r="O1307" s="6">
        <f t="shared" si="123"/>
        <v>-1.3499999999999943</v>
      </c>
      <c r="Q1307" s="6">
        <v>35.75</v>
      </c>
      <c r="R1307" s="9">
        <f t="shared" si="124"/>
        <v>13406.25</v>
      </c>
      <c r="S1307" s="7">
        <f t="shared" si="125"/>
        <v>-14062.499999999971</v>
      </c>
    </row>
    <row r="1308" spans="1:19" x14ac:dyDescent="0.25">
      <c r="A1308" s="4">
        <f>Sheet1!A1308</f>
        <v>40981</v>
      </c>
      <c r="B1308" s="5">
        <f>Sheet1!B1308</f>
        <v>0.58333333333333337</v>
      </c>
      <c r="C1308" s="6">
        <f>Sheet1!C1308</f>
        <v>200.7</v>
      </c>
      <c r="D1308" s="6">
        <f>Sheet1!D1308</f>
        <v>202.6</v>
      </c>
      <c r="E1308" s="6">
        <f>Sheet1!E1308</f>
        <v>199.35</v>
      </c>
      <c r="F1308" s="6">
        <f>Sheet1!F1308</f>
        <v>202.15</v>
      </c>
      <c r="H1308" s="6">
        <f ca="1">IF(ROW($H1308)-1&lt;$I$1,$F1308,AVERAGE($F1308:OFFSET($F1308,(($I$1-1)*-1),0)))</f>
        <v>204.04166666666666</v>
      </c>
      <c r="J1308" s="6">
        <f ca="1">IF(ROW($J1308)-1&lt;$K$1,$F1308,AVERAGE($F1308:OFFSET($F1308,(($K$1-1)*-1),0)))</f>
        <v>220.56071428571431</v>
      </c>
      <c r="L1308" s="7">
        <f t="shared" ca="1" si="120"/>
        <v>-1</v>
      </c>
      <c r="M1308" s="7" t="str">
        <f t="shared" ca="1" si="121"/>
        <v/>
      </c>
      <c r="N1308" s="6" t="str">
        <f t="shared" ca="1" si="122"/>
        <v/>
      </c>
      <c r="O1308" s="6">
        <f t="shared" si="123"/>
        <v>1.3000000000000114</v>
      </c>
      <c r="Q1308" s="6">
        <v>34.449999999999989</v>
      </c>
      <c r="R1308" s="9">
        <f t="shared" si="124"/>
        <v>12918.749999999996</v>
      </c>
      <c r="S1308" s="7">
        <f t="shared" si="125"/>
        <v>-14062.499999999971</v>
      </c>
    </row>
    <row r="1309" spans="1:19" x14ac:dyDescent="0.25">
      <c r="A1309" s="4">
        <f>Sheet1!A1309</f>
        <v>40982</v>
      </c>
      <c r="B1309" s="5">
        <f>Sheet1!B1309</f>
        <v>0.58333333333333337</v>
      </c>
      <c r="C1309" s="6">
        <f>Sheet1!C1309</f>
        <v>201.7</v>
      </c>
      <c r="D1309" s="6">
        <f>Sheet1!D1309</f>
        <v>202.3</v>
      </c>
      <c r="E1309" s="6">
        <f>Sheet1!E1309</f>
        <v>198.65</v>
      </c>
      <c r="F1309" s="6">
        <f>Sheet1!F1309</f>
        <v>199.6</v>
      </c>
      <c r="H1309" s="6">
        <f ca="1">IF(ROW($H1309)-1&lt;$I$1,$F1309,AVERAGE($F1309:OFFSET($F1309,(($I$1-1)*-1),0)))</f>
        <v>202.46666666666667</v>
      </c>
      <c r="J1309" s="6">
        <f ca="1">IF(ROW($J1309)-1&lt;$K$1,$F1309,AVERAGE($F1309:OFFSET($F1309,(($K$1-1)*-1),0)))</f>
        <v>219.34285714285716</v>
      </c>
      <c r="L1309" s="7">
        <f t="shared" ca="1" si="120"/>
        <v>-1</v>
      </c>
      <c r="M1309" s="7" t="str">
        <f t="shared" ca="1" si="121"/>
        <v/>
      </c>
      <c r="N1309" s="6" t="str">
        <f t="shared" ca="1" si="122"/>
        <v/>
      </c>
      <c r="O1309" s="6">
        <f t="shared" si="123"/>
        <v>-2.5500000000000114</v>
      </c>
      <c r="Q1309" s="6">
        <v>37</v>
      </c>
      <c r="R1309" s="9">
        <f t="shared" si="124"/>
        <v>13875</v>
      </c>
      <c r="S1309" s="7">
        <f t="shared" si="125"/>
        <v>-14062.499999999971</v>
      </c>
    </row>
    <row r="1310" spans="1:19" x14ac:dyDescent="0.25">
      <c r="A1310" s="4">
        <f>Sheet1!A1310</f>
        <v>40983</v>
      </c>
      <c r="B1310" s="5">
        <f>Sheet1!B1310</f>
        <v>0.58333333333333337</v>
      </c>
      <c r="C1310" s="6">
        <f>Sheet1!C1310</f>
        <v>198.9</v>
      </c>
      <c r="D1310" s="6">
        <f>Sheet1!D1310</f>
        <v>201.8</v>
      </c>
      <c r="E1310" s="6">
        <f>Sheet1!E1310</f>
        <v>198.55</v>
      </c>
      <c r="F1310" s="6">
        <f>Sheet1!F1310</f>
        <v>201.3</v>
      </c>
      <c r="H1310" s="6">
        <f ca="1">IF(ROW($H1310)-1&lt;$I$1,$F1310,AVERAGE($F1310:OFFSET($F1310,(($I$1-1)*-1),0)))</f>
        <v>201.91666666666666</v>
      </c>
      <c r="J1310" s="6">
        <f ca="1">IF(ROW($J1310)-1&lt;$K$1,$F1310,AVERAGE($F1310:OFFSET($F1310,(($K$1-1)*-1),0)))</f>
        <v>218.17321428571429</v>
      </c>
      <c r="L1310" s="7">
        <f t="shared" ca="1" si="120"/>
        <v>-1</v>
      </c>
      <c r="M1310" s="7" t="str">
        <f t="shared" ca="1" si="121"/>
        <v/>
      </c>
      <c r="N1310" s="6" t="str">
        <f t="shared" ca="1" si="122"/>
        <v/>
      </c>
      <c r="O1310" s="6">
        <f t="shared" si="123"/>
        <v>1.7000000000000171</v>
      </c>
      <c r="Q1310" s="6">
        <v>35.299999999999983</v>
      </c>
      <c r="R1310" s="9">
        <f t="shared" si="124"/>
        <v>13237.499999999993</v>
      </c>
      <c r="S1310" s="7">
        <f t="shared" si="125"/>
        <v>-14062.499999999971</v>
      </c>
    </row>
    <row r="1311" spans="1:19" x14ac:dyDescent="0.25">
      <c r="A1311" s="4">
        <f>Sheet1!A1311</f>
        <v>40984</v>
      </c>
      <c r="B1311" s="5">
        <f>Sheet1!B1311</f>
        <v>0.58333333333333337</v>
      </c>
      <c r="C1311" s="6">
        <f>Sheet1!C1311</f>
        <v>201.2</v>
      </c>
      <c r="D1311" s="6">
        <f>Sheet1!D1311</f>
        <v>202.5</v>
      </c>
      <c r="E1311" s="6">
        <f>Sheet1!E1311</f>
        <v>197.7</v>
      </c>
      <c r="F1311" s="6">
        <f>Sheet1!F1311</f>
        <v>198.35</v>
      </c>
      <c r="H1311" s="6">
        <f ca="1">IF(ROW($H1311)-1&lt;$I$1,$F1311,AVERAGE($F1311:OFFSET($F1311,(($I$1-1)*-1),0)))</f>
        <v>200.74166666666665</v>
      </c>
      <c r="J1311" s="6">
        <f ca="1">IF(ROW($J1311)-1&lt;$K$1,$F1311,AVERAGE($F1311:OFFSET($F1311,(($K$1-1)*-1),0)))</f>
        <v>216.79642857142861</v>
      </c>
      <c r="L1311" s="7">
        <f t="shared" ca="1" si="120"/>
        <v>-1</v>
      </c>
      <c r="M1311" s="7" t="str">
        <f t="shared" ca="1" si="121"/>
        <v/>
      </c>
      <c r="N1311" s="6" t="str">
        <f t="shared" ca="1" si="122"/>
        <v/>
      </c>
      <c r="O1311" s="6">
        <f t="shared" si="123"/>
        <v>-2.9500000000000171</v>
      </c>
      <c r="Q1311" s="6">
        <v>38.25</v>
      </c>
      <c r="R1311" s="9">
        <f t="shared" si="124"/>
        <v>14343.75</v>
      </c>
      <c r="S1311" s="7">
        <f t="shared" si="125"/>
        <v>-14062.499999999971</v>
      </c>
    </row>
    <row r="1312" spans="1:19" x14ac:dyDescent="0.25">
      <c r="A1312" s="4">
        <f>Sheet1!A1312</f>
        <v>40987</v>
      </c>
      <c r="B1312" s="5">
        <f>Sheet1!B1312</f>
        <v>0.58333333333333337</v>
      </c>
      <c r="C1312" s="6">
        <f>Sheet1!C1312</f>
        <v>198</v>
      </c>
      <c r="D1312" s="6">
        <f>Sheet1!D1312</f>
        <v>201.25</v>
      </c>
      <c r="E1312" s="6">
        <f>Sheet1!E1312</f>
        <v>198</v>
      </c>
      <c r="F1312" s="6">
        <f>Sheet1!F1312</f>
        <v>199.5</v>
      </c>
      <c r="H1312" s="6">
        <f ca="1">IF(ROW($H1312)-1&lt;$I$1,$F1312,AVERAGE($F1312:OFFSET($F1312,(($I$1-1)*-1),0)))</f>
        <v>200.29166666666666</v>
      </c>
      <c r="J1312" s="6">
        <f ca="1">IF(ROW($J1312)-1&lt;$K$1,$F1312,AVERAGE($F1312:OFFSET($F1312,(($K$1-1)*-1),0)))</f>
        <v>215.38392857142861</v>
      </c>
      <c r="L1312" s="7">
        <f t="shared" ca="1" si="120"/>
        <v>-1</v>
      </c>
      <c r="M1312" s="7" t="str">
        <f t="shared" ca="1" si="121"/>
        <v/>
      </c>
      <c r="N1312" s="6" t="str">
        <f t="shared" ca="1" si="122"/>
        <v/>
      </c>
      <c r="O1312" s="6">
        <f t="shared" si="123"/>
        <v>1.1500000000000057</v>
      </c>
      <c r="Q1312" s="6">
        <v>37.099999999999994</v>
      </c>
      <c r="R1312" s="9">
        <f t="shared" si="124"/>
        <v>13912.499999999998</v>
      </c>
      <c r="S1312" s="7">
        <f t="shared" si="125"/>
        <v>-14062.499999999971</v>
      </c>
    </row>
    <row r="1313" spans="1:19" x14ac:dyDescent="0.25">
      <c r="A1313" s="4">
        <f>Sheet1!A1313</f>
        <v>40988</v>
      </c>
      <c r="B1313" s="5">
        <f>Sheet1!B1313</f>
        <v>0.58333333333333337</v>
      </c>
      <c r="C1313" s="6">
        <f>Sheet1!C1313</f>
        <v>199.25</v>
      </c>
      <c r="D1313" s="6">
        <f>Sheet1!D1313</f>
        <v>201.5</v>
      </c>
      <c r="E1313" s="6">
        <f>Sheet1!E1313</f>
        <v>198.35</v>
      </c>
      <c r="F1313" s="6">
        <f>Sheet1!F1313</f>
        <v>199.6</v>
      </c>
      <c r="H1313" s="6">
        <f ca="1">IF(ROW($H1313)-1&lt;$I$1,$F1313,AVERAGE($F1313:OFFSET($F1313,(($I$1-1)*-1),0)))</f>
        <v>200.08333333333334</v>
      </c>
      <c r="J1313" s="6">
        <f ca="1">IF(ROW($J1313)-1&lt;$K$1,$F1313,AVERAGE($F1313:OFFSET($F1313,(($K$1-1)*-1),0)))</f>
        <v>214.0071428571429</v>
      </c>
      <c r="L1313" s="7">
        <f t="shared" ca="1" si="120"/>
        <v>-1</v>
      </c>
      <c r="M1313" s="7" t="str">
        <f t="shared" ca="1" si="121"/>
        <v/>
      </c>
      <c r="N1313" s="6" t="str">
        <f t="shared" ca="1" si="122"/>
        <v/>
      </c>
      <c r="O1313" s="6">
        <f t="shared" si="123"/>
        <v>9.9999999999994316E-2</v>
      </c>
      <c r="Q1313" s="6">
        <v>37</v>
      </c>
      <c r="R1313" s="9">
        <f t="shared" si="124"/>
        <v>13875</v>
      </c>
      <c r="S1313" s="7">
        <f t="shared" si="125"/>
        <v>-14062.499999999971</v>
      </c>
    </row>
    <row r="1314" spans="1:19" x14ac:dyDescent="0.25">
      <c r="A1314" s="4">
        <f>Sheet1!A1314</f>
        <v>40989</v>
      </c>
      <c r="B1314" s="5">
        <f>Sheet1!B1314</f>
        <v>0.58333333333333337</v>
      </c>
      <c r="C1314" s="6">
        <f>Sheet1!C1314</f>
        <v>199.5</v>
      </c>
      <c r="D1314" s="6">
        <f>Sheet1!D1314</f>
        <v>204.45</v>
      </c>
      <c r="E1314" s="6">
        <f>Sheet1!E1314</f>
        <v>198.5</v>
      </c>
      <c r="F1314" s="6">
        <f>Sheet1!F1314</f>
        <v>200.7</v>
      </c>
      <c r="H1314" s="6">
        <f ca="1">IF(ROW($H1314)-1&lt;$I$1,$F1314,AVERAGE($F1314:OFFSET($F1314,(($I$1-1)*-1),0)))</f>
        <v>199.84166666666667</v>
      </c>
      <c r="J1314" s="6">
        <f ca="1">IF(ROW($J1314)-1&lt;$K$1,$F1314,AVERAGE($F1314:OFFSET($F1314,(($K$1-1)*-1),0)))</f>
        <v>212.81428571428572</v>
      </c>
      <c r="L1314" s="7">
        <f t="shared" ca="1" si="120"/>
        <v>-1</v>
      </c>
      <c r="M1314" s="7" t="str">
        <f t="shared" ca="1" si="121"/>
        <v/>
      </c>
      <c r="N1314" s="6" t="str">
        <f t="shared" ca="1" si="122"/>
        <v/>
      </c>
      <c r="O1314" s="6">
        <f t="shared" si="123"/>
        <v>1.0999999999999943</v>
      </c>
      <c r="Q1314" s="6">
        <v>35.900000000000006</v>
      </c>
      <c r="R1314" s="9">
        <f t="shared" si="124"/>
        <v>13462.500000000002</v>
      </c>
      <c r="S1314" s="7">
        <f t="shared" si="125"/>
        <v>-14062.499999999971</v>
      </c>
    </row>
    <row r="1315" spans="1:19" x14ac:dyDescent="0.25">
      <c r="A1315" s="4">
        <f>Sheet1!A1315</f>
        <v>40990</v>
      </c>
      <c r="B1315" s="5">
        <f>Sheet1!B1315</f>
        <v>0.58333333333333337</v>
      </c>
      <c r="C1315" s="6">
        <f>Sheet1!C1315</f>
        <v>200.15</v>
      </c>
      <c r="D1315" s="6">
        <f>Sheet1!D1315</f>
        <v>201.3</v>
      </c>
      <c r="E1315" s="6">
        <f>Sheet1!E1315</f>
        <v>190.45</v>
      </c>
      <c r="F1315" s="6">
        <f>Sheet1!F1315</f>
        <v>192.95</v>
      </c>
      <c r="H1315" s="6">
        <f ca="1">IF(ROW($H1315)-1&lt;$I$1,$F1315,AVERAGE($F1315:OFFSET($F1315,(($I$1-1)*-1),0)))</f>
        <v>198.73333333333335</v>
      </c>
      <c r="J1315" s="6">
        <f ca="1">IF(ROW($J1315)-1&lt;$K$1,$F1315,AVERAGE($F1315:OFFSET($F1315,(($K$1-1)*-1),0)))</f>
        <v>211.36964285714288</v>
      </c>
      <c r="L1315" s="7">
        <f t="shared" ca="1" si="120"/>
        <v>-1</v>
      </c>
      <c r="M1315" s="7" t="str">
        <f t="shared" ca="1" si="121"/>
        <v/>
      </c>
      <c r="N1315" s="6" t="str">
        <f t="shared" ca="1" si="122"/>
        <v/>
      </c>
      <c r="O1315" s="6">
        <f t="shared" si="123"/>
        <v>-7.75</v>
      </c>
      <c r="Q1315" s="6">
        <v>43.650000000000006</v>
      </c>
      <c r="R1315" s="9">
        <f t="shared" si="124"/>
        <v>16368.750000000002</v>
      </c>
      <c r="S1315" s="7">
        <f t="shared" si="125"/>
        <v>-14062.499999999971</v>
      </c>
    </row>
    <row r="1316" spans="1:19" x14ac:dyDescent="0.25">
      <c r="A1316" s="4">
        <f>Sheet1!A1316</f>
        <v>40991</v>
      </c>
      <c r="B1316" s="5">
        <f>Sheet1!B1316</f>
        <v>0.58333333333333337</v>
      </c>
      <c r="C1316" s="6">
        <f>Sheet1!C1316</f>
        <v>192.25</v>
      </c>
      <c r="D1316" s="6">
        <f>Sheet1!D1316</f>
        <v>195.25</v>
      </c>
      <c r="E1316" s="6">
        <f>Sheet1!E1316</f>
        <v>191.25</v>
      </c>
      <c r="F1316" s="6">
        <f>Sheet1!F1316</f>
        <v>194.75</v>
      </c>
      <c r="H1316" s="6">
        <f ca="1">IF(ROW($H1316)-1&lt;$I$1,$F1316,AVERAGE($F1316:OFFSET($F1316,(($I$1-1)*-1),0)))</f>
        <v>197.64166666666668</v>
      </c>
      <c r="J1316" s="6">
        <f ca="1">IF(ROW($J1316)-1&lt;$K$1,$F1316,AVERAGE($F1316:OFFSET($F1316,(($K$1-1)*-1),0)))</f>
        <v>210.08928571428572</v>
      </c>
      <c r="L1316" s="7">
        <f t="shared" ca="1" si="120"/>
        <v>-1</v>
      </c>
      <c r="M1316" s="7" t="str">
        <f t="shared" ca="1" si="121"/>
        <v/>
      </c>
      <c r="N1316" s="6" t="str">
        <f t="shared" ca="1" si="122"/>
        <v/>
      </c>
      <c r="O1316" s="6">
        <f t="shared" si="123"/>
        <v>1.8000000000000114</v>
      </c>
      <c r="Q1316" s="6">
        <v>41.849999999999994</v>
      </c>
      <c r="R1316" s="9">
        <f t="shared" si="124"/>
        <v>15693.749999999998</v>
      </c>
      <c r="S1316" s="7">
        <f t="shared" si="125"/>
        <v>-14062.499999999971</v>
      </c>
    </row>
    <row r="1317" spans="1:19" x14ac:dyDescent="0.25">
      <c r="A1317" s="4">
        <f>Sheet1!A1317</f>
        <v>40994</v>
      </c>
      <c r="B1317" s="5">
        <f>Sheet1!B1317</f>
        <v>0.58333333333333337</v>
      </c>
      <c r="C1317" s="6">
        <f>Sheet1!C1317</f>
        <v>194.25</v>
      </c>
      <c r="D1317" s="6">
        <f>Sheet1!D1317</f>
        <v>196.4</v>
      </c>
      <c r="E1317" s="6">
        <f>Sheet1!E1317</f>
        <v>193.7</v>
      </c>
      <c r="F1317" s="6">
        <f>Sheet1!F1317</f>
        <v>194.8</v>
      </c>
      <c r="H1317" s="6">
        <f ca="1">IF(ROW($H1317)-1&lt;$I$1,$F1317,AVERAGE($F1317:OFFSET($F1317,(($I$1-1)*-1),0)))</f>
        <v>197.04999999999998</v>
      </c>
      <c r="J1317" s="6">
        <f ca="1">IF(ROW($J1317)-1&lt;$K$1,$F1317,AVERAGE($F1317:OFFSET($F1317,(($K$1-1)*-1),0)))</f>
        <v>209.11250000000001</v>
      </c>
      <c r="L1317" s="7">
        <f t="shared" ca="1" si="120"/>
        <v>-1</v>
      </c>
      <c r="M1317" s="7" t="str">
        <f t="shared" ca="1" si="121"/>
        <v/>
      </c>
      <c r="N1317" s="6" t="str">
        <f t="shared" ca="1" si="122"/>
        <v/>
      </c>
      <c r="O1317" s="6">
        <f t="shared" si="123"/>
        <v>5.0000000000011369E-2</v>
      </c>
      <c r="Q1317" s="6">
        <v>41.799999999999983</v>
      </c>
      <c r="R1317" s="9">
        <f t="shared" si="124"/>
        <v>15674.999999999993</v>
      </c>
      <c r="S1317" s="7">
        <f t="shared" si="125"/>
        <v>-14062.499999999971</v>
      </c>
    </row>
    <row r="1318" spans="1:19" x14ac:dyDescent="0.25">
      <c r="A1318" s="4">
        <f>Sheet1!A1318</f>
        <v>40995</v>
      </c>
      <c r="B1318" s="5">
        <f>Sheet1!B1318</f>
        <v>0.58333333333333337</v>
      </c>
      <c r="C1318" s="6">
        <f>Sheet1!C1318</f>
        <v>194.8</v>
      </c>
      <c r="D1318" s="6">
        <f>Sheet1!D1318</f>
        <v>203.65</v>
      </c>
      <c r="E1318" s="6">
        <f>Sheet1!E1318</f>
        <v>194.8</v>
      </c>
      <c r="F1318" s="6">
        <f>Sheet1!F1318</f>
        <v>203.35</v>
      </c>
      <c r="H1318" s="6">
        <f ca="1">IF(ROW($H1318)-1&lt;$I$1,$F1318,AVERAGE($F1318:OFFSET($F1318,(($I$1-1)*-1),0)))</f>
        <v>197.69166666666663</v>
      </c>
      <c r="J1318" s="6">
        <f ca="1">IF(ROW($J1318)-1&lt;$K$1,$F1318,AVERAGE($F1318:OFFSET($F1318,(($K$1-1)*-1),0)))</f>
        <v>208.5696428571429</v>
      </c>
      <c r="L1318" s="7">
        <f t="shared" ca="1" si="120"/>
        <v>-1</v>
      </c>
      <c r="M1318" s="7" t="str">
        <f t="shared" ca="1" si="121"/>
        <v/>
      </c>
      <c r="N1318" s="6" t="str">
        <f t="shared" ca="1" si="122"/>
        <v/>
      </c>
      <c r="O1318" s="6">
        <f t="shared" si="123"/>
        <v>8.5499999999999829</v>
      </c>
      <c r="Q1318" s="6">
        <v>33.25</v>
      </c>
      <c r="R1318" s="9">
        <f t="shared" si="124"/>
        <v>12468.75</v>
      </c>
      <c r="S1318" s="7">
        <f t="shared" si="125"/>
        <v>-14062.499999999971</v>
      </c>
    </row>
    <row r="1319" spans="1:19" x14ac:dyDescent="0.25">
      <c r="A1319" s="4">
        <f>Sheet1!A1319</f>
        <v>40996</v>
      </c>
      <c r="B1319" s="5">
        <f>Sheet1!B1319</f>
        <v>0.58333333333333337</v>
      </c>
      <c r="C1319" s="6">
        <f>Sheet1!C1319</f>
        <v>202.9</v>
      </c>
      <c r="D1319" s="6">
        <f>Sheet1!D1319</f>
        <v>203.85</v>
      </c>
      <c r="E1319" s="6">
        <f>Sheet1!E1319</f>
        <v>197.25</v>
      </c>
      <c r="F1319" s="6">
        <f>Sheet1!F1319</f>
        <v>198</v>
      </c>
      <c r="H1319" s="6">
        <f ca="1">IF(ROW($H1319)-1&lt;$I$1,$F1319,AVERAGE($F1319:OFFSET($F1319,(($I$1-1)*-1),0)))</f>
        <v>197.42500000000004</v>
      </c>
      <c r="J1319" s="6">
        <f ca="1">IF(ROW($J1319)-1&lt;$K$1,$F1319,AVERAGE($F1319:OFFSET($F1319,(($K$1-1)*-1),0)))</f>
        <v>207.88392857142858</v>
      </c>
      <c r="L1319" s="7">
        <f t="shared" ca="1" si="120"/>
        <v>-1</v>
      </c>
      <c r="M1319" s="7" t="str">
        <f t="shared" ca="1" si="121"/>
        <v/>
      </c>
      <c r="N1319" s="6" t="str">
        <f t="shared" ca="1" si="122"/>
        <v/>
      </c>
      <c r="O1319" s="6">
        <f t="shared" si="123"/>
        <v>-5.3499999999999943</v>
      </c>
      <c r="Q1319" s="6">
        <v>38.599999999999994</v>
      </c>
      <c r="R1319" s="9">
        <f t="shared" si="124"/>
        <v>14474.999999999998</v>
      </c>
      <c r="S1319" s="7">
        <f t="shared" si="125"/>
        <v>-14062.499999999971</v>
      </c>
    </row>
    <row r="1320" spans="1:19" x14ac:dyDescent="0.25">
      <c r="A1320" s="4">
        <f>Sheet1!A1320</f>
        <v>40997</v>
      </c>
      <c r="B1320" s="5">
        <f>Sheet1!B1320</f>
        <v>0.58333333333333337</v>
      </c>
      <c r="C1320" s="6">
        <f>Sheet1!C1320</f>
        <v>197.5</v>
      </c>
      <c r="D1320" s="6">
        <f>Sheet1!D1320</f>
        <v>199.25</v>
      </c>
      <c r="E1320" s="6">
        <f>Sheet1!E1320</f>
        <v>191.9</v>
      </c>
      <c r="F1320" s="6">
        <f>Sheet1!F1320</f>
        <v>192.45</v>
      </c>
      <c r="H1320" s="6">
        <f ca="1">IF(ROW($H1320)-1&lt;$I$1,$F1320,AVERAGE($F1320:OFFSET($F1320,(($I$1-1)*-1),0)))</f>
        <v>196.04999999999998</v>
      </c>
      <c r="J1320" s="6">
        <f ca="1">IF(ROW($J1320)-1&lt;$K$1,$F1320,AVERAGE($F1320:OFFSET($F1320,(($K$1-1)*-1),0)))</f>
        <v>206.95892857142857</v>
      </c>
      <c r="L1320" s="7">
        <f t="shared" ca="1" si="120"/>
        <v>-1</v>
      </c>
      <c r="M1320" s="7" t="str">
        <f t="shared" ca="1" si="121"/>
        <v/>
      </c>
      <c r="N1320" s="6" t="str">
        <f t="shared" ca="1" si="122"/>
        <v/>
      </c>
      <c r="O1320" s="6">
        <f t="shared" si="123"/>
        <v>-5.5500000000000114</v>
      </c>
      <c r="Q1320" s="6">
        <v>44.150000000000006</v>
      </c>
      <c r="R1320" s="9">
        <f t="shared" si="124"/>
        <v>16556.250000000004</v>
      </c>
      <c r="S1320" s="7">
        <f t="shared" si="125"/>
        <v>-14062.499999999971</v>
      </c>
    </row>
    <row r="1321" spans="1:19" x14ac:dyDescent="0.25">
      <c r="A1321" s="4">
        <f>Sheet1!A1321</f>
        <v>40998</v>
      </c>
      <c r="B1321" s="5">
        <f>Sheet1!B1321</f>
        <v>0.58333333333333337</v>
      </c>
      <c r="C1321" s="6">
        <f>Sheet1!C1321</f>
        <v>193.15</v>
      </c>
      <c r="D1321" s="6">
        <f>Sheet1!D1321</f>
        <v>200.05</v>
      </c>
      <c r="E1321" s="6">
        <f>Sheet1!E1321</f>
        <v>193.1</v>
      </c>
      <c r="F1321" s="6">
        <f>Sheet1!F1321</f>
        <v>198.45</v>
      </c>
      <c r="H1321" s="6">
        <f ca="1">IF(ROW($H1321)-1&lt;$I$1,$F1321,AVERAGE($F1321:OFFSET($F1321,(($I$1-1)*-1),0)))</f>
        <v>196.96666666666667</v>
      </c>
      <c r="J1321" s="6">
        <f ca="1">IF(ROW($J1321)-1&lt;$K$1,$F1321,AVERAGE($F1321:OFFSET($F1321,(($K$1-1)*-1),0)))</f>
        <v>206.11607142857142</v>
      </c>
      <c r="L1321" s="7">
        <f t="shared" ca="1" si="120"/>
        <v>-1</v>
      </c>
      <c r="M1321" s="7" t="str">
        <f t="shared" ca="1" si="121"/>
        <v/>
      </c>
      <c r="N1321" s="6" t="str">
        <f t="shared" ca="1" si="122"/>
        <v/>
      </c>
      <c r="O1321" s="6">
        <f t="shared" si="123"/>
        <v>6</v>
      </c>
      <c r="Q1321" s="6">
        <v>38.150000000000006</v>
      </c>
      <c r="R1321" s="9">
        <f t="shared" si="124"/>
        <v>14306.250000000002</v>
      </c>
      <c r="S1321" s="7">
        <f t="shared" si="125"/>
        <v>-14062.499999999971</v>
      </c>
    </row>
    <row r="1322" spans="1:19" x14ac:dyDescent="0.25">
      <c r="A1322" s="4">
        <f>Sheet1!A1322</f>
        <v>41001</v>
      </c>
      <c r="B1322" s="5">
        <f>Sheet1!B1322</f>
        <v>0.58333333333333337</v>
      </c>
      <c r="C1322" s="6">
        <f>Sheet1!C1322</f>
        <v>198.5</v>
      </c>
      <c r="D1322" s="6">
        <f>Sheet1!D1322</f>
        <v>202.9</v>
      </c>
      <c r="E1322" s="6">
        <f>Sheet1!E1322</f>
        <v>196.3</v>
      </c>
      <c r="F1322" s="6">
        <f>Sheet1!F1322</f>
        <v>202.2</v>
      </c>
      <c r="H1322" s="6">
        <f ca="1">IF(ROW($H1322)-1&lt;$I$1,$F1322,AVERAGE($F1322:OFFSET($F1322,(($I$1-1)*-1),0)))</f>
        <v>198.20833333333334</v>
      </c>
      <c r="J1322" s="6">
        <f ca="1">IF(ROW($J1322)-1&lt;$K$1,$F1322,AVERAGE($F1322:OFFSET($F1322,(($K$1-1)*-1),0)))</f>
        <v>205.55714285714285</v>
      </c>
      <c r="L1322" s="7">
        <f t="shared" ca="1" si="120"/>
        <v>-1</v>
      </c>
      <c r="M1322" s="7" t="str">
        <f t="shared" ca="1" si="121"/>
        <v/>
      </c>
      <c r="N1322" s="6" t="str">
        <f t="shared" ca="1" si="122"/>
        <v/>
      </c>
      <c r="O1322" s="6">
        <f t="shared" si="123"/>
        <v>3.75</v>
      </c>
      <c r="Q1322" s="6">
        <v>34.400000000000006</v>
      </c>
      <c r="R1322" s="9">
        <f t="shared" si="124"/>
        <v>12900.000000000002</v>
      </c>
      <c r="S1322" s="7">
        <f t="shared" si="125"/>
        <v>-14062.499999999971</v>
      </c>
    </row>
    <row r="1323" spans="1:19" x14ac:dyDescent="0.25">
      <c r="A1323" s="4">
        <f>Sheet1!A1323</f>
        <v>41002</v>
      </c>
      <c r="B1323" s="5">
        <f>Sheet1!B1323</f>
        <v>0.58333333333333337</v>
      </c>
      <c r="C1323" s="6">
        <f>Sheet1!C1323</f>
        <v>201.9</v>
      </c>
      <c r="D1323" s="6">
        <f>Sheet1!D1323</f>
        <v>201.9</v>
      </c>
      <c r="E1323" s="6">
        <f>Sheet1!E1323</f>
        <v>198.35</v>
      </c>
      <c r="F1323" s="6">
        <f>Sheet1!F1323</f>
        <v>201.35</v>
      </c>
      <c r="H1323" s="6">
        <f ca="1">IF(ROW($H1323)-1&lt;$I$1,$F1323,AVERAGE($F1323:OFFSET($F1323,(($I$1-1)*-1),0)))</f>
        <v>199.29999999999998</v>
      </c>
      <c r="J1323" s="6">
        <f ca="1">IF(ROW($J1323)-1&lt;$K$1,$F1323,AVERAGE($F1323:OFFSET($F1323,(($K$1-1)*-1),0)))</f>
        <v>204.96071428571426</v>
      </c>
      <c r="L1323" s="7">
        <f t="shared" ca="1" si="120"/>
        <v>-1</v>
      </c>
      <c r="M1323" s="7" t="str">
        <f t="shared" ca="1" si="121"/>
        <v/>
      </c>
      <c r="N1323" s="6" t="str">
        <f t="shared" ca="1" si="122"/>
        <v/>
      </c>
      <c r="O1323" s="6">
        <f t="shared" si="123"/>
        <v>-0.84999999999999432</v>
      </c>
      <c r="Q1323" s="6">
        <v>35.25</v>
      </c>
      <c r="R1323" s="9">
        <f t="shared" si="124"/>
        <v>13218.75</v>
      </c>
      <c r="S1323" s="7">
        <f t="shared" si="125"/>
        <v>-14062.499999999971</v>
      </c>
    </row>
    <row r="1324" spans="1:19" x14ac:dyDescent="0.25">
      <c r="A1324" s="4">
        <f>Sheet1!A1324</f>
        <v>41003</v>
      </c>
      <c r="B1324" s="5">
        <f>Sheet1!B1324</f>
        <v>0.58333333333333337</v>
      </c>
      <c r="C1324" s="6">
        <f>Sheet1!C1324</f>
        <v>200</v>
      </c>
      <c r="D1324" s="6">
        <f>Sheet1!D1324</f>
        <v>206.45</v>
      </c>
      <c r="E1324" s="6">
        <f>Sheet1!E1324</f>
        <v>194.7</v>
      </c>
      <c r="F1324" s="6">
        <f>Sheet1!F1324</f>
        <v>200.75</v>
      </c>
      <c r="H1324" s="6">
        <f ca="1">IF(ROW($H1324)-1&lt;$I$1,$F1324,AVERAGE($F1324:OFFSET($F1324,(($I$1-1)*-1),0)))</f>
        <v>198.86666666666665</v>
      </c>
      <c r="J1324" s="6">
        <f ca="1">IF(ROW($J1324)-1&lt;$K$1,$F1324,AVERAGE($F1324:OFFSET($F1324,(($K$1-1)*-1),0)))</f>
        <v>204.28749999999997</v>
      </c>
      <c r="L1324" s="7">
        <f t="shared" ca="1" si="120"/>
        <v>-1</v>
      </c>
      <c r="M1324" s="7" t="str">
        <f t="shared" ca="1" si="121"/>
        <v/>
      </c>
      <c r="N1324" s="6" t="str">
        <f t="shared" ca="1" si="122"/>
        <v/>
      </c>
      <c r="O1324" s="6">
        <f t="shared" si="123"/>
        <v>-0.59999999999999432</v>
      </c>
      <c r="Q1324" s="6">
        <v>35.849999999999994</v>
      </c>
      <c r="R1324" s="9">
        <f t="shared" si="124"/>
        <v>13443.749999999998</v>
      </c>
      <c r="S1324" s="7">
        <f t="shared" si="125"/>
        <v>-14062.499999999971</v>
      </c>
    </row>
    <row r="1325" spans="1:19" x14ac:dyDescent="0.25">
      <c r="A1325" s="4">
        <f>Sheet1!A1325</f>
        <v>41004</v>
      </c>
      <c r="B1325" s="5">
        <f>Sheet1!B1325</f>
        <v>0.58333333333333337</v>
      </c>
      <c r="C1325" s="6">
        <f>Sheet1!C1325</f>
        <v>200</v>
      </c>
      <c r="D1325" s="6">
        <f>Sheet1!D1325</f>
        <v>201</v>
      </c>
      <c r="E1325" s="6">
        <f>Sheet1!E1325</f>
        <v>196.95</v>
      </c>
      <c r="F1325" s="6">
        <f>Sheet1!F1325</f>
        <v>199</v>
      </c>
      <c r="H1325" s="6">
        <f ca="1">IF(ROW($H1325)-1&lt;$I$1,$F1325,AVERAGE($F1325:OFFSET($F1325,(($I$1-1)*-1),0)))</f>
        <v>199.0333333333333</v>
      </c>
      <c r="J1325" s="6">
        <f ca="1">IF(ROW($J1325)-1&lt;$K$1,$F1325,AVERAGE($F1325:OFFSET($F1325,(($K$1-1)*-1),0)))</f>
        <v>203.51607142857142</v>
      </c>
      <c r="L1325" s="7">
        <f t="shared" ca="1" si="120"/>
        <v>-1</v>
      </c>
      <c r="M1325" s="7" t="str">
        <f t="shared" ca="1" si="121"/>
        <v/>
      </c>
      <c r="N1325" s="6" t="str">
        <f t="shared" ca="1" si="122"/>
        <v/>
      </c>
      <c r="O1325" s="6">
        <f t="shared" si="123"/>
        <v>-1.75</v>
      </c>
      <c r="Q1325" s="6">
        <v>37.599999999999994</v>
      </c>
      <c r="R1325" s="9">
        <f t="shared" si="124"/>
        <v>14099.999999999998</v>
      </c>
      <c r="S1325" s="7">
        <f t="shared" si="125"/>
        <v>-14062.499999999971</v>
      </c>
    </row>
    <row r="1326" spans="1:19" x14ac:dyDescent="0.25">
      <c r="A1326" s="4">
        <f>Sheet1!A1326</f>
        <v>41008</v>
      </c>
      <c r="B1326" s="5">
        <f>Sheet1!B1326</f>
        <v>0.58333333333333337</v>
      </c>
      <c r="C1326" s="6">
        <f>Sheet1!C1326</f>
        <v>198.85</v>
      </c>
      <c r="D1326" s="6">
        <f>Sheet1!D1326</f>
        <v>199.6</v>
      </c>
      <c r="E1326" s="6">
        <f>Sheet1!E1326</f>
        <v>193.55</v>
      </c>
      <c r="F1326" s="6">
        <f>Sheet1!F1326</f>
        <v>194.05</v>
      </c>
      <c r="H1326" s="6">
        <f ca="1">IF(ROW($H1326)-1&lt;$I$1,$F1326,AVERAGE($F1326:OFFSET($F1326,(($I$1-1)*-1),0)))</f>
        <v>199.29999999999998</v>
      </c>
      <c r="J1326" s="6">
        <f ca="1">IF(ROW($J1326)-1&lt;$K$1,$F1326,AVERAGE($F1326:OFFSET($F1326,(($K$1-1)*-1),0)))</f>
        <v>202.50892857142858</v>
      </c>
      <c r="L1326" s="7">
        <f t="shared" ca="1" si="120"/>
        <v>-1</v>
      </c>
      <c r="M1326" s="7" t="str">
        <f t="shared" ca="1" si="121"/>
        <v/>
      </c>
      <c r="N1326" s="6" t="str">
        <f t="shared" ca="1" si="122"/>
        <v/>
      </c>
      <c r="O1326" s="6">
        <f t="shared" si="123"/>
        <v>-4.9499999999999886</v>
      </c>
      <c r="Q1326" s="6">
        <v>42.549999999999983</v>
      </c>
      <c r="R1326" s="9">
        <f t="shared" si="124"/>
        <v>15956.249999999993</v>
      </c>
      <c r="S1326" s="7">
        <f t="shared" si="125"/>
        <v>-14062.499999999971</v>
      </c>
    </row>
    <row r="1327" spans="1:19" x14ac:dyDescent="0.25">
      <c r="A1327" s="4">
        <f>Sheet1!A1327</f>
        <v>41009</v>
      </c>
      <c r="B1327" s="5">
        <f>Sheet1!B1327</f>
        <v>0.58333333333333337</v>
      </c>
      <c r="C1327" s="6">
        <f>Sheet1!C1327</f>
        <v>194.5</v>
      </c>
      <c r="D1327" s="6">
        <f>Sheet1!D1327</f>
        <v>198.35</v>
      </c>
      <c r="E1327" s="6">
        <f>Sheet1!E1327</f>
        <v>193.75</v>
      </c>
      <c r="F1327" s="6">
        <f>Sheet1!F1327</f>
        <v>194.15</v>
      </c>
      <c r="H1327" s="6">
        <f ca="1">IF(ROW($H1327)-1&lt;$I$1,$F1327,AVERAGE($F1327:OFFSET($F1327,(($I$1-1)*-1),0)))</f>
        <v>198.58333333333334</v>
      </c>
      <c r="J1327" s="6">
        <f ca="1">IF(ROW($J1327)-1&lt;$K$1,$F1327,AVERAGE($F1327:OFFSET($F1327,(($K$1-1)*-1),0)))</f>
        <v>201.61249999999998</v>
      </c>
      <c r="L1327" s="7">
        <f t="shared" ca="1" si="120"/>
        <v>-1</v>
      </c>
      <c r="M1327" s="7" t="str">
        <f t="shared" ca="1" si="121"/>
        <v/>
      </c>
      <c r="N1327" s="6" t="str">
        <f t="shared" ca="1" si="122"/>
        <v/>
      </c>
      <c r="O1327" s="6">
        <f t="shared" si="123"/>
        <v>9.9999999999994316E-2</v>
      </c>
      <c r="Q1327" s="6">
        <v>42.449999999999989</v>
      </c>
      <c r="R1327" s="9">
        <f t="shared" si="124"/>
        <v>15918.749999999996</v>
      </c>
      <c r="S1327" s="7">
        <f t="shared" si="125"/>
        <v>-14062.499999999971</v>
      </c>
    </row>
    <row r="1328" spans="1:19" x14ac:dyDescent="0.25">
      <c r="A1328" s="4">
        <f>Sheet1!A1328</f>
        <v>41010</v>
      </c>
      <c r="B1328" s="5">
        <f>Sheet1!B1328</f>
        <v>0.58333333333333337</v>
      </c>
      <c r="C1328" s="6">
        <f>Sheet1!C1328</f>
        <v>194.6</v>
      </c>
      <c r="D1328" s="6">
        <f>Sheet1!D1328</f>
        <v>198.7</v>
      </c>
      <c r="E1328" s="6">
        <f>Sheet1!E1328</f>
        <v>193.85</v>
      </c>
      <c r="F1328" s="6">
        <f>Sheet1!F1328</f>
        <v>196.35</v>
      </c>
      <c r="H1328" s="6">
        <f ca="1">IF(ROW($H1328)-1&lt;$I$1,$F1328,AVERAGE($F1328:OFFSET($F1328,(($I$1-1)*-1),0)))</f>
        <v>197.60833333333335</v>
      </c>
      <c r="J1328" s="6">
        <f ca="1">IF(ROW($J1328)-1&lt;$K$1,$F1328,AVERAGE($F1328:OFFSET($F1328,(($K$1-1)*-1),0)))</f>
        <v>200.76428571428571</v>
      </c>
      <c r="L1328" s="7">
        <f t="shared" ca="1" si="120"/>
        <v>-1</v>
      </c>
      <c r="M1328" s="7" t="str">
        <f t="shared" ca="1" si="121"/>
        <v/>
      </c>
      <c r="N1328" s="6" t="str">
        <f t="shared" ca="1" si="122"/>
        <v/>
      </c>
      <c r="O1328" s="6">
        <f t="shared" si="123"/>
        <v>2.1999999999999886</v>
      </c>
      <c r="Q1328" s="6">
        <v>40.25</v>
      </c>
      <c r="R1328" s="9">
        <f t="shared" si="124"/>
        <v>15093.75</v>
      </c>
      <c r="S1328" s="7">
        <f t="shared" si="125"/>
        <v>-14062.499999999971</v>
      </c>
    </row>
    <row r="1329" spans="1:19" x14ac:dyDescent="0.25">
      <c r="A1329" s="4">
        <f>Sheet1!A1329</f>
        <v>41011</v>
      </c>
      <c r="B1329" s="5">
        <f>Sheet1!B1329</f>
        <v>0.58333333333333337</v>
      </c>
      <c r="C1329" s="6">
        <f>Sheet1!C1329</f>
        <v>196.3</v>
      </c>
      <c r="D1329" s="6">
        <f>Sheet1!D1329</f>
        <v>198.35</v>
      </c>
      <c r="E1329" s="6">
        <f>Sheet1!E1329</f>
        <v>194.45</v>
      </c>
      <c r="F1329" s="6">
        <f>Sheet1!F1329</f>
        <v>197.95</v>
      </c>
      <c r="H1329" s="6">
        <f ca="1">IF(ROW($H1329)-1&lt;$I$1,$F1329,AVERAGE($F1329:OFFSET($F1329,(($I$1-1)*-1),0)))</f>
        <v>197.04166666666666</v>
      </c>
      <c r="J1329" s="6">
        <f ca="1">IF(ROW($J1329)-1&lt;$K$1,$F1329,AVERAGE($F1329:OFFSET($F1329,(($K$1-1)*-1),0)))</f>
        <v>200.0553571428571</v>
      </c>
      <c r="L1329" s="7">
        <f t="shared" ca="1" si="120"/>
        <v>-1</v>
      </c>
      <c r="M1329" s="7" t="str">
        <f t="shared" ca="1" si="121"/>
        <v/>
      </c>
      <c r="N1329" s="6" t="str">
        <f t="shared" ca="1" si="122"/>
        <v/>
      </c>
      <c r="O1329" s="6">
        <f t="shared" si="123"/>
        <v>1.5999999999999943</v>
      </c>
      <c r="Q1329" s="6">
        <v>38.650000000000006</v>
      </c>
      <c r="R1329" s="9">
        <f t="shared" si="124"/>
        <v>14493.750000000002</v>
      </c>
      <c r="S1329" s="7">
        <f t="shared" si="125"/>
        <v>-14062.499999999971</v>
      </c>
    </row>
    <row r="1330" spans="1:19" x14ac:dyDescent="0.25">
      <c r="A1330" s="4">
        <f>Sheet1!A1330</f>
        <v>41012</v>
      </c>
      <c r="B1330" s="5">
        <f>Sheet1!B1330</f>
        <v>0.58333333333333337</v>
      </c>
      <c r="C1330" s="6">
        <f>Sheet1!C1330</f>
        <v>197.95</v>
      </c>
      <c r="D1330" s="6">
        <f>Sheet1!D1330</f>
        <v>200.8</v>
      </c>
      <c r="E1330" s="6">
        <f>Sheet1!E1330</f>
        <v>192.85</v>
      </c>
      <c r="F1330" s="6">
        <f>Sheet1!F1330</f>
        <v>193.9</v>
      </c>
      <c r="H1330" s="6">
        <f ca="1">IF(ROW($H1330)-1&lt;$I$1,$F1330,AVERAGE($F1330:OFFSET($F1330,(($I$1-1)*-1),0)))</f>
        <v>195.9</v>
      </c>
      <c r="J1330" s="6">
        <f ca="1">IF(ROW($J1330)-1&lt;$K$1,$F1330,AVERAGE($F1330:OFFSET($F1330,(($K$1-1)*-1),0)))</f>
        <v>199.20535714285711</v>
      </c>
      <c r="L1330" s="7">
        <f t="shared" ca="1" si="120"/>
        <v>-1</v>
      </c>
      <c r="M1330" s="7" t="str">
        <f t="shared" ca="1" si="121"/>
        <v/>
      </c>
      <c r="N1330" s="6" t="str">
        <f t="shared" ca="1" si="122"/>
        <v/>
      </c>
      <c r="O1330" s="6">
        <f t="shared" si="123"/>
        <v>-4.0499999999999829</v>
      </c>
      <c r="Q1330" s="6">
        <v>42.699999999999989</v>
      </c>
      <c r="R1330" s="9">
        <f t="shared" si="124"/>
        <v>16012.499999999996</v>
      </c>
      <c r="S1330" s="7">
        <f t="shared" si="125"/>
        <v>-14062.499999999971</v>
      </c>
    </row>
    <row r="1331" spans="1:19" x14ac:dyDescent="0.25">
      <c r="A1331" s="4">
        <f>Sheet1!A1331</f>
        <v>41015</v>
      </c>
      <c r="B1331" s="5">
        <f>Sheet1!B1331</f>
        <v>0.58333333333333337</v>
      </c>
      <c r="C1331" s="6">
        <f>Sheet1!C1331</f>
        <v>193.7</v>
      </c>
      <c r="D1331" s="6">
        <f>Sheet1!D1331</f>
        <v>195.05</v>
      </c>
      <c r="E1331" s="6">
        <f>Sheet1!E1331</f>
        <v>187.6</v>
      </c>
      <c r="F1331" s="6">
        <f>Sheet1!F1331</f>
        <v>189.55</v>
      </c>
      <c r="H1331" s="6">
        <f ca="1">IF(ROW($H1331)-1&lt;$I$1,$F1331,AVERAGE($F1331:OFFSET($F1331,(($I$1-1)*-1),0)))</f>
        <v>194.32500000000002</v>
      </c>
      <c r="J1331" s="6">
        <f ca="1">IF(ROW($J1331)-1&lt;$K$1,$F1331,AVERAGE($F1331:OFFSET($F1331,(($K$1-1)*-1),0)))</f>
        <v>198.50892857142853</v>
      </c>
      <c r="L1331" s="7">
        <f t="shared" ca="1" si="120"/>
        <v>-1</v>
      </c>
      <c r="M1331" s="7" t="str">
        <f t="shared" ca="1" si="121"/>
        <v/>
      </c>
      <c r="N1331" s="6" t="str">
        <f t="shared" ca="1" si="122"/>
        <v/>
      </c>
      <c r="O1331" s="6">
        <f t="shared" si="123"/>
        <v>-4.3499999999999943</v>
      </c>
      <c r="Q1331" s="6">
        <v>47.049999999999983</v>
      </c>
      <c r="R1331" s="9">
        <f t="shared" si="124"/>
        <v>17643.749999999993</v>
      </c>
      <c r="S1331" s="7">
        <f t="shared" si="125"/>
        <v>-14062.499999999971</v>
      </c>
    </row>
    <row r="1332" spans="1:19" x14ac:dyDescent="0.25">
      <c r="A1332" s="4">
        <f>Sheet1!A1332</f>
        <v>41016</v>
      </c>
      <c r="B1332" s="5">
        <f>Sheet1!B1332</f>
        <v>0.58333333333333337</v>
      </c>
      <c r="C1332" s="6">
        <f>Sheet1!C1332</f>
        <v>190.1</v>
      </c>
      <c r="D1332" s="6">
        <f>Sheet1!D1332</f>
        <v>192.1</v>
      </c>
      <c r="E1332" s="6">
        <f>Sheet1!E1332</f>
        <v>187.75</v>
      </c>
      <c r="F1332" s="6">
        <f>Sheet1!F1332</f>
        <v>188.4</v>
      </c>
      <c r="H1332" s="6">
        <f ca="1">IF(ROW($H1332)-1&lt;$I$1,$F1332,AVERAGE($F1332:OFFSET($F1332,(($I$1-1)*-1),0)))</f>
        <v>193.38333333333335</v>
      </c>
      <c r="J1332" s="6">
        <f ca="1">IF(ROW($J1332)-1&lt;$K$1,$F1332,AVERAGE($F1332:OFFSET($F1332,(($K$1-1)*-1),0)))</f>
        <v>197.93035714285708</v>
      </c>
      <c r="L1332" s="7">
        <f t="shared" ca="1" si="120"/>
        <v>-1</v>
      </c>
      <c r="M1332" s="7" t="str">
        <f t="shared" ca="1" si="121"/>
        <v/>
      </c>
      <c r="N1332" s="6" t="str">
        <f t="shared" ca="1" si="122"/>
        <v/>
      </c>
      <c r="O1332" s="6">
        <f t="shared" si="123"/>
        <v>-1.1500000000000057</v>
      </c>
      <c r="Q1332" s="6">
        <v>48.199999999999989</v>
      </c>
      <c r="R1332" s="9">
        <f t="shared" si="124"/>
        <v>18074.999999999996</v>
      </c>
      <c r="S1332" s="7">
        <f t="shared" si="125"/>
        <v>-14062.499999999971</v>
      </c>
    </row>
    <row r="1333" spans="1:19" x14ac:dyDescent="0.25">
      <c r="A1333" s="4">
        <f>Sheet1!A1333</f>
        <v>41017</v>
      </c>
      <c r="B1333" s="5">
        <f>Sheet1!B1333</f>
        <v>0.58333333333333337</v>
      </c>
      <c r="C1333" s="6">
        <f>Sheet1!C1333</f>
        <v>188.25</v>
      </c>
      <c r="D1333" s="6">
        <f>Sheet1!D1333</f>
        <v>189.85</v>
      </c>
      <c r="E1333" s="6">
        <f>Sheet1!E1333</f>
        <v>187.8</v>
      </c>
      <c r="F1333" s="6">
        <f>Sheet1!F1333</f>
        <v>188.7</v>
      </c>
      <c r="H1333" s="6">
        <f ca="1">IF(ROW($H1333)-1&lt;$I$1,$F1333,AVERAGE($F1333:OFFSET($F1333,(($I$1-1)*-1),0)))</f>
        <v>192.47499999999999</v>
      </c>
      <c r="J1333" s="6">
        <f ca="1">IF(ROW($J1333)-1&lt;$K$1,$F1333,AVERAGE($F1333:OFFSET($F1333,(($K$1-1)*-1),0)))</f>
        <v>197.33392857142852</v>
      </c>
      <c r="L1333" s="7">
        <f t="shared" ca="1" si="120"/>
        <v>-1</v>
      </c>
      <c r="M1333" s="7" t="str">
        <f t="shared" ca="1" si="121"/>
        <v/>
      </c>
      <c r="N1333" s="6" t="str">
        <f t="shared" ca="1" si="122"/>
        <v/>
      </c>
      <c r="O1333" s="6">
        <f t="shared" si="123"/>
        <v>0.29999999999998295</v>
      </c>
      <c r="Q1333" s="6">
        <v>47.900000000000006</v>
      </c>
      <c r="R1333" s="9">
        <f t="shared" si="124"/>
        <v>17962.500000000004</v>
      </c>
      <c r="S1333" s="7">
        <f t="shared" si="125"/>
        <v>-14062.499999999971</v>
      </c>
    </row>
    <row r="1334" spans="1:19" x14ac:dyDescent="0.25">
      <c r="A1334" s="4">
        <f>Sheet1!A1334</f>
        <v>41018</v>
      </c>
      <c r="B1334" s="5">
        <f>Sheet1!B1334</f>
        <v>0.58333333333333337</v>
      </c>
      <c r="C1334" s="6">
        <f>Sheet1!C1334</f>
        <v>188.7</v>
      </c>
      <c r="D1334" s="6">
        <f>Sheet1!D1334</f>
        <v>191</v>
      </c>
      <c r="E1334" s="6">
        <f>Sheet1!E1334</f>
        <v>188.05</v>
      </c>
      <c r="F1334" s="6">
        <f>Sheet1!F1334</f>
        <v>189.35</v>
      </c>
      <c r="H1334" s="6">
        <f ca="1">IF(ROW($H1334)-1&lt;$I$1,$F1334,AVERAGE($F1334:OFFSET($F1334,(($I$1-1)*-1),0)))</f>
        <v>191.30833333333331</v>
      </c>
      <c r="J1334" s="6">
        <f ca="1">IF(ROW($J1334)-1&lt;$K$1,$F1334,AVERAGE($F1334:OFFSET($F1334,(($K$1-1)*-1),0)))</f>
        <v>196.87499999999997</v>
      </c>
      <c r="L1334" s="7">
        <f t="shared" ca="1" si="120"/>
        <v>-1</v>
      </c>
      <c r="M1334" s="7" t="str">
        <f t="shared" ca="1" si="121"/>
        <v/>
      </c>
      <c r="N1334" s="6" t="str">
        <f t="shared" ca="1" si="122"/>
        <v/>
      </c>
      <c r="O1334" s="6">
        <f t="shared" si="123"/>
        <v>0.65000000000000568</v>
      </c>
      <c r="Q1334" s="6">
        <v>47.25</v>
      </c>
      <c r="R1334" s="9">
        <f t="shared" si="124"/>
        <v>17718.75</v>
      </c>
      <c r="S1334" s="7">
        <f t="shared" si="125"/>
        <v>-14062.499999999971</v>
      </c>
    </row>
    <row r="1335" spans="1:19" x14ac:dyDescent="0.25">
      <c r="A1335" s="4">
        <f>Sheet1!A1335</f>
        <v>41019</v>
      </c>
      <c r="B1335" s="5">
        <f>Sheet1!B1335</f>
        <v>0.58333333333333337</v>
      </c>
      <c r="C1335" s="6">
        <f>Sheet1!C1335</f>
        <v>189.15</v>
      </c>
      <c r="D1335" s="6">
        <f>Sheet1!D1335</f>
        <v>193.35</v>
      </c>
      <c r="E1335" s="6">
        <f>Sheet1!E1335</f>
        <v>189.1</v>
      </c>
      <c r="F1335" s="6">
        <f>Sheet1!F1335</f>
        <v>192.65</v>
      </c>
      <c r="H1335" s="6">
        <f ca="1">IF(ROW($H1335)-1&lt;$I$1,$F1335,AVERAGE($F1335:OFFSET($F1335,(($I$1-1)*-1),0)))</f>
        <v>190.42499999999998</v>
      </c>
      <c r="J1335" s="6">
        <f ca="1">IF(ROW($J1335)-1&lt;$K$1,$F1335,AVERAGE($F1335:OFFSET($F1335,(($K$1-1)*-1),0)))</f>
        <v>196.58214285714283</v>
      </c>
      <c r="L1335" s="7">
        <f t="shared" ca="1" si="120"/>
        <v>-1</v>
      </c>
      <c r="M1335" s="7" t="str">
        <f t="shared" ca="1" si="121"/>
        <v/>
      </c>
      <c r="N1335" s="6" t="str">
        <f t="shared" ca="1" si="122"/>
        <v/>
      </c>
      <c r="O1335" s="6">
        <f t="shared" si="123"/>
        <v>3.3000000000000114</v>
      </c>
      <c r="Q1335" s="6">
        <v>43.949999999999989</v>
      </c>
      <c r="R1335" s="9">
        <f t="shared" si="124"/>
        <v>16481.249999999996</v>
      </c>
      <c r="S1335" s="7">
        <f t="shared" si="125"/>
        <v>-14062.499999999971</v>
      </c>
    </row>
    <row r="1336" spans="1:19" x14ac:dyDescent="0.25">
      <c r="A1336" s="4">
        <f>Sheet1!A1336</f>
        <v>41022</v>
      </c>
      <c r="B1336" s="5">
        <f>Sheet1!B1336</f>
        <v>0.58333333333333337</v>
      </c>
      <c r="C1336" s="6">
        <f>Sheet1!C1336</f>
        <v>192.75</v>
      </c>
      <c r="D1336" s="6">
        <f>Sheet1!D1336</f>
        <v>194.3</v>
      </c>
      <c r="E1336" s="6">
        <f>Sheet1!E1336</f>
        <v>190.3</v>
      </c>
      <c r="F1336" s="6">
        <f>Sheet1!F1336</f>
        <v>192.65</v>
      </c>
      <c r="H1336" s="6">
        <f ca="1">IF(ROW($H1336)-1&lt;$I$1,$F1336,AVERAGE($F1336:OFFSET($F1336,(($I$1-1)*-1),0)))</f>
        <v>190.2166666666667</v>
      </c>
      <c r="J1336" s="6">
        <f ca="1">IF(ROW($J1336)-1&lt;$K$1,$F1336,AVERAGE($F1336:OFFSET($F1336,(($K$1-1)*-1),0)))</f>
        <v>196.24285714285708</v>
      </c>
      <c r="L1336" s="7">
        <f t="shared" ca="1" si="120"/>
        <v>-1</v>
      </c>
      <c r="M1336" s="7" t="str">
        <f t="shared" ca="1" si="121"/>
        <v/>
      </c>
      <c r="N1336" s="6" t="str">
        <f t="shared" ca="1" si="122"/>
        <v/>
      </c>
      <c r="O1336" s="6">
        <f t="shared" si="123"/>
        <v>0</v>
      </c>
      <c r="Q1336" s="6">
        <v>43.949999999999989</v>
      </c>
      <c r="R1336" s="9">
        <f t="shared" si="124"/>
        <v>16481.249999999996</v>
      </c>
      <c r="S1336" s="7">
        <f t="shared" si="125"/>
        <v>-14062.499999999971</v>
      </c>
    </row>
    <row r="1337" spans="1:19" x14ac:dyDescent="0.25">
      <c r="A1337" s="4">
        <f>Sheet1!A1337</f>
        <v>41023</v>
      </c>
      <c r="B1337" s="5">
        <f>Sheet1!B1337</f>
        <v>0.58333333333333337</v>
      </c>
      <c r="C1337" s="6">
        <f>Sheet1!C1337</f>
        <v>192.7</v>
      </c>
      <c r="D1337" s="6">
        <f>Sheet1!D1337</f>
        <v>198.2</v>
      </c>
      <c r="E1337" s="6">
        <f>Sheet1!E1337</f>
        <v>192.7</v>
      </c>
      <c r="F1337" s="6">
        <f>Sheet1!F1337</f>
        <v>197.2</v>
      </c>
      <c r="H1337" s="6">
        <f ca="1">IF(ROW($H1337)-1&lt;$I$1,$F1337,AVERAGE($F1337:OFFSET($F1337,(($I$1-1)*-1),0)))</f>
        <v>191.49166666666667</v>
      </c>
      <c r="J1337" s="6">
        <f ca="1">IF(ROW($J1337)-1&lt;$K$1,$F1337,AVERAGE($F1337:OFFSET($F1337,(($K$1-1)*-1),0)))</f>
        <v>196.15714285714282</v>
      </c>
      <c r="L1337" s="7">
        <f t="shared" ca="1" si="120"/>
        <v>-1</v>
      </c>
      <c r="M1337" s="7" t="str">
        <f t="shared" ca="1" si="121"/>
        <v/>
      </c>
      <c r="N1337" s="6" t="str">
        <f t="shared" ca="1" si="122"/>
        <v/>
      </c>
      <c r="O1337" s="6">
        <f t="shared" si="123"/>
        <v>4.5499999999999829</v>
      </c>
      <c r="Q1337" s="6">
        <v>39.400000000000006</v>
      </c>
      <c r="R1337" s="9">
        <f t="shared" si="124"/>
        <v>14775.000000000002</v>
      </c>
      <c r="S1337" s="7">
        <f t="shared" si="125"/>
        <v>-14062.499999999971</v>
      </c>
    </row>
    <row r="1338" spans="1:19" x14ac:dyDescent="0.25">
      <c r="A1338" s="4">
        <f>Sheet1!A1338</f>
        <v>41024</v>
      </c>
      <c r="B1338" s="5">
        <f>Sheet1!B1338</f>
        <v>0.58333333333333337</v>
      </c>
      <c r="C1338" s="6">
        <f>Sheet1!C1338</f>
        <v>197.2</v>
      </c>
      <c r="D1338" s="6">
        <f>Sheet1!D1338</f>
        <v>199.4</v>
      </c>
      <c r="E1338" s="6">
        <f>Sheet1!E1338</f>
        <v>188.95</v>
      </c>
      <c r="F1338" s="6">
        <f>Sheet1!F1338</f>
        <v>190.45</v>
      </c>
      <c r="H1338" s="6">
        <f ca="1">IF(ROW($H1338)-1&lt;$I$1,$F1338,AVERAGE($F1338:OFFSET($F1338,(($I$1-1)*-1),0)))</f>
        <v>191.83333333333334</v>
      </c>
      <c r="J1338" s="6">
        <f ca="1">IF(ROW($J1338)-1&lt;$K$1,$F1338,AVERAGE($F1338:OFFSET($F1338,(($K$1-1)*-1),0)))</f>
        <v>195.7696428571428</v>
      </c>
      <c r="L1338" s="7">
        <f t="shared" ca="1" si="120"/>
        <v>-1</v>
      </c>
      <c r="M1338" s="7" t="str">
        <f t="shared" ca="1" si="121"/>
        <v/>
      </c>
      <c r="N1338" s="6" t="str">
        <f t="shared" ca="1" si="122"/>
        <v/>
      </c>
      <c r="O1338" s="6">
        <f t="shared" si="123"/>
        <v>-6.75</v>
      </c>
      <c r="Q1338" s="6">
        <v>46.150000000000006</v>
      </c>
      <c r="R1338" s="9">
        <f t="shared" si="124"/>
        <v>17306.250000000004</v>
      </c>
      <c r="S1338" s="7">
        <f t="shared" si="125"/>
        <v>-14062.499999999971</v>
      </c>
    </row>
    <row r="1339" spans="1:19" x14ac:dyDescent="0.25">
      <c r="A1339" s="4">
        <f>Sheet1!A1339</f>
        <v>41025</v>
      </c>
      <c r="B1339" s="5">
        <f>Sheet1!B1339</f>
        <v>0.58333333333333337</v>
      </c>
      <c r="C1339" s="6">
        <f>Sheet1!C1339</f>
        <v>190.55</v>
      </c>
      <c r="D1339" s="6">
        <f>Sheet1!D1339</f>
        <v>191.95</v>
      </c>
      <c r="E1339" s="6">
        <f>Sheet1!E1339</f>
        <v>189.25</v>
      </c>
      <c r="F1339" s="6">
        <f>Sheet1!F1339</f>
        <v>189.55</v>
      </c>
      <c r="H1339" s="6">
        <f ca="1">IF(ROW($H1339)-1&lt;$I$1,$F1339,AVERAGE($F1339:OFFSET($F1339,(($I$1-1)*-1),0)))</f>
        <v>191.97499999999999</v>
      </c>
      <c r="J1339" s="6">
        <f ca="1">IF(ROW($J1339)-1&lt;$K$1,$F1339,AVERAGE($F1339:OFFSET($F1339,(($K$1-1)*-1),0)))</f>
        <v>195.45535714285711</v>
      </c>
      <c r="L1339" s="7">
        <f t="shared" ca="1" si="120"/>
        <v>-1</v>
      </c>
      <c r="M1339" s="7" t="str">
        <f t="shared" ca="1" si="121"/>
        <v/>
      </c>
      <c r="N1339" s="6" t="str">
        <f t="shared" ca="1" si="122"/>
        <v/>
      </c>
      <c r="O1339" s="6">
        <f t="shared" si="123"/>
        <v>-0.89999999999997726</v>
      </c>
      <c r="Q1339" s="6">
        <v>47.049999999999983</v>
      </c>
      <c r="R1339" s="9">
        <f t="shared" si="124"/>
        <v>17643.749999999993</v>
      </c>
      <c r="S1339" s="7">
        <f t="shared" si="125"/>
        <v>-14062.499999999971</v>
      </c>
    </row>
    <row r="1340" spans="1:19" x14ac:dyDescent="0.25">
      <c r="A1340" s="4">
        <f>Sheet1!A1340</f>
        <v>41026</v>
      </c>
      <c r="B1340" s="5">
        <f>Sheet1!B1340</f>
        <v>0.58333333333333337</v>
      </c>
      <c r="C1340" s="6">
        <f>Sheet1!C1340</f>
        <v>189.05</v>
      </c>
      <c r="D1340" s="6">
        <f>Sheet1!D1340</f>
        <v>191.65</v>
      </c>
      <c r="E1340" s="6">
        <f>Sheet1!E1340</f>
        <v>189</v>
      </c>
      <c r="F1340" s="6">
        <f>Sheet1!F1340</f>
        <v>190.2</v>
      </c>
      <c r="H1340" s="6">
        <f ca="1">IF(ROW($H1340)-1&lt;$I$1,$F1340,AVERAGE($F1340:OFFSET($F1340,(($I$1-1)*-1),0)))</f>
        <v>192.11666666666667</v>
      </c>
      <c r="J1340" s="6">
        <f ca="1">IF(ROW($J1340)-1&lt;$K$1,$F1340,AVERAGE($F1340:OFFSET($F1340,(($K$1-1)*-1),0)))</f>
        <v>195.12321428571428</v>
      </c>
      <c r="L1340" s="7">
        <f t="shared" ca="1" si="120"/>
        <v>-1</v>
      </c>
      <c r="M1340" s="7" t="str">
        <f t="shared" ca="1" si="121"/>
        <v/>
      </c>
      <c r="N1340" s="6" t="str">
        <f t="shared" ca="1" si="122"/>
        <v/>
      </c>
      <c r="O1340" s="6">
        <f t="shared" si="123"/>
        <v>0.64999999999997726</v>
      </c>
      <c r="Q1340" s="6">
        <v>46.400000000000006</v>
      </c>
      <c r="R1340" s="9">
        <f t="shared" si="124"/>
        <v>17400.000000000004</v>
      </c>
      <c r="S1340" s="7">
        <f t="shared" si="125"/>
        <v>-14062.499999999971</v>
      </c>
    </row>
    <row r="1341" spans="1:19" x14ac:dyDescent="0.25">
      <c r="A1341" s="4">
        <f>Sheet1!A1341</f>
        <v>41029</v>
      </c>
      <c r="B1341" s="5">
        <f>Sheet1!B1341</f>
        <v>0.58333333333333337</v>
      </c>
      <c r="C1341" s="6">
        <f>Sheet1!C1341</f>
        <v>190.1</v>
      </c>
      <c r="D1341" s="6">
        <f>Sheet1!D1341</f>
        <v>193.6</v>
      </c>
      <c r="E1341" s="6">
        <f>Sheet1!E1341</f>
        <v>189.35</v>
      </c>
      <c r="F1341" s="6">
        <f>Sheet1!F1341</f>
        <v>193.25</v>
      </c>
      <c r="H1341" s="6">
        <f ca="1">IF(ROW($H1341)-1&lt;$I$1,$F1341,AVERAGE($F1341:OFFSET($F1341,(($I$1-1)*-1),0)))</f>
        <v>192.21666666666667</v>
      </c>
      <c r="J1341" s="6">
        <f ca="1">IF(ROW($J1341)-1&lt;$K$1,$F1341,AVERAGE($F1341:OFFSET($F1341,(($K$1-1)*-1),0)))</f>
        <v>194.89642857142854</v>
      </c>
      <c r="L1341" s="7">
        <f t="shared" ca="1" si="120"/>
        <v>-1</v>
      </c>
      <c r="M1341" s="7" t="str">
        <f t="shared" ca="1" si="121"/>
        <v/>
      </c>
      <c r="N1341" s="6" t="str">
        <f t="shared" ca="1" si="122"/>
        <v/>
      </c>
      <c r="O1341" s="6">
        <f t="shared" si="123"/>
        <v>3.0500000000000114</v>
      </c>
      <c r="Q1341" s="6">
        <v>43.349999999999994</v>
      </c>
      <c r="R1341" s="9">
        <f t="shared" si="124"/>
        <v>16256.249999999998</v>
      </c>
      <c r="S1341" s="7">
        <f t="shared" si="125"/>
        <v>-14062.499999999971</v>
      </c>
    </row>
    <row r="1342" spans="1:19" x14ac:dyDescent="0.25">
      <c r="A1342" s="4">
        <f>Sheet1!A1342</f>
        <v>41030</v>
      </c>
      <c r="B1342" s="5">
        <f>Sheet1!B1342</f>
        <v>0.58333333333333337</v>
      </c>
      <c r="C1342" s="6">
        <f>Sheet1!C1342</f>
        <v>193.1</v>
      </c>
      <c r="D1342" s="6">
        <f>Sheet1!D1342</f>
        <v>198.3</v>
      </c>
      <c r="E1342" s="6">
        <f>Sheet1!E1342</f>
        <v>190.85</v>
      </c>
      <c r="F1342" s="6">
        <f>Sheet1!F1342</f>
        <v>197.85</v>
      </c>
      <c r="H1342" s="6">
        <f ca="1">IF(ROW($H1342)-1&lt;$I$1,$F1342,AVERAGE($F1342:OFFSET($F1342,(($I$1-1)*-1),0)))</f>
        <v>193.08333333333334</v>
      </c>
      <c r="J1342" s="6">
        <f ca="1">IF(ROW($J1342)-1&lt;$K$1,$F1342,AVERAGE($F1342:OFFSET($F1342,(($K$1-1)*-1),0)))</f>
        <v>194.79464285714286</v>
      </c>
      <c r="L1342" s="7">
        <f t="shared" ca="1" si="120"/>
        <v>-1</v>
      </c>
      <c r="M1342" s="7" t="str">
        <f t="shared" ca="1" si="121"/>
        <v/>
      </c>
      <c r="N1342" s="6" t="str">
        <f t="shared" ca="1" si="122"/>
        <v/>
      </c>
      <c r="O1342" s="6">
        <f t="shared" si="123"/>
        <v>4.5999999999999943</v>
      </c>
      <c r="Q1342" s="6">
        <v>38.75</v>
      </c>
      <c r="R1342" s="9">
        <f t="shared" si="124"/>
        <v>14531.25</v>
      </c>
      <c r="S1342" s="7">
        <f t="shared" si="125"/>
        <v>-14062.499999999971</v>
      </c>
    </row>
    <row r="1343" spans="1:19" x14ac:dyDescent="0.25">
      <c r="A1343" s="4">
        <f>Sheet1!A1343</f>
        <v>41031</v>
      </c>
      <c r="B1343" s="5">
        <f>Sheet1!B1343</f>
        <v>0.58333333333333337</v>
      </c>
      <c r="C1343" s="6">
        <f>Sheet1!C1343</f>
        <v>197.4</v>
      </c>
      <c r="D1343" s="6">
        <f>Sheet1!D1343</f>
        <v>199.1</v>
      </c>
      <c r="E1343" s="6">
        <f>Sheet1!E1343</f>
        <v>194.95</v>
      </c>
      <c r="F1343" s="6">
        <f>Sheet1!F1343</f>
        <v>196.45</v>
      </c>
      <c r="H1343" s="6">
        <f ca="1">IF(ROW($H1343)-1&lt;$I$1,$F1343,AVERAGE($F1343:OFFSET($F1343,(($I$1-1)*-1),0)))</f>
        <v>192.95833333333334</v>
      </c>
      <c r="J1343" s="6">
        <f ca="1">IF(ROW($J1343)-1&lt;$K$1,$F1343,AVERAGE($F1343:OFFSET($F1343,(($K$1-1)*-1),0)))</f>
        <v>194.91964285714286</v>
      </c>
      <c r="L1343" s="7">
        <f t="shared" ca="1" si="120"/>
        <v>-1</v>
      </c>
      <c r="M1343" s="7" t="str">
        <f t="shared" ca="1" si="121"/>
        <v/>
      </c>
      <c r="N1343" s="6" t="str">
        <f t="shared" ca="1" si="122"/>
        <v/>
      </c>
      <c r="O1343" s="6">
        <f t="shared" si="123"/>
        <v>-1.4000000000000057</v>
      </c>
      <c r="Q1343" s="6">
        <v>40.150000000000006</v>
      </c>
      <c r="R1343" s="9">
        <f t="shared" si="124"/>
        <v>15056.250000000002</v>
      </c>
      <c r="S1343" s="7">
        <f t="shared" si="125"/>
        <v>-14062.499999999971</v>
      </c>
    </row>
    <row r="1344" spans="1:19" x14ac:dyDescent="0.25">
      <c r="A1344" s="4">
        <f>Sheet1!A1344</f>
        <v>41032</v>
      </c>
      <c r="B1344" s="5">
        <f>Sheet1!B1344</f>
        <v>0.58333333333333337</v>
      </c>
      <c r="C1344" s="6">
        <f>Sheet1!C1344</f>
        <v>195.7</v>
      </c>
      <c r="D1344" s="6">
        <f>Sheet1!D1344</f>
        <v>198.1</v>
      </c>
      <c r="E1344" s="6">
        <f>Sheet1!E1344</f>
        <v>189.1</v>
      </c>
      <c r="F1344" s="6">
        <f>Sheet1!F1344</f>
        <v>189.5</v>
      </c>
      <c r="H1344" s="6">
        <f ca="1">IF(ROW($H1344)-1&lt;$I$1,$F1344,AVERAGE($F1344:OFFSET($F1344,(($I$1-1)*-1),0)))</f>
        <v>192.79999999999998</v>
      </c>
      <c r="J1344" s="6">
        <f ca="1">IF(ROW($J1344)-1&lt;$K$1,$F1344,AVERAGE($F1344:OFFSET($F1344,(($K$1-1)*-1),0)))</f>
        <v>194.73214285714286</v>
      </c>
      <c r="L1344" s="7">
        <f t="shared" ca="1" si="120"/>
        <v>-1</v>
      </c>
      <c r="M1344" s="7" t="str">
        <f t="shared" ca="1" si="121"/>
        <v/>
      </c>
      <c r="N1344" s="6" t="str">
        <f t="shared" ca="1" si="122"/>
        <v/>
      </c>
      <c r="O1344" s="6">
        <f t="shared" si="123"/>
        <v>-6.9499999999999886</v>
      </c>
      <c r="Q1344" s="6">
        <v>47.099999999999994</v>
      </c>
      <c r="R1344" s="9">
        <f t="shared" si="124"/>
        <v>17662.499999999996</v>
      </c>
      <c r="S1344" s="7">
        <f t="shared" si="125"/>
        <v>-14062.499999999971</v>
      </c>
    </row>
    <row r="1345" spans="1:19" x14ac:dyDescent="0.25">
      <c r="A1345" s="4">
        <f>Sheet1!A1345</f>
        <v>41033</v>
      </c>
      <c r="B1345" s="5">
        <f>Sheet1!B1345</f>
        <v>0.58333333333333337</v>
      </c>
      <c r="C1345" s="6">
        <f>Sheet1!C1345</f>
        <v>189.7</v>
      </c>
      <c r="D1345" s="6">
        <f>Sheet1!D1345</f>
        <v>191.45</v>
      </c>
      <c r="E1345" s="6">
        <f>Sheet1!E1345</f>
        <v>187.95</v>
      </c>
      <c r="F1345" s="6">
        <f>Sheet1!F1345</f>
        <v>188.3</v>
      </c>
      <c r="H1345" s="6">
        <f ca="1">IF(ROW($H1345)-1&lt;$I$1,$F1345,AVERAGE($F1345:OFFSET($F1345,(($I$1-1)*-1),0)))</f>
        <v>192.59166666666667</v>
      </c>
      <c r="J1345" s="6">
        <f ca="1">IF(ROW($J1345)-1&lt;$K$1,$F1345,AVERAGE($F1345:OFFSET($F1345,(($K$1-1)*-1),0)))</f>
        <v>194.5</v>
      </c>
      <c r="L1345" s="7">
        <f t="shared" ca="1" si="120"/>
        <v>-1</v>
      </c>
      <c r="M1345" s="7" t="str">
        <f t="shared" ca="1" si="121"/>
        <v/>
      </c>
      <c r="N1345" s="6" t="str">
        <f t="shared" ca="1" si="122"/>
        <v/>
      </c>
      <c r="O1345" s="6">
        <f t="shared" si="123"/>
        <v>-1.1999999999999886</v>
      </c>
      <c r="Q1345" s="6">
        <v>48.299999999999983</v>
      </c>
      <c r="R1345" s="9">
        <f t="shared" si="124"/>
        <v>18112.499999999993</v>
      </c>
      <c r="S1345" s="7">
        <f t="shared" si="125"/>
        <v>-14062.499999999971</v>
      </c>
    </row>
    <row r="1346" spans="1:19" x14ac:dyDescent="0.25">
      <c r="A1346" s="4">
        <f>Sheet1!A1346</f>
        <v>41036</v>
      </c>
      <c r="B1346" s="5">
        <f>Sheet1!B1346</f>
        <v>0.58333333333333337</v>
      </c>
      <c r="C1346" s="6">
        <f>Sheet1!C1346</f>
        <v>188.3</v>
      </c>
      <c r="D1346" s="6">
        <f>Sheet1!D1346</f>
        <v>189.9</v>
      </c>
      <c r="E1346" s="6">
        <f>Sheet1!E1346</f>
        <v>187.3</v>
      </c>
      <c r="F1346" s="6">
        <f>Sheet1!F1346</f>
        <v>188.9</v>
      </c>
      <c r="H1346" s="6">
        <f ca="1">IF(ROW($H1346)-1&lt;$I$1,$F1346,AVERAGE($F1346:OFFSET($F1346,(($I$1-1)*-1),0)))</f>
        <v>192.375</v>
      </c>
      <c r="J1346" s="6">
        <f ca="1">IF(ROW($J1346)-1&lt;$K$1,$F1346,AVERAGE($F1346:OFFSET($F1346,(($K$1-1)*-1),0)))</f>
        <v>193.98392857142858</v>
      </c>
      <c r="L1346" s="7">
        <f t="shared" ca="1" si="120"/>
        <v>-1</v>
      </c>
      <c r="M1346" s="7" t="str">
        <f t="shared" ca="1" si="121"/>
        <v/>
      </c>
      <c r="N1346" s="6" t="str">
        <f t="shared" ca="1" si="122"/>
        <v/>
      </c>
      <c r="O1346" s="6">
        <f t="shared" si="123"/>
        <v>0.59999999999999432</v>
      </c>
      <c r="Q1346" s="6">
        <v>47.699999999999989</v>
      </c>
      <c r="R1346" s="9">
        <f t="shared" si="124"/>
        <v>17887.499999999996</v>
      </c>
      <c r="S1346" s="7">
        <f t="shared" si="125"/>
        <v>-14062.499999999971</v>
      </c>
    </row>
    <row r="1347" spans="1:19" x14ac:dyDescent="0.25">
      <c r="A1347" s="4">
        <f>Sheet1!A1347</f>
        <v>41037</v>
      </c>
      <c r="B1347" s="5">
        <f>Sheet1!B1347</f>
        <v>0.58333333333333337</v>
      </c>
      <c r="C1347" s="6">
        <f>Sheet1!C1347</f>
        <v>188.5</v>
      </c>
      <c r="D1347" s="6">
        <f>Sheet1!D1347</f>
        <v>191.15</v>
      </c>
      <c r="E1347" s="6">
        <f>Sheet1!E1347</f>
        <v>187.55</v>
      </c>
      <c r="F1347" s="6">
        <f>Sheet1!F1347</f>
        <v>188.65</v>
      </c>
      <c r="H1347" s="6">
        <f ca="1">IF(ROW($H1347)-1&lt;$I$1,$F1347,AVERAGE($F1347:OFFSET($F1347,(($I$1-1)*-1),0)))</f>
        <v>191.60833333333332</v>
      </c>
      <c r="J1347" s="6">
        <f ca="1">IF(ROW($J1347)-1&lt;$K$1,$F1347,AVERAGE($F1347:OFFSET($F1347,(($K$1-1)*-1),0)))</f>
        <v>193.64999999999995</v>
      </c>
      <c r="L1347" s="7">
        <f t="shared" ref="L1347:L1410" ca="1" si="126">IF(ROW($L1347)&gt;($K$1),IF($H1347&gt;$J1347,1,IF($H1347&lt;$J1347,-1,$L1346*-1)),0)</f>
        <v>-1</v>
      </c>
      <c r="M1347" s="7" t="str">
        <f t="shared" ca="1" si="121"/>
        <v/>
      </c>
      <c r="N1347" s="6" t="str">
        <f t="shared" ca="1" si="122"/>
        <v/>
      </c>
      <c r="O1347" s="6">
        <f t="shared" si="123"/>
        <v>-0.25</v>
      </c>
      <c r="Q1347" s="6">
        <v>47.949999999999989</v>
      </c>
      <c r="R1347" s="9">
        <f t="shared" si="124"/>
        <v>17981.249999999996</v>
      </c>
      <c r="S1347" s="7">
        <f t="shared" si="125"/>
        <v>-14062.499999999971</v>
      </c>
    </row>
    <row r="1348" spans="1:19" x14ac:dyDescent="0.25">
      <c r="A1348" s="4">
        <f>Sheet1!A1348</f>
        <v>41038</v>
      </c>
      <c r="B1348" s="5">
        <f>Sheet1!B1348</f>
        <v>0.58333333333333337</v>
      </c>
      <c r="C1348" s="6">
        <f>Sheet1!C1348</f>
        <v>188.95</v>
      </c>
      <c r="D1348" s="6">
        <f>Sheet1!D1348</f>
        <v>190.3</v>
      </c>
      <c r="E1348" s="6">
        <f>Sheet1!E1348</f>
        <v>185.9</v>
      </c>
      <c r="F1348" s="6">
        <f>Sheet1!F1348</f>
        <v>188.75</v>
      </c>
      <c r="H1348" s="6">
        <f ca="1">IF(ROW($H1348)-1&lt;$I$1,$F1348,AVERAGE($F1348:OFFSET($F1348,(($I$1-1)*-1),0)))</f>
        <v>190.09166666666667</v>
      </c>
      <c r="J1348" s="6">
        <f ca="1">IF(ROW($J1348)-1&lt;$K$1,$F1348,AVERAGE($F1348:OFFSET($F1348,(($K$1-1)*-1),0)))</f>
        <v>193.51785714285711</v>
      </c>
      <c r="L1348" s="7">
        <f t="shared" ca="1" si="126"/>
        <v>-1</v>
      </c>
      <c r="M1348" s="7" t="str">
        <f t="shared" ref="M1348:M1411" ca="1" si="127">IF(L1348&lt;&gt;L1347,L1348,"")</f>
        <v/>
      </c>
      <c r="N1348" s="6" t="str">
        <f t="shared" ref="N1348:N1411" ca="1" si="128">IF(M1347&lt;&gt;"",C1348,"")</f>
        <v/>
      </c>
      <c r="O1348" s="6">
        <f t="shared" ref="O1348:O1411" si="129">F1348-F1347</f>
        <v>9.9999999999994316E-2</v>
      </c>
      <c r="Q1348" s="6">
        <v>47.849999999999994</v>
      </c>
      <c r="R1348" s="9">
        <f t="shared" ref="R1348:R1411" si="130">IF(Q1348="","",Q1348*375)</f>
        <v>17943.749999999996</v>
      </c>
      <c r="S1348" s="7">
        <f t="shared" si="125"/>
        <v>-14062.499999999971</v>
      </c>
    </row>
    <row r="1349" spans="1:19" x14ac:dyDescent="0.25">
      <c r="A1349" s="4">
        <f>Sheet1!A1349</f>
        <v>41039</v>
      </c>
      <c r="B1349" s="5">
        <f>Sheet1!B1349</f>
        <v>0.58333333333333337</v>
      </c>
      <c r="C1349" s="6">
        <f>Sheet1!C1349</f>
        <v>189.25</v>
      </c>
      <c r="D1349" s="6">
        <f>Sheet1!D1349</f>
        <v>193.3</v>
      </c>
      <c r="E1349" s="6">
        <f>Sheet1!E1349</f>
        <v>188.55</v>
      </c>
      <c r="F1349" s="6">
        <f>Sheet1!F1349</f>
        <v>192.35</v>
      </c>
      <c r="H1349" s="6">
        <f ca="1">IF(ROW($H1349)-1&lt;$I$1,$F1349,AVERAGE($F1349:OFFSET($F1349,(($I$1-1)*-1),0)))</f>
        <v>189.40833333333333</v>
      </c>
      <c r="J1349" s="6">
        <f ca="1">IF(ROW($J1349)-1&lt;$K$1,$F1349,AVERAGE($F1349:OFFSET($F1349,(($K$1-1)*-1),0)))</f>
        <v>193.29999999999998</v>
      </c>
      <c r="L1349" s="7">
        <f t="shared" ca="1" si="126"/>
        <v>-1</v>
      </c>
      <c r="M1349" s="7" t="str">
        <f t="shared" ca="1" si="127"/>
        <v/>
      </c>
      <c r="N1349" s="6" t="str">
        <f t="shared" ca="1" si="128"/>
        <v/>
      </c>
      <c r="O1349" s="6">
        <f t="shared" si="129"/>
        <v>3.5999999999999943</v>
      </c>
      <c r="Q1349" s="6">
        <v>44.25</v>
      </c>
      <c r="R1349" s="9">
        <f t="shared" si="130"/>
        <v>16593.75</v>
      </c>
      <c r="S1349" s="7">
        <f t="shared" si="125"/>
        <v>-14062.499999999971</v>
      </c>
    </row>
    <row r="1350" spans="1:19" x14ac:dyDescent="0.25">
      <c r="A1350" s="4">
        <f>Sheet1!A1350</f>
        <v>41040</v>
      </c>
      <c r="B1350" s="5">
        <f>Sheet1!B1350</f>
        <v>0.58333333333333337</v>
      </c>
      <c r="C1350" s="6">
        <f>Sheet1!C1350</f>
        <v>191.35</v>
      </c>
      <c r="D1350" s="6">
        <f>Sheet1!D1350</f>
        <v>192.85</v>
      </c>
      <c r="E1350" s="6">
        <f>Sheet1!E1350</f>
        <v>189.3</v>
      </c>
      <c r="F1350" s="6">
        <f>Sheet1!F1350</f>
        <v>190.85</v>
      </c>
      <c r="H1350" s="6">
        <f ca="1">IF(ROW($H1350)-1&lt;$I$1,$F1350,AVERAGE($F1350:OFFSET($F1350,(($I$1-1)*-1),0)))</f>
        <v>189.63333333333333</v>
      </c>
      <c r="J1350" s="6">
        <f ca="1">IF(ROW($J1350)-1&lt;$K$1,$F1350,AVERAGE($F1350:OFFSET($F1350,(($K$1-1)*-1),0)))</f>
        <v>192.89464285714286</v>
      </c>
      <c r="L1350" s="7">
        <f t="shared" ca="1" si="126"/>
        <v>-1</v>
      </c>
      <c r="M1350" s="7" t="str">
        <f t="shared" ca="1" si="127"/>
        <v/>
      </c>
      <c r="N1350" s="6" t="str">
        <f t="shared" ca="1" si="128"/>
        <v/>
      </c>
      <c r="O1350" s="6">
        <f t="shared" si="129"/>
        <v>-1.5</v>
      </c>
      <c r="Q1350" s="6">
        <v>45.75</v>
      </c>
      <c r="R1350" s="9">
        <f t="shared" si="130"/>
        <v>17156.25</v>
      </c>
      <c r="S1350" s="7">
        <f t="shared" si="125"/>
        <v>-14062.499999999971</v>
      </c>
    </row>
    <row r="1351" spans="1:19" x14ac:dyDescent="0.25">
      <c r="A1351" s="4">
        <f>Sheet1!A1351</f>
        <v>41043</v>
      </c>
      <c r="B1351" s="5">
        <f>Sheet1!B1351</f>
        <v>0.58333333333333337</v>
      </c>
      <c r="C1351" s="6">
        <f>Sheet1!C1351</f>
        <v>190.4</v>
      </c>
      <c r="D1351" s="6">
        <f>Sheet1!D1351</f>
        <v>192</v>
      </c>
      <c r="E1351" s="6">
        <f>Sheet1!E1351</f>
        <v>187.6</v>
      </c>
      <c r="F1351" s="6">
        <f>Sheet1!F1351</f>
        <v>191.65</v>
      </c>
      <c r="H1351" s="6">
        <f ca="1">IF(ROW($H1351)-1&lt;$I$1,$F1351,AVERAGE($F1351:OFFSET($F1351,(($I$1-1)*-1),0)))</f>
        <v>190.19166666666669</v>
      </c>
      <c r="J1351" s="6">
        <f ca="1">IF(ROW($J1351)-1&lt;$K$1,$F1351,AVERAGE($F1351:OFFSET($F1351,(($K$1-1)*-1),0)))</f>
        <v>192.54821428571427</v>
      </c>
      <c r="L1351" s="7">
        <f t="shared" ca="1" si="126"/>
        <v>-1</v>
      </c>
      <c r="M1351" s="7" t="str">
        <f t="shared" ca="1" si="127"/>
        <v/>
      </c>
      <c r="N1351" s="6" t="str">
        <f t="shared" ca="1" si="128"/>
        <v/>
      </c>
      <c r="O1351" s="6">
        <f t="shared" si="129"/>
        <v>0.80000000000001137</v>
      </c>
      <c r="Q1351" s="6">
        <v>44.949999999999989</v>
      </c>
      <c r="R1351" s="9">
        <f t="shared" si="130"/>
        <v>16856.249999999996</v>
      </c>
      <c r="S1351" s="7">
        <f t="shared" si="125"/>
        <v>-14062.499999999971</v>
      </c>
    </row>
    <row r="1352" spans="1:19" x14ac:dyDescent="0.25">
      <c r="A1352" s="4">
        <f>Sheet1!A1352</f>
        <v>41044</v>
      </c>
      <c r="B1352" s="5">
        <f>Sheet1!B1352</f>
        <v>0.58333333333333337</v>
      </c>
      <c r="C1352" s="6">
        <f>Sheet1!C1352</f>
        <v>191.65</v>
      </c>
      <c r="D1352" s="6">
        <f>Sheet1!D1352</f>
        <v>195.3</v>
      </c>
      <c r="E1352" s="6">
        <f>Sheet1!E1352</f>
        <v>190.75</v>
      </c>
      <c r="F1352" s="6">
        <f>Sheet1!F1352</f>
        <v>192.1</v>
      </c>
      <c r="H1352" s="6">
        <f ca="1">IF(ROW($H1352)-1&lt;$I$1,$F1352,AVERAGE($F1352:OFFSET($F1352,(($I$1-1)*-1),0)))</f>
        <v>190.72499999999999</v>
      </c>
      <c r="J1352" s="6">
        <f ca="1">IF(ROW($J1352)-1&lt;$K$1,$F1352,AVERAGE($F1352:OFFSET($F1352,(($K$1-1)*-1),0)))</f>
        <v>192.2392857142857</v>
      </c>
      <c r="L1352" s="7">
        <f t="shared" ca="1" si="126"/>
        <v>-1</v>
      </c>
      <c r="M1352" s="7" t="str">
        <f t="shared" ca="1" si="127"/>
        <v/>
      </c>
      <c r="N1352" s="6" t="str">
        <f t="shared" ca="1" si="128"/>
        <v/>
      </c>
      <c r="O1352" s="6">
        <f t="shared" si="129"/>
        <v>0.44999999999998863</v>
      </c>
      <c r="Q1352" s="6">
        <v>44.5</v>
      </c>
      <c r="R1352" s="9">
        <f t="shared" si="130"/>
        <v>16687.5</v>
      </c>
      <c r="S1352" s="7">
        <f t="shared" si="125"/>
        <v>-14062.499999999971</v>
      </c>
    </row>
    <row r="1353" spans="1:19" x14ac:dyDescent="0.25">
      <c r="A1353" s="4">
        <f>Sheet1!A1353</f>
        <v>41045</v>
      </c>
      <c r="B1353" s="5">
        <f>Sheet1!B1353</f>
        <v>0.58333333333333337</v>
      </c>
      <c r="C1353" s="6">
        <f>Sheet1!C1353</f>
        <v>190.45</v>
      </c>
      <c r="D1353" s="6">
        <f>Sheet1!D1353</f>
        <v>195.85</v>
      </c>
      <c r="E1353" s="6">
        <f>Sheet1!E1353</f>
        <v>189.2</v>
      </c>
      <c r="F1353" s="6">
        <f>Sheet1!F1353</f>
        <v>191.7</v>
      </c>
      <c r="H1353" s="6">
        <f ca="1">IF(ROW($H1353)-1&lt;$I$1,$F1353,AVERAGE($F1353:OFFSET($F1353,(($I$1-1)*-1),0)))</f>
        <v>191.23333333333335</v>
      </c>
      <c r="J1353" s="6">
        <f ca="1">IF(ROW($J1353)-1&lt;$K$1,$F1353,AVERAGE($F1353:OFFSET($F1353,(($K$1-1)*-1),0)))</f>
        <v>191.97857142857146</v>
      </c>
      <c r="L1353" s="7">
        <f t="shared" ca="1" si="126"/>
        <v>-1</v>
      </c>
      <c r="M1353" s="7" t="str">
        <f t="shared" ca="1" si="127"/>
        <v/>
      </c>
      <c r="N1353" s="6" t="str">
        <f t="shared" ca="1" si="128"/>
        <v/>
      </c>
      <c r="O1353" s="6">
        <f t="shared" si="129"/>
        <v>-0.40000000000000568</v>
      </c>
      <c r="Q1353" s="6">
        <v>44.900000000000006</v>
      </c>
      <c r="R1353" s="9">
        <f t="shared" si="130"/>
        <v>16837.500000000004</v>
      </c>
      <c r="S1353" s="7">
        <f t="shared" si="125"/>
        <v>-14062.499999999971</v>
      </c>
    </row>
    <row r="1354" spans="1:19" x14ac:dyDescent="0.25">
      <c r="A1354" s="4">
        <f>Sheet1!A1354</f>
        <v>41046</v>
      </c>
      <c r="B1354" s="5">
        <f>Sheet1!B1354</f>
        <v>0.58333333333333337</v>
      </c>
      <c r="C1354" s="6">
        <f>Sheet1!C1354</f>
        <v>191.2</v>
      </c>
      <c r="D1354" s="6">
        <f>Sheet1!D1354</f>
        <v>194.5</v>
      </c>
      <c r="E1354" s="6">
        <f>Sheet1!E1354</f>
        <v>190.1</v>
      </c>
      <c r="F1354" s="6">
        <f>Sheet1!F1354</f>
        <v>193.8</v>
      </c>
      <c r="H1354" s="6">
        <f ca="1">IF(ROW($H1354)-1&lt;$I$1,$F1354,AVERAGE($F1354:OFFSET($F1354,(($I$1-1)*-1),0)))</f>
        <v>192.07500000000002</v>
      </c>
      <c r="J1354" s="6">
        <f ca="1">IF(ROW($J1354)-1&lt;$K$1,$F1354,AVERAGE($F1354:OFFSET($F1354,(($K$1-1)*-1),0)))</f>
        <v>191.9696428571429</v>
      </c>
      <c r="L1354" s="7">
        <f t="shared" ca="1" si="126"/>
        <v>1</v>
      </c>
      <c r="M1354" s="7">
        <f t="shared" ca="1" si="127"/>
        <v>1</v>
      </c>
      <c r="N1354" s="6" t="str">
        <f t="shared" ca="1" si="128"/>
        <v/>
      </c>
      <c r="O1354" s="6">
        <f t="shared" si="129"/>
        <v>2.1000000000000227</v>
      </c>
      <c r="Q1354" s="6">
        <v>42.799999999999983</v>
      </c>
      <c r="R1354" s="9">
        <f t="shared" si="130"/>
        <v>16049.999999999993</v>
      </c>
      <c r="S1354" s="7">
        <f t="shared" si="125"/>
        <v>-14062.499999999971</v>
      </c>
    </row>
    <row r="1355" spans="1:19" x14ac:dyDescent="0.25">
      <c r="A1355" s="4">
        <f>Sheet1!A1355</f>
        <v>41047</v>
      </c>
      <c r="B1355" s="5">
        <f>Sheet1!B1355</f>
        <v>0.58333333333333337</v>
      </c>
      <c r="C1355" s="6">
        <f>Sheet1!C1355</f>
        <v>192</v>
      </c>
      <c r="D1355" s="6">
        <f>Sheet1!D1355</f>
        <v>195.55</v>
      </c>
      <c r="E1355" s="6">
        <f>Sheet1!E1355</f>
        <v>191.4</v>
      </c>
      <c r="F1355" s="6">
        <f>Sheet1!F1355</f>
        <v>192.85</v>
      </c>
      <c r="H1355" s="6">
        <f ca="1">IF(ROW($H1355)-1&lt;$I$1,$F1355,AVERAGE($F1355:OFFSET($F1355,(($I$1-1)*-1),0)))</f>
        <v>192.1583333333333</v>
      </c>
      <c r="J1355" s="6">
        <f ca="1">IF(ROW($J1355)-1&lt;$K$1,$F1355,AVERAGE($F1355:OFFSET($F1355,(($K$1-1)*-1),0)))</f>
        <v>191.92321428571432</v>
      </c>
      <c r="L1355" s="7">
        <f t="shared" ca="1" si="126"/>
        <v>1</v>
      </c>
      <c r="M1355" s="7" t="str">
        <f t="shared" ca="1" si="127"/>
        <v/>
      </c>
      <c r="N1355" s="6">
        <f t="shared" ca="1" si="128"/>
        <v>192</v>
      </c>
      <c r="O1355" s="6">
        <f t="shared" si="129"/>
        <v>-0.95000000000001705</v>
      </c>
      <c r="P1355" s="6">
        <v>44.599999999999994</v>
      </c>
      <c r="Q1355" s="6">
        <v>0.84999999999999432</v>
      </c>
      <c r="R1355" s="9">
        <f t="shared" si="130"/>
        <v>318.74999999999784</v>
      </c>
      <c r="S1355" s="7">
        <f t="shared" si="125"/>
        <v>2662.5000000000255</v>
      </c>
    </row>
    <row r="1356" spans="1:19" x14ac:dyDescent="0.25">
      <c r="A1356" s="4">
        <f>Sheet1!A1356</f>
        <v>41050</v>
      </c>
      <c r="B1356" s="5">
        <f>Sheet1!B1356</f>
        <v>0.58333333333333337</v>
      </c>
      <c r="C1356" s="6">
        <f>Sheet1!C1356</f>
        <v>192.7</v>
      </c>
      <c r="D1356" s="6">
        <f>Sheet1!D1356</f>
        <v>195.05</v>
      </c>
      <c r="E1356" s="6">
        <f>Sheet1!E1356</f>
        <v>188</v>
      </c>
      <c r="F1356" s="6">
        <f>Sheet1!F1356</f>
        <v>188.85</v>
      </c>
      <c r="H1356" s="6">
        <f ca="1">IF(ROW($H1356)-1&lt;$I$1,$F1356,AVERAGE($F1356:OFFSET($F1356,(($I$1-1)*-1),0)))</f>
        <v>191.82500000000002</v>
      </c>
      <c r="J1356" s="6">
        <f ca="1">IF(ROW($J1356)-1&lt;$K$1,$F1356,AVERAGE($F1356:OFFSET($F1356,(($K$1-1)*-1),0)))</f>
        <v>191.65535714285718</v>
      </c>
      <c r="L1356" s="7">
        <f t="shared" ca="1" si="126"/>
        <v>1</v>
      </c>
      <c r="M1356" s="7" t="str">
        <f t="shared" ca="1" si="127"/>
        <v/>
      </c>
      <c r="N1356" s="6" t="str">
        <f t="shared" ca="1" si="128"/>
        <v/>
      </c>
      <c r="O1356" s="6">
        <f t="shared" si="129"/>
        <v>-4</v>
      </c>
      <c r="Q1356" s="6">
        <v>-3.1500000000000057</v>
      </c>
      <c r="R1356" s="9">
        <f t="shared" si="130"/>
        <v>-1181.250000000002</v>
      </c>
      <c r="S1356" s="7">
        <f t="shared" si="125"/>
        <v>2662.5000000000255</v>
      </c>
    </row>
    <row r="1357" spans="1:19" x14ac:dyDescent="0.25">
      <c r="A1357" s="4">
        <f>Sheet1!A1357</f>
        <v>41051</v>
      </c>
      <c r="B1357" s="5">
        <f>Sheet1!B1357</f>
        <v>0.58333333333333337</v>
      </c>
      <c r="C1357" s="6">
        <f>Sheet1!C1357</f>
        <v>189.7</v>
      </c>
      <c r="D1357" s="6">
        <f>Sheet1!D1357</f>
        <v>190.7</v>
      </c>
      <c r="E1357" s="6">
        <f>Sheet1!E1357</f>
        <v>186.55</v>
      </c>
      <c r="F1357" s="6">
        <f>Sheet1!F1357</f>
        <v>188.2</v>
      </c>
      <c r="H1357" s="6">
        <f ca="1">IF(ROW($H1357)-1&lt;$I$1,$F1357,AVERAGE($F1357:OFFSET($F1357,(($I$1-1)*-1),0)))</f>
        <v>191.25</v>
      </c>
      <c r="J1357" s="6">
        <f ca="1">IF(ROW($J1357)-1&lt;$K$1,$F1357,AVERAGE($F1357:OFFSET($F1357,(($K$1-1)*-1),0)))</f>
        <v>191.30714285714288</v>
      </c>
      <c r="L1357" s="7">
        <f t="shared" ca="1" si="126"/>
        <v>-1</v>
      </c>
      <c r="M1357" s="7">
        <f t="shared" ca="1" si="127"/>
        <v>-1</v>
      </c>
      <c r="N1357" s="6" t="str">
        <f t="shared" ca="1" si="128"/>
        <v/>
      </c>
      <c r="O1357" s="6">
        <f t="shared" si="129"/>
        <v>-0.65000000000000568</v>
      </c>
      <c r="Q1357" s="6">
        <v>-3.8000000000000114</v>
      </c>
      <c r="R1357" s="9">
        <f t="shared" si="130"/>
        <v>-1425.0000000000043</v>
      </c>
      <c r="S1357" s="7">
        <f t="shared" si="125"/>
        <v>2662.5000000000255</v>
      </c>
    </row>
    <row r="1358" spans="1:19" x14ac:dyDescent="0.25">
      <c r="A1358" s="4">
        <f>Sheet1!A1358</f>
        <v>41052</v>
      </c>
      <c r="B1358" s="5">
        <f>Sheet1!B1358</f>
        <v>0.58333333333333337</v>
      </c>
      <c r="C1358" s="6">
        <f>Sheet1!C1358</f>
        <v>187.2</v>
      </c>
      <c r="D1358" s="6">
        <f>Sheet1!D1358</f>
        <v>187.2</v>
      </c>
      <c r="E1358" s="6">
        <f>Sheet1!E1358</f>
        <v>178.8</v>
      </c>
      <c r="F1358" s="6">
        <f>Sheet1!F1358</f>
        <v>180.6</v>
      </c>
      <c r="H1358" s="6">
        <f ca="1">IF(ROW($H1358)-1&lt;$I$1,$F1358,AVERAGE($F1358:OFFSET($F1358,(($I$1-1)*-1),0)))</f>
        <v>189.33333333333334</v>
      </c>
      <c r="J1358" s="6">
        <f ca="1">IF(ROW($J1358)-1&lt;$K$1,$F1358,AVERAGE($F1358:OFFSET($F1358,(($K$1-1)*-1),0)))</f>
        <v>190.83214285714288</v>
      </c>
      <c r="L1358" s="7">
        <f t="shared" ca="1" si="126"/>
        <v>-1</v>
      </c>
      <c r="M1358" s="7" t="str">
        <f t="shared" ca="1" si="127"/>
        <v/>
      </c>
      <c r="N1358" s="6">
        <f t="shared" ca="1" si="128"/>
        <v>187.2</v>
      </c>
      <c r="O1358" s="6">
        <f t="shared" si="129"/>
        <v>-7.5999999999999943</v>
      </c>
      <c r="P1358" s="6">
        <v>-4.8000000000000114</v>
      </c>
      <c r="Q1358" s="6">
        <v>6.5999999999999943</v>
      </c>
      <c r="R1358" s="9">
        <f t="shared" si="130"/>
        <v>2474.9999999999977</v>
      </c>
      <c r="S1358" s="7">
        <f t="shared" si="125"/>
        <v>862.50000000002115</v>
      </c>
    </row>
    <row r="1359" spans="1:19" x14ac:dyDescent="0.25">
      <c r="A1359" s="4">
        <f>Sheet1!A1359</f>
        <v>41053</v>
      </c>
      <c r="B1359" s="5">
        <f>Sheet1!B1359</f>
        <v>0.58333333333333337</v>
      </c>
      <c r="C1359" s="6">
        <f>Sheet1!C1359</f>
        <v>180.7</v>
      </c>
      <c r="D1359" s="6">
        <f>Sheet1!D1359</f>
        <v>183.3</v>
      </c>
      <c r="E1359" s="6">
        <f>Sheet1!E1359</f>
        <v>179</v>
      </c>
      <c r="F1359" s="6">
        <f>Sheet1!F1359</f>
        <v>180.6</v>
      </c>
      <c r="H1359" s="6">
        <f ca="1">IF(ROW($H1359)-1&lt;$I$1,$F1359,AVERAGE($F1359:OFFSET($F1359,(($I$1-1)*-1),0)))</f>
        <v>187.48333333333335</v>
      </c>
      <c r="J1359" s="6">
        <f ca="1">IF(ROW($J1359)-1&lt;$K$1,$F1359,AVERAGE($F1359:OFFSET($F1359,(($K$1-1)*-1),0)))</f>
        <v>190.51250000000005</v>
      </c>
      <c r="L1359" s="7">
        <f t="shared" ca="1" si="126"/>
        <v>-1</v>
      </c>
      <c r="M1359" s="7" t="str">
        <f t="shared" ca="1" si="127"/>
        <v/>
      </c>
      <c r="N1359" s="6" t="str">
        <f t="shared" ca="1" si="128"/>
        <v/>
      </c>
      <c r="O1359" s="6">
        <f t="shared" si="129"/>
        <v>0</v>
      </c>
      <c r="Q1359" s="6">
        <v>6.5999999999999943</v>
      </c>
      <c r="R1359" s="9">
        <f t="shared" si="130"/>
        <v>2474.9999999999977</v>
      </c>
      <c r="S1359" s="7">
        <f t="shared" si="125"/>
        <v>862.50000000002115</v>
      </c>
    </row>
    <row r="1360" spans="1:19" x14ac:dyDescent="0.25">
      <c r="A1360" s="4">
        <f>Sheet1!A1360</f>
        <v>41054</v>
      </c>
      <c r="B1360" s="5">
        <f>Sheet1!B1360</f>
        <v>0.58333333333333337</v>
      </c>
      <c r="C1360" s="6">
        <f>Sheet1!C1360</f>
        <v>180.15</v>
      </c>
      <c r="D1360" s="6">
        <f>Sheet1!D1360</f>
        <v>182.25</v>
      </c>
      <c r="E1360" s="6">
        <f>Sheet1!E1360</f>
        <v>179.15</v>
      </c>
      <c r="F1360" s="6">
        <f>Sheet1!F1360</f>
        <v>181.5</v>
      </c>
      <c r="H1360" s="6">
        <f ca="1">IF(ROW($H1360)-1&lt;$I$1,$F1360,AVERAGE($F1360:OFFSET($F1360,(($I$1-1)*-1),0)))</f>
        <v>185.43333333333331</v>
      </c>
      <c r="J1360" s="6">
        <f ca="1">IF(ROW($J1360)-1&lt;$K$1,$F1360,AVERAGE($F1360:OFFSET($F1360,(($K$1-1)*-1),0)))</f>
        <v>190.26607142857145</v>
      </c>
      <c r="L1360" s="7">
        <f t="shared" ca="1" si="126"/>
        <v>-1</v>
      </c>
      <c r="M1360" s="7" t="str">
        <f t="shared" ca="1" si="127"/>
        <v/>
      </c>
      <c r="N1360" s="6" t="str">
        <f t="shared" ca="1" si="128"/>
        <v/>
      </c>
      <c r="O1360" s="6">
        <f t="shared" si="129"/>
        <v>0.90000000000000568</v>
      </c>
      <c r="Q1360" s="6">
        <v>5.6999999999999886</v>
      </c>
      <c r="R1360" s="9">
        <f t="shared" si="130"/>
        <v>2137.4999999999959</v>
      </c>
      <c r="S1360" s="7">
        <f t="shared" ref="S1360:S1423" si="131">S1359+(P1360*375)</f>
        <v>862.50000000002115</v>
      </c>
    </row>
    <row r="1361" spans="1:19" x14ac:dyDescent="0.25">
      <c r="A1361" s="4">
        <f>Sheet1!A1361</f>
        <v>41058</v>
      </c>
      <c r="B1361" s="5">
        <f>Sheet1!B1361</f>
        <v>0.58333333333333337</v>
      </c>
      <c r="C1361" s="6">
        <f>Sheet1!C1361</f>
        <v>182.15</v>
      </c>
      <c r="D1361" s="6">
        <f>Sheet1!D1361</f>
        <v>183.15</v>
      </c>
      <c r="E1361" s="6">
        <f>Sheet1!E1361</f>
        <v>178.45</v>
      </c>
      <c r="F1361" s="6">
        <f>Sheet1!F1361</f>
        <v>179.1</v>
      </c>
      <c r="H1361" s="6">
        <f ca="1">IF(ROW($H1361)-1&lt;$I$1,$F1361,AVERAGE($F1361:OFFSET($F1361,(($I$1-1)*-1),0)))</f>
        <v>183.14166666666665</v>
      </c>
      <c r="J1361" s="6">
        <f ca="1">IF(ROW($J1361)-1&lt;$K$1,$F1361,AVERAGE($F1361:OFFSET($F1361,(($K$1-1)*-1),0)))</f>
        <v>189.92321428571432</v>
      </c>
      <c r="L1361" s="7">
        <f t="shared" ca="1" si="126"/>
        <v>-1</v>
      </c>
      <c r="M1361" s="7" t="str">
        <f t="shared" ca="1" si="127"/>
        <v/>
      </c>
      <c r="N1361" s="6" t="str">
        <f t="shared" ca="1" si="128"/>
        <v/>
      </c>
      <c r="O1361" s="6">
        <f t="shared" si="129"/>
        <v>-2.4000000000000057</v>
      </c>
      <c r="Q1361" s="6">
        <v>8.0999999999999943</v>
      </c>
      <c r="R1361" s="9">
        <f t="shared" si="130"/>
        <v>3037.4999999999977</v>
      </c>
      <c r="S1361" s="7">
        <f t="shared" si="131"/>
        <v>862.50000000002115</v>
      </c>
    </row>
    <row r="1362" spans="1:19" x14ac:dyDescent="0.25">
      <c r="A1362" s="4">
        <f>Sheet1!A1362</f>
        <v>41059</v>
      </c>
      <c r="B1362" s="5">
        <f>Sheet1!B1362</f>
        <v>0.58333333333333337</v>
      </c>
      <c r="C1362" s="6">
        <f>Sheet1!C1362</f>
        <v>179.1</v>
      </c>
      <c r="D1362" s="6">
        <f>Sheet1!D1362</f>
        <v>180.1</v>
      </c>
      <c r="E1362" s="6">
        <f>Sheet1!E1362</f>
        <v>176</v>
      </c>
      <c r="F1362" s="6">
        <f>Sheet1!F1362</f>
        <v>178.1</v>
      </c>
      <c r="H1362" s="6">
        <f ca="1">IF(ROW($H1362)-1&lt;$I$1,$F1362,AVERAGE($F1362:OFFSET($F1362,(($I$1-1)*-1),0)))</f>
        <v>181.35</v>
      </c>
      <c r="J1362" s="6">
        <f ca="1">IF(ROW($J1362)-1&lt;$K$1,$F1362,AVERAGE($F1362:OFFSET($F1362,(($K$1-1)*-1),0)))</f>
        <v>189.52142857142863</v>
      </c>
      <c r="L1362" s="7">
        <f t="shared" ca="1" si="126"/>
        <v>-1</v>
      </c>
      <c r="M1362" s="7" t="str">
        <f t="shared" ca="1" si="127"/>
        <v/>
      </c>
      <c r="N1362" s="6" t="str">
        <f t="shared" ca="1" si="128"/>
        <v/>
      </c>
      <c r="O1362" s="6">
        <f t="shared" si="129"/>
        <v>-1</v>
      </c>
      <c r="Q1362" s="6">
        <v>9.0999999999999943</v>
      </c>
      <c r="R1362" s="9">
        <f t="shared" si="130"/>
        <v>3412.4999999999977</v>
      </c>
      <c r="S1362" s="7">
        <f t="shared" si="131"/>
        <v>862.50000000002115</v>
      </c>
    </row>
    <row r="1363" spans="1:19" x14ac:dyDescent="0.25">
      <c r="A1363" s="4">
        <f>Sheet1!A1363</f>
        <v>41060</v>
      </c>
      <c r="B1363" s="5">
        <f>Sheet1!B1363</f>
        <v>0.58333333333333337</v>
      </c>
      <c r="C1363" s="6">
        <f>Sheet1!C1363</f>
        <v>177.9</v>
      </c>
      <c r="D1363" s="6">
        <f>Sheet1!D1363</f>
        <v>179.15</v>
      </c>
      <c r="E1363" s="6">
        <f>Sheet1!E1363</f>
        <v>173.85</v>
      </c>
      <c r="F1363" s="6">
        <f>Sheet1!F1363</f>
        <v>174.35</v>
      </c>
      <c r="H1363" s="6">
        <f ca="1">IF(ROW($H1363)-1&lt;$I$1,$F1363,AVERAGE($F1363:OFFSET($F1363,(($I$1-1)*-1),0)))</f>
        <v>179.04166666666666</v>
      </c>
      <c r="J1363" s="6">
        <f ca="1">IF(ROW($J1363)-1&lt;$K$1,$F1363,AVERAGE($F1363:OFFSET($F1363,(($K$1-1)*-1),0)))</f>
        <v>188.86785714285719</v>
      </c>
      <c r="L1363" s="7">
        <f t="shared" ca="1" si="126"/>
        <v>-1</v>
      </c>
      <c r="M1363" s="7" t="str">
        <f t="shared" ca="1" si="127"/>
        <v/>
      </c>
      <c r="N1363" s="6" t="str">
        <f t="shared" ca="1" si="128"/>
        <v/>
      </c>
      <c r="O1363" s="6">
        <f t="shared" si="129"/>
        <v>-3.75</v>
      </c>
      <c r="Q1363" s="6">
        <v>12.849999999999994</v>
      </c>
      <c r="R1363" s="9">
        <f t="shared" si="130"/>
        <v>4818.7499999999982</v>
      </c>
      <c r="S1363" s="7">
        <f t="shared" si="131"/>
        <v>862.50000000002115</v>
      </c>
    </row>
    <row r="1364" spans="1:19" x14ac:dyDescent="0.25">
      <c r="A1364" s="4">
        <f>Sheet1!A1364</f>
        <v>41061</v>
      </c>
      <c r="B1364" s="5">
        <f>Sheet1!B1364</f>
        <v>0.58333333333333337</v>
      </c>
      <c r="C1364" s="6">
        <f>Sheet1!C1364</f>
        <v>174.35</v>
      </c>
      <c r="D1364" s="6">
        <f>Sheet1!D1364</f>
        <v>174.95</v>
      </c>
      <c r="E1364" s="6">
        <f>Sheet1!E1364</f>
        <v>170.2</v>
      </c>
      <c r="F1364" s="6">
        <f>Sheet1!F1364</f>
        <v>171.2</v>
      </c>
      <c r="H1364" s="6">
        <f ca="1">IF(ROW($H1364)-1&lt;$I$1,$F1364,AVERAGE($F1364:OFFSET($F1364,(($I$1-1)*-1),0)))</f>
        <v>177.47500000000002</v>
      </c>
      <c r="J1364" s="6">
        <f ca="1">IF(ROW($J1364)-1&lt;$K$1,$F1364,AVERAGE($F1364:OFFSET($F1364,(($K$1-1)*-1),0)))</f>
        <v>188.10178571428577</v>
      </c>
      <c r="L1364" s="7">
        <f t="shared" ca="1" si="126"/>
        <v>-1</v>
      </c>
      <c r="M1364" s="7" t="str">
        <f t="shared" ca="1" si="127"/>
        <v/>
      </c>
      <c r="N1364" s="6" t="str">
        <f t="shared" ca="1" si="128"/>
        <v/>
      </c>
      <c r="O1364" s="6">
        <f t="shared" si="129"/>
        <v>-3.1500000000000057</v>
      </c>
      <c r="Q1364" s="6">
        <v>16</v>
      </c>
      <c r="R1364" s="9">
        <f t="shared" si="130"/>
        <v>6000</v>
      </c>
      <c r="S1364" s="7">
        <f t="shared" si="131"/>
        <v>862.50000000002115</v>
      </c>
    </row>
    <row r="1365" spans="1:19" x14ac:dyDescent="0.25">
      <c r="A1365" s="4">
        <f>Sheet1!A1365</f>
        <v>41064</v>
      </c>
      <c r="B1365" s="5">
        <f>Sheet1!B1365</f>
        <v>0.58333333333333337</v>
      </c>
      <c r="C1365" s="6">
        <f>Sheet1!C1365</f>
        <v>171.6</v>
      </c>
      <c r="D1365" s="6">
        <f>Sheet1!D1365</f>
        <v>172.65</v>
      </c>
      <c r="E1365" s="6">
        <f>Sheet1!E1365</f>
        <v>168.35</v>
      </c>
      <c r="F1365" s="6">
        <f>Sheet1!F1365</f>
        <v>172.15</v>
      </c>
      <c r="H1365" s="6">
        <f ca="1">IF(ROW($H1365)-1&lt;$I$1,$F1365,AVERAGE($F1365:OFFSET($F1365,(($I$1-1)*-1),0)))</f>
        <v>176.06666666666669</v>
      </c>
      <c r="J1365" s="6">
        <f ca="1">IF(ROW($J1365)-1&lt;$K$1,$F1365,AVERAGE($F1365:OFFSET($F1365,(($K$1-1)*-1),0)))</f>
        <v>187.20714285714286</v>
      </c>
      <c r="L1365" s="7">
        <f t="shared" ca="1" si="126"/>
        <v>-1</v>
      </c>
      <c r="M1365" s="7" t="str">
        <f t="shared" ca="1" si="127"/>
        <v/>
      </c>
      <c r="N1365" s="6" t="str">
        <f t="shared" ca="1" si="128"/>
        <v/>
      </c>
      <c r="O1365" s="6">
        <f t="shared" si="129"/>
        <v>0.95000000000001705</v>
      </c>
      <c r="Q1365" s="6">
        <v>15.049999999999983</v>
      </c>
      <c r="R1365" s="9">
        <f t="shared" si="130"/>
        <v>5643.7499999999936</v>
      </c>
      <c r="S1365" s="7">
        <f t="shared" si="131"/>
        <v>862.50000000002115</v>
      </c>
    </row>
    <row r="1366" spans="1:19" x14ac:dyDescent="0.25">
      <c r="A1366" s="4">
        <f>Sheet1!A1366</f>
        <v>41065</v>
      </c>
      <c r="B1366" s="5">
        <f>Sheet1!B1366</f>
        <v>0.58333333333333337</v>
      </c>
      <c r="C1366" s="6">
        <f>Sheet1!C1366</f>
        <v>171.7</v>
      </c>
      <c r="D1366" s="6">
        <f>Sheet1!D1366</f>
        <v>173.05</v>
      </c>
      <c r="E1366" s="6">
        <f>Sheet1!E1366</f>
        <v>169.6</v>
      </c>
      <c r="F1366" s="6">
        <f>Sheet1!F1366</f>
        <v>169.9</v>
      </c>
      <c r="H1366" s="6">
        <f ca="1">IF(ROW($H1366)-1&lt;$I$1,$F1366,AVERAGE($F1366:OFFSET($F1366,(($I$1-1)*-1),0)))</f>
        <v>174.13333333333333</v>
      </c>
      <c r="J1366" s="6">
        <f ca="1">IF(ROW($J1366)-1&lt;$K$1,$F1366,AVERAGE($F1366:OFFSET($F1366,(($K$1-1)*-1),0)))</f>
        <v>186.47321428571425</v>
      </c>
      <c r="L1366" s="7">
        <f t="shared" ca="1" si="126"/>
        <v>-1</v>
      </c>
      <c r="M1366" s="7" t="str">
        <f t="shared" ca="1" si="127"/>
        <v/>
      </c>
      <c r="N1366" s="6" t="str">
        <f t="shared" ca="1" si="128"/>
        <v/>
      </c>
      <c r="O1366" s="6">
        <f t="shared" si="129"/>
        <v>-2.25</v>
      </c>
      <c r="Q1366" s="6">
        <v>17.299999999999983</v>
      </c>
      <c r="R1366" s="9">
        <f t="shared" si="130"/>
        <v>6487.4999999999936</v>
      </c>
      <c r="S1366" s="7">
        <f t="shared" si="131"/>
        <v>862.50000000002115</v>
      </c>
    </row>
    <row r="1367" spans="1:19" x14ac:dyDescent="0.25">
      <c r="A1367" s="4">
        <f>Sheet1!A1367</f>
        <v>41066</v>
      </c>
      <c r="B1367" s="5">
        <f>Sheet1!B1367</f>
        <v>0.58333333333333337</v>
      </c>
      <c r="C1367" s="6">
        <f>Sheet1!C1367</f>
        <v>170.15</v>
      </c>
      <c r="D1367" s="6">
        <f>Sheet1!D1367</f>
        <v>172.6</v>
      </c>
      <c r="E1367" s="6">
        <f>Sheet1!E1367</f>
        <v>169.2</v>
      </c>
      <c r="F1367" s="6">
        <f>Sheet1!F1367</f>
        <v>169.6</v>
      </c>
      <c r="H1367" s="6">
        <f ca="1">IF(ROW($H1367)-1&lt;$I$1,$F1367,AVERAGE($F1367:OFFSET($F1367,(($I$1-1)*-1),0)))</f>
        <v>172.54999999999998</v>
      </c>
      <c r="J1367" s="6">
        <f ca="1">IF(ROW($J1367)-1&lt;$K$1,$F1367,AVERAGE($F1367:OFFSET($F1367,(($K$1-1)*-1),0)))</f>
        <v>185.7607142857143</v>
      </c>
      <c r="L1367" s="7">
        <f t="shared" ca="1" si="126"/>
        <v>-1</v>
      </c>
      <c r="M1367" s="7" t="str">
        <f t="shared" ca="1" si="127"/>
        <v/>
      </c>
      <c r="N1367" s="6" t="str">
        <f t="shared" ca="1" si="128"/>
        <v/>
      </c>
      <c r="O1367" s="6">
        <f t="shared" si="129"/>
        <v>-0.30000000000001137</v>
      </c>
      <c r="Q1367" s="6">
        <v>17.599999999999994</v>
      </c>
      <c r="R1367" s="9">
        <f t="shared" si="130"/>
        <v>6599.9999999999982</v>
      </c>
      <c r="S1367" s="7">
        <f t="shared" si="131"/>
        <v>862.50000000002115</v>
      </c>
    </row>
    <row r="1368" spans="1:19" x14ac:dyDescent="0.25">
      <c r="A1368" s="4">
        <f>Sheet1!A1368</f>
        <v>41067</v>
      </c>
      <c r="B1368" s="5">
        <f>Sheet1!B1368</f>
        <v>0.58333333333333337</v>
      </c>
      <c r="C1368" s="6">
        <f>Sheet1!C1368</f>
        <v>169.9</v>
      </c>
      <c r="D1368" s="6">
        <f>Sheet1!D1368</f>
        <v>171.8</v>
      </c>
      <c r="E1368" s="6">
        <f>Sheet1!E1368</f>
        <v>167.95</v>
      </c>
      <c r="F1368" s="6">
        <f>Sheet1!F1368</f>
        <v>170.35</v>
      </c>
      <c r="H1368" s="6">
        <f ca="1">IF(ROW($H1368)-1&lt;$I$1,$F1368,AVERAGE($F1368:OFFSET($F1368,(($I$1-1)*-1),0)))</f>
        <v>171.25833333333333</v>
      </c>
      <c r="J1368" s="6">
        <f ca="1">IF(ROW($J1368)-1&lt;$K$1,$F1368,AVERAGE($F1368:OFFSET($F1368,(($K$1-1)*-1),0)))</f>
        <v>185.0517857142857</v>
      </c>
      <c r="L1368" s="7">
        <f t="shared" ca="1" si="126"/>
        <v>-1</v>
      </c>
      <c r="M1368" s="7" t="str">
        <f t="shared" ca="1" si="127"/>
        <v/>
      </c>
      <c r="N1368" s="6" t="str">
        <f t="shared" ca="1" si="128"/>
        <v/>
      </c>
      <c r="O1368" s="6">
        <f t="shared" si="129"/>
        <v>0.75</v>
      </c>
      <c r="Q1368" s="6">
        <v>16.849999999999994</v>
      </c>
      <c r="R1368" s="9">
        <f t="shared" si="130"/>
        <v>6318.7499999999982</v>
      </c>
      <c r="S1368" s="7">
        <f t="shared" si="131"/>
        <v>862.50000000002115</v>
      </c>
    </row>
    <row r="1369" spans="1:19" x14ac:dyDescent="0.25">
      <c r="A1369" s="4">
        <f>Sheet1!A1369</f>
        <v>41068</v>
      </c>
      <c r="B1369" s="5">
        <f>Sheet1!B1369</f>
        <v>0.58333333333333337</v>
      </c>
      <c r="C1369" s="6">
        <f>Sheet1!C1369</f>
        <v>170.35</v>
      </c>
      <c r="D1369" s="6">
        <f>Sheet1!D1369</f>
        <v>171.4</v>
      </c>
      <c r="E1369" s="6">
        <f>Sheet1!E1369</f>
        <v>168.3</v>
      </c>
      <c r="F1369" s="6">
        <f>Sheet1!F1369</f>
        <v>169.3</v>
      </c>
      <c r="H1369" s="6">
        <f ca="1">IF(ROW($H1369)-1&lt;$I$1,$F1369,AVERAGE($F1369:OFFSET($F1369,(($I$1-1)*-1),0)))</f>
        <v>170.41666666666666</v>
      </c>
      <c r="J1369" s="6">
        <f ca="1">IF(ROW($J1369)-1&lt;$K$1,$F1369,AVERAGE($F1369:OFFSET($F1369,(($K$1-1)*-1),0)))</f>
        <v>184.19642857142853</v>
      </c>
      <c r="L1369" s="7">
        <f t="shared" ca="1" si="126"/>
        <v>-1</v>
      </c>
      <c r="M1369" s="7" t="str">
        <f t="shared" ca="1" si="127"/>
        <v/>
      </c>
      <c r="N1369" s="6" t="str">
        <f t="shared" ca="1" si="128"/>
        <v/>
      </c>
      <c r="O1369" s="6">
        <f t="shared" si="129"/>
        <v>-1.0499999999999829</v>
      </c>
      <c r="Q1369" s="6">
        <v>17.899999999999977</v>
      </c>
      <c r="R1369" s="9">
        <f t="shared" si="130"/>
        <v>6712.4999999999918</v>
      </c>
      <c r="S1369" s="7">
        <f t="shared" si="131"/>
        <v>862.50000000002115</v>
      </c>
    </row>
    <row r="1370" spans="1:19" x14ac:dyDescent="0.25">
      <c r="A1370" s="4">
        <f>Sheet1!A1370</f>
        <v>41071</v>
      </c>
      <c r="B1370" s="5">
        <f>Sheet1!B1370</f>
        <v>0.58333333333333337</v>
      </c>
      <c r="C1370" s="6">
        <f>Sheet1!C1370</f>
        <v>169.3</v>
      </c>
      <c r="D1370" s="6">
        <f>Sheet1!D1370</f>
        <v>171.5</v>
      </c>
      <c r="E1370" s="6">
        <f>Sheet1!E1370</f>
        <v>167.1</v>
      </c>
      <c r="F1370" s="6">
        <f>Sheet1!F1370</f>
        <v>168.6</v>
      </c>
      <c r="H1370" s="6">
        <f ca="1">IF(ROW($H1370)-1&lt;$I$1,$F1370,AVERAGE($F1370:OFFSET($F1370,(($I$1-1)*-1),0)))</f>
        <v>169.98333333333332</v>
      </c>
      <c r="J1370" s="6">
        <f ca="1">IF(ROW($J1370)-1&lt;$K$1,$F1370,AVERAGE($F1370:OFFSET($F1370,(($K$1-1)*-1),0)))</f>
        <v>183.15178571428572</v>
      </c>
      <c r="L1370" s="7">
        <f t="shared" ca="1" si="126"/>
        <v>-1</v>
      </c>
      <c r="M1370" s="7" t="str">
        <f t="shared" ca="1" si="127"/>
        <v/>
      </c>
      <c r="N1370" s="6" t="str">
        <f t="shared" ca="1" si="128"/>
        <v/>
      </c>
      <c r="O1370" s="6">
        <f t="shared" si="129"/>
        <v>-0.70000000000001705</v>
      </c>
      <c r="Q1370" s="6">
        <v>18.599999999999994</v>
      </c>
      <c r="R1370" s="9">
        <f t="shared" si="130"/>
        <v>6974.9999999999982</v>
      </c>
      <c r="S1370" s="7">
        <f t="shared" si="131"/>
        <v>862.50000000002115</v>
      </c>
    </row>
    <row r="1371" spans="1:19" x14ac:dyDescent="0.25">
      <c r="A1371" s="4">
        <f>Sheet1!A1371</f>
        <v>41072</v>
      </c>
      <c r="B1371" s="5">
        <f>Sheet1!B1371</f>
        <v>0.58333333333333337</v>
      </c>
      <c r="C1371" s="6">
        <f>Sheet1!C1371</f>
        <v>167.5</v>
      </c>
      <c r="D1371" s="6">
        <f>Sheet1!D1371</f>
        <v>168.6</v>
      </c>
      <c r="E1371" s="6">
        <f>Sheet1!E1371</f>
        <v>166.7</v>
      </c>
      <c r="F1371" s="6">
        <f>Sheet1!F1371</f>
        <v>167.25</v>
      </c>
      <c r="H1371" s="6">
        <f ca="1">IF(ROW($H1371)-1&lt;$I$1,$F1371,AVERAGE($F1371:OFFSET($F1371,(($I$1-1)*-1),0)))</f>
        <v>169.16666666666669</v>
      </c>
      <c r="J1371" s="6">
        <f ca="1">IF(ROW($J1371)-1&lt;$K$1,$F1371,AVERAGE($F1371:OFFSET($F1371,(($K$1-1)*-1),0)))</f>
        <v>182.10892857142858</v>
      </c>
      <c r="L1371" s="7">
        <f t="shared" ca="1" si="126"/>
        <v>-1</v>
      </c>
      <c r="M1371" s="7" t="str">
        <f t="shared" ca="1" si="127"/>
        <v/>
      </c>
      <c r="N1371" s="6" t="str">
        <f t="shared" ca="1" si="128"/>
        <v/>
      </c>
      <c r="O1371" s="6">
        <f t="shared" si="129"/>
        <v>-1.3499999999999943</v>
      </c>
      <c r="Q1371" s="6">
        <v>19.949999999999989</v>
      </c>
      <c r="R1371" s="9">
        <f t="shared" si="130"/>
        <v>7481.2499999999955</v>
      </c>
      <c r="S1371" s="7">
        <f t="shared" si="131"/>
        <v>862.50000000002115</v>
      </c>
    </row>
    <row r="1372" spans="1:19" x14ac:dyDescent="0.25">
      <c r="A1372" s="4">
        <f>Sheet1!A1372</f>
        <v>41073</v>
      </c>
      <c r="B1372" s="5">
        <f>Sheet1!B1372</f>
        <v>0.58333333333333337</v>
      </c>
      <c r="C1372" s="6">
        <f>Sheet1!C1372</f>
        <v>167.55</v>
      </c>
      <c r="D1372" s="6">
        <f>Sheet1!D1372</f>
        <v>168.3</v>
      </c>
      <c r="E1372" s="6">
        <f>Sheet1!E1372</f>
        <v>165.6</v>
      </c>
      <c r="F1372" s="6">
        <f>Sheet1!F1372</f>
        <v>166.1</v>
      </c>
      <c r="H1372" s="6">
        <f ca="1">IF(ROW($H1372)-1&lt;$I$1,$F1372,AVERAGE($F1372:OFFSET($F1372,(($I$1-1)*-1),0)))</f>
        <v>168.53333333333333</v>
      </c>
      <c r="J1372" s="6">
        <f ca="1">IF(ROW($J1372)-1&lt;$K$1,$F1372,AVERAGE($F1372:OFFSET($F1372,(($K$1-1)*-1),0)))</f>
        <v>181.27321428571432</v>
      </c>
      <c r="L1372" s="7">
        <f t="shared" ca="1" si="126"/>
        <v>-1</v>
      </c>
      <c r="M1372" s="7" t="str">
        <f t="shared" ca="1" si="127"/>
        <v/>
      </c>
      <c r="N1372" s="6" t="str">
        <f t="shared" ca="1" si="128"/>
        <v/>
      </c>
      <c r="O1372" s="6">
        <f t="shared" si="129"/>
        <v>-1.1500000000000057</v>
      </c>
      <c r="Q1372" s="6">
        <v>21.099999999999994</v>
      </c>
      <c r="R1372" s="9">
        <f t="shared" si="130"/>
        <v>7912.4999999999982</v>
      </c>
      <c r="S1372" s="7">
        <f t="shared" si="131"/>
        <v>862.50000000002115</v>
      </c>
    </row>
    <row r="1373" spans="1:19" x14ac:dyDescent="0.25">
      <c r="A1373" s="4">
        <f>Sheet1!A1373</f>
        <v>41074</v>
      </c>
      <c r="B1373" s="5">
        <f>Sheet1!B1373</f>
        <v>0.58333333333333337</v>
      </c>
      <c r="C1373" s="6">
        <f>Sheet1!C1373</f>
        <v>165.9</v>
      </c>
      <c r="D1373" s="6">
        <f>Sheet1!D1373</f>
        <v>165.95</v>
      </c>
      <c r="E1373" s="6">
        <f>Sheet1!E1373</f>
        <v>162.6</v>
      </c>
      <c r="F1373" s="6">
        <f>Sheet1!F1373</f>
        <v>162.94999999999999</v>
      </c>
      <c r="H1373" s="6">
        <f ca="1">IF(ROW($H1373)-1&lt;$I$1,$F1373,AVERAGE($F1373:OFFSET($F1373,(($I$1-1)*-1),0)))</f>
        <v>167.42499999999998</v>
      </c>
      <c r="J1373" s="6">
        <f ca="1">IF(ROW($J1373)-1&lt;$K$1,$F1373,AVERAGE($F1373:OFFSET($F1373,(($K$1-1)*-1),0)))</f>
        <v>180.36785714285716</v>
      </c>
      <c r="L1373" s="7">
        <f t="shared" ca="1" si="126"/>
        <v>-1</v>
      </c>
      <c r="M1373" s="7" t="str">
        <f t="shared" ca="1" si="127"/>
        <v/>
      </c>
      <c r="N1373" s="6" t="str">
        <f t="shared" ca="1" si="128"/>
        <v/>
      </c>
      <c r="O1373" s="6">
        <f t="shared" si="129"/>
        <v>-3.1500000000000057</v>
      </c>
      <c r="Q1373" s="6">
        <v>24.25</v>
      </c>
      <c r="R1373" s="9">
        <f t="shared" si="130"/>
        <v>9093.75</v>
      </c>
      <c r="S1373" s="7">
        <f t="shared" si="131"/>
        <v>862.50000000002115</v>
      </c>
    </row>
    <row r="1374" spans="1:19" x14ac:dyDescent="0.25">
      <c r="A1374" s="4">
        <f>Sheet1!A1374</f>
        <v>41075</v>
      </c>
      <c r="B1374" s="5">
        <f>Sheet1!B1374</f>
        <v>0.58333333333333337</v>
      </c>
      <c r="C1374" s="6">
        <f>Sheet1!C1374</f>
        <v>162.94999999999999</v>
      </c>
      <c r="D1374" s="6">
        <f>Sheet1!D1374</f>
        <v>165.05</v>
      </c>
      <c r="E1374" s="6">
        <f>Sheet1!E1374</f>
        <v>162.9</v>
      </c>
      <c r="F1374" s="6">
        <f>Sheet1!F1374</f>
        <v>163.9</v>
      </c>
      <c r="H1374" s="6">
        <f ca="1">IF(ROW($H1374)-1&lt;$I$1,$F1374,AVERAGE($F1374:OFFSET($F1374,(($I$1-1)*-1),0)))</f>
        <v>166.35</v>
      </c>
      <c r="J1374" s="6">
        <f ca="1">IF(ROW($J1374)-1&lt;$K$1,$F1374,AVERAGE($F1374:OFFSET($F1374,(($K$1-1)*-1),0)))</f>
        <v>179.47499999999997</v>
      </c>
      <c r="L1374" s="7">
        <f t="shared" ca="1" si="126"/>
        <v>-1</v>
      </c>
      <c r="M1374" s="7" t="str">
        <f t="shared" ca="1" si="127"/>
        <v/>
      </c>
      <c r="N1374" s="6" t="str">
        <f t="shared" ca="1" si="128"/>
        <v/>
      </c>
      <c r="O1374" s="6">
        <f t="shared" si="129"/>
        <v>0.95000000000001705</v>
      </c>
      <c r="Q1374" s="6">
        <v>23.299999999999983</v>
      </c>
      <c r="R1374" s="9">
        <f t="shared" si="130"/>
        <v>8737.4999999999927</v>
      </c>
      <c r="S1374" s="7">
        <f t="shared" si="131"/>
        <v>862.50000000002115</v>
      </c>
    </row>
    <row r="1375" spans="1:19" x14ac:dyDescent="0.25">
      <c r="A1375" s="4">
        <f>Sheet1!A1375</f>
        <v>41078</v>
      </c>
      <c r="B1375" s="5">
        <f>Sheet1!B1375</f>
        <v>0.58333333333333337</v>
      </c>
      <c r="C1375" s="6">
        <f>Sheet1!C1375</f>
        <v>164.25</v>
      </c>
      <c r="D1375" s="6">
        <f>Sheet1!D1375</f>
        <v>164.65</v>
      </c>
      <c r="E1375" s="6">
        <f>Sheet1!E1375</f>
        <v>162</v>
      </c>
      <c r="F1375" s="6">
        <f>Sheet1!F1375</f>
        <v>163.4</v>
      </c>
      <c r="H1375" s="6">
        <f ca="1">IF(ROW($H1375)-1&lt;$I$1,$F1375,AVERAGE($F1375:OFFSET($F1375,(($I$1-1)*-1),0)))</f>
        <v>165.36666666666667</v>
      </c>
      <c r="J1375" s="6">
        <f ca="1">IF(ROW($J1375)-1&lt;$K$1,$F1375,AVERAGE($F1375:OFFSET($F1375,(($K$1-1)*-1),0)))</f>
        <v>178.57321428571427</v>
      </c>
      <c r="L1375" s="7">
        <f t="shared" ca="1" si="126"/>
        <v>-1</v>
      </c>
      <c r="M1375" s="7" t="str">
        <f t="shared" ca="1" si="127"/>
        <v/>
      </c>
      <c r="N1375" s="6" t="str">
        <f t="shared" ca="1" si="128"/>
        <v/>
      </c>
      <c r="O1375" s="6">
        <f t="shared" si="129"/>
        <v>-0.5</v>
      </c>
      <c r="Q1375" s="6">
        <v>23.799999999999983</v>
      </c>
      <c r="R1375" s="9">
        <f t="shared" si="130"/>
        <v>8924.9999999999927</v>
      </c>
      <c r="S1375" s="7">
        <f t="shared" si="131"/>
        <v>862.50000000002115</v>
      </c>
    </row>
    <row r="1376" spans="1:19" x14ac:dyDescent="0.25">
      <c r="A1376" s="4">
        <f>Sheet1!A1376</f>
        <v>41079</v>
      </c>
      <c r="B1376" s="5">
        <f>Sheet1!B1376</f>
        <v>0.58333333333333337</v>
      </c>
      <c r="C1376" s="6">
        <f>Sheet1!C1376</f>
        <v>163.4</v>
      </c>
      <c r="D1376" s="6">
        <f>Sheet1!D1376</f>
        <v>170.9</v>
      </c>
      <c r="E1376" s="6">
        <f>Sheet1!E1376</f>
        <v>162.4</v>
      </c>
      <c r="F1376" s="6">
        <f>Sheet1!F1376</f>
        <v>170.7</v>
      </c>
      <c r="H1376" s="6">
        <f ca="1">IF(ROW($H1376)-1&lt;$I$1,$F1376,AVERAGE($F1376:OFFSET($F1376,(($I$1-1)*-1),0)))</f>
        <v>165.71666666666667</v>
      </c>
      <c r="J1376" s="6">
        <f ca="1">IF(ROW($J1376)-1&lt;$K$1,$F1376,AVERAGE($F1376:OFFSET($F1376,(($K$1-1)*-1),0)))</f>
        <v>177.92857142857136</v>
      </c>
      <c r="L1376" s="7">
        <f t="shared" ca="1" si="126"/>
        <v>-1</v>
      </c>
      <c r="M1376" s="7" t="str">
        <f t="shared" ca="1" si="127"/>
        <v/>
      </c>
      <c r="N1376" s="6" t="str">
        <f t="shared" ca="1" si="128"/>
        <v/>
      </c>
      <c r="O1376" s="6">
        <f t="shared" si="129"/>
        <v>7.2999999999999829</v>
      </c>
      <c r="Q1376" s="6">
        <v>16.5</v>
      </c>
      <c r="R1376" s="9">
        <f t="shared" si="130"/>
        <v>6187.5</v>
      </c>
      <c r="S1376" s="7">
        <f t="shared" si="131"/>
        <v>862.50000000002115</v>
      </c>
    </row>
    <row r="1377" spans="1:19" x14ac:dyDescent="0.25">
      <c r="A1377" s="4">
        <f>Sheet1!A1377</f>
        <v>41080</v>
      </c>
      <c r="B1377" s="5">
        <f>Sheet1!B1377</f>
        <v>0.58333333333333337</v>
      </c>
      <c r="C1377" s="6">
        <f>Sheet1!C1377</f>
        <v>170.3</v>
      </c>
      <c r="D1377" s="6">
        <f>Sheet1!D1377</f>
        <v>173.4</v>
      </c>
      <c r="E1377" s="6">
        <f>Sheet1!E1377</f>
        <v>163</v>
      </c>
      <c r="F1377" s="6">
        <f>Sheet1!F1377</f>
        <v>164.3</v>
      </c>
      <c r="H1377" s="6">
        <f ca="1">IF(ROW($H1377)-1&lt;$I$1,$F1377,AVERAGE($F1377:OFFSET($F1377,(($I$1-1)*-1),0)))</f>
        <v>165.22499999999999</v>
      </c>
      <c r="J1377" s="6">
        <f ca="1">IF(ROW($J1377)-1&lt;$K$1,$F1377,AVERAGE($F1377:OFFSET($F1377,(($K$1-1)*-1),0)))</f>
        <v>176.92678571428567</v>
      </c>
      <c r="L1377" s="7">
        <f t="shared" ca="1" si="126"/>
        <v>-1</v>
      </c>
      <c r="M1377" s="7" t="str">
        <f t="shared" ca="1" si="127"/>
        <v/>
      </c>
      <c r="N1377" s="6" t="str">
        <f t="shared" ca="1" si="128"/>
        <v/>
      </c>
      <c r="O1377" s="6">
        <f t="shared" si="129"/>
        <v>-6.3999999999999773</v>
      </c>
      <c r="Q1377" s="6">
        <v>22.899999999999977</v>
      </c>
      <c r="R1377" s="9">
        <f t="shared" si="130"/>
        <v>8587.4999999999909</v>
      </c>
      <c r="S1377" s="7">
        <f t="shared" si="131"/>
        <v>862.50000000002115</v>
      </c>
    </row>
    <row r="1378" spans="1:19" x14ac:dyDescent="0.25">
      <c r="A1378" s="4">
        <f>Sheet1!A1378</f>
        <v>41081</v>
      </c>
      <c r="B1378" s="5">
        <f>Sheet1!B1378</f>
        <v>0.58333333333333337</v>
      </c>
      <c r="C1378" s="6">
        <f>Sheet1!C1378</f>
        <v>163.9</v>
      </c>
      <c r="D1378" s="6">
        <f>Sheet1!D1378</f>
        <v>171.25</v>
      </c>
      <c r="E1378" s="6">
        <f>Sheet1!E1378</f>
        <v>163.30000000000001</v>
      </c>
      <c r="F1378" s="6">
        <f>Sheet1!F1378</f>
        <v>170.7</v>
      </c>
      <c r="H1378" s="6">
        <f ca="1">IF(ROW($H1378)-1&lt;$I$1,$F1378,AVERAGE($F1378:OFFSET($F1378,(($I$1-1)*-1),0)))</f>
        <v>165.99166666666667</v>
      </c>
      <c r="J1378" s="6">
        <f ca="1">IF(ROW($J1378)-1&lt;$K$1,$F1378,AVERAGE($F1378:OFFSET($F1378,(($K$1-1)*-1),0)))</f>
        <v>176.2071428571428</v>
      </c>
      <c r="L1378" s="7">
        <f t="shared" ca="1" si="126"/>
        <v>-1</v>
      </c>
      <c r="M1378" s="7" t="str">
        <f t="shared" ca="1" si="127"/>
        <v/>
      </c>
      <c r="N1378" s="6" t="str">
        <f t="shared" ca="1" si="128"/>
        <v/>
      </c>
      <c r="O1378" s="6">
        <f t="shared" si="129"/>
        <v>6.3999999999999773</v>
      </c>
      <c r="Q1378" s="6">
        <v>16.5</v>
      </c>
      <c r="R1378" s="9">
        <f t="shared" si="130"/>
        <v>6187.5</v>
      </c>
      <c r="S1378" s="7">
        <f t="shared" si="131"/>
        <v>862.50000000002115</v>
      </c>
    </row>
    <row r="1379" spans="1:19" x14ac:dyDescent="0.25">
      <c r="A1379" s="4">
        <f>Sheet1!A1379</f>
        <v>41082</v>
      </c>
      <c r="B1379" s="5">
        <f>Sheet1!B1379</f>
        <v>0.58333333333333337</v>
      </c>
      <c r="C1379" s="6">
        <f>Sheet1!C1379</f>
        <v>170.4</v>
      </c>
      <c r="D1379" s="6">
        <f>Sheet1!D1379</f>
        <v>171.65</v>
      </c>
      <c r="E1379" s="6">
        <f>Sheet1!E1379</f>
        <v>164.95</v>
      </c>
      <c r="F1379" s="6">
        <f>Sheet1!F1379</f>
        <v>167.8</v>
      </c>
      <c r="H1379" s="6">
        <f ca="1">IF(ROW($H1379)-1&lt;$I$1,$F1379,AVERAGE($F1379:OFFSET($F1379,(($I$1-1)*-1),0)))</f>
        <v>166.79999999999998</v>
      </c>
      <c r="J1379" s="6">
        <f ca="1">IF(ROW($J1379)-1&lt;$K$1,$F1379,AVERAGE($F1379:OFFSET($F1379,(($K$1-1)*-1),0)))</f>
        <v>175.35535714285712</v>
      </c>
      <c r="L1379" s="7">
        <f t="shared" ca="1" si="126"/>
        <v>-1</v>
      </c>
      <c r="M1379" s="7" t="str">
        <f t="shared" ca="1" si="127"/>
        <v/>
      </c>
      <c r="N1379" s="6" t="str">
        <f t="shared" ca="1" si="128"/>
        <v/>
      </c>
      <c r="O1379" s="6">
        <f t="shared" si="129"/>
        <v>-2.8999999999999773</v>
      </c>
      <c r="Q1379" s="6">
        <v>19.399999999999977</v>
      </c>
      <c r="R1379" s="9">
        <f t="shared" si="130"/>
        <v>7274.9999999999918</v>
      </c>
      <c r="S1379" s="7">
        <f t="shared" si="131"/>
        <v>862.50000000002115</v>
      </c>
    </row>
    <row r="1380" spans="1:19" x14ac:dyDescent="0.25">
      <c r="A1380" s="4">
        <f>Sheet1!A1380</f>
        <v>41085</v>
      </c>
      <c r="B1380" s="5">
        <f>Sheet1!B1380</f>
        <v>0.58333333333333337</v>
      </c>
      <c r="C1380" s="6">
        <f>Sheet1!C1380</f>
        <v>167.9</v>
      </c>
      <c r="D1380" s="6">
        <f>Sheet1!D1380</f>
        <v>171.15</v>
      </c>
      <c r="E1380" s="6">
        <f>Sheet1!E1380</f>
        <v>166</v>
      </c>
      <c r="F1380" s="6">
        <f>Sheet1!F1380</f>
        <v>170.65</v>
      </c>
      <c r="H1380" s="6">
        <f ca="1">IF(ROW($H1380)-1&lt;$I$1,$F1380,AVERAGE($F1380:OFFSET($F1380,(($I$1-1)*-1),0)))</f>
        <v>167.92500000000001</v>
      </c>
      <c r="J1380" s="6">
        <f ca="1">IF(ROW($J1380)-1&lt;$K$1,$F1380,AVERAGE($F1380:OFFSET($F1380,(($K$1-1)*-1),0)))</f>
        <v>174.58928571428569</v>
      </c>
      <c r="L1380" s="7">
        <f t="shared" ca="1" si="126"/>
        <v>-1</v>
      </c>
      <c r="M1380" s="7" t="str">
        <f t="shared" ca="1" si="127"/>
        <v/>
      </c>
      <c r="N1380" s="6" t="str">
        <f t="shared" ca="1" si="128"/>
        <v/>
      </c>
      <c r="O1380" s="6">
        <f t="shared" si="129"/>
        <v>2.8499999999999943</v>
      </c>
      <c r="Q1380" s="6">
        <v>16.549999999999983</v>
      </c>
      <c r="R1380" s="9">
        <f t="shared" si="130"/>
        <v>6206.2499999999936</v>
      </c>
      <c r="S1380" s="7">
        <f t="shared" si="131"/>
        <v>862.50000000002115</v>
      </c>
    </row>
    <row r="1381" spans="1:19" x14ac:dyDescent="0.25">
      <c r="A1381" s="4">
        <f>Sheet1!A1381</f>
        <v>41086</v>
      </c>
      <c r="B1381" s="5">
        <f>Sheet1!B1381</f>
        <v>0.58333333333333337</v>
      </c>
      <c r="C1381" s="6">
        <f>Sheet1!C1381</f>
        <v>170.65</v>
      </c>
      <c r="D1381" s="6">
        <f>Sheet1!D1381</f>
        <v>178.25</v>
      </c>
      <c r="E1381" s="6">
        <f>Sheet1!E1381</f>
        <v>168.9</v>
      </c>
      <c r="F1381" s="6">
        <f>Sheet1!F1381</f>
        <v>177.65</v>
      </c>
      <c r="H1381" s="6">
        <f ca="1">IF(ROW($H1381)-1&lt;$I$1,$F1381,AVERAGE($F1381:OFFSET($F1381,(($I$1-1)*-1),0)))</f>
        <v>170.29999999999998</v>
      </c>
      <c r="J1381" s="6">
        <f ca="1">IF(ROW($J1381)-1&lt;$K$1,$F1381,AVERAGE($F1381:OFFSET($F1381,(($K$1-1)*-1),0)))</f>
        <v>174.08749999999995</v>
      </c>
      <c r="L1381" s="7">
        <f t="shared" ca="1" si="126"/>
        <v>-1</v>
      </c>
      <c r="M1381" s="7" t="str">
        <f t="shared" ca="1" si="127"/>
        <v/>
      </c>
      <c r="N1381" s="6" t="str">
        <f t="shared" ca="1" si="128"/>
        <v/>
      </c>
      <c r="O1381" s="6">
        <f t="shared" si="129"/>
        <v>7</v>
      </c>
      <c r="Q1381" s="6">
        <v>9.5499999999999829</v>
      </c>
      <c r="R1381" s="9">
        <f t="shared" si="130"/>
        <v>3581.2499999999936</v>
      </c>
      <c r="S1381" s="7">
        <f t="shared" si="131"/>
        <v>862.50000000002115</v>
      </c>
    </row>
    <row r="1382" spans="1:19" x14ac:dyDescent="0.25">
      <c r="A1382" s="4">
        <f>Sheet1!A1382</f>
        <v>41087</v>
      </c>
      <c r="B1382" s="5">
        <f>Sheet1!B1382</f>
        <v>0.58333333333333337</v>
      </c>
      <c r="C1382" s="6">
        <f>Sheet1!C1382</f>
        <v>177.65</v>
      </c>
      <c r="D1382" s="6">
        <f>Sheet1!D1382</f>
        <v>180.45</v>
      </c>
      <c r="E1382" s="6">
        <f>Sheet1!E1382</f>
        <v>174.65</v>
      </c>
      <c r="F1382" s="6">
        <f>Sheet1!F1382</f>
        <v>176.75</v>
      </c>
      <c r="H1382" s="6">
        <f ca="1">IF(ROW($H1382)-1&lt;$I$1,$F1382,AVERAGE($F1382:OFFSET($F1382,(($I$1-1)*-1),0)))</f>
        <v>171.30833333333331</v>
      </c>
      <c r="J1382" s="6">
        <f ca="1">IF(ROW($J1382)-1&lt;$K$1,$F1382,AVERAGE($F1382:OFFSET($F1382,(($K$1-1)*-1),0)))</f>
        <v>173.47857142857137</v>
      </c>
      <c r="L1382" s="7">
        <f t="shared" ca="1" si="126"/>
        <v>-1</v>
      </c>
      <c r="M1382" s="7" t="str">
        <f t="shared" ca="1" si="127"/>
        <v/>
      </c>
      <c r="N1382" s="6" t="str">
        <f t="shared" ca="1" si="128"/>
        <v/>
      </c>
      <c r="O1382" s="6">
        <f t="shared" si="129"/>
        <v>-0.90000000000000568</v>
      </c>
      <c r="Q1382" s="6">
        <v>10.449999999999989</v>
      </c>
      <c r="R1382" s="9">
        <f t="shared" si="130"/>
        <v>3918.7499999999959</v>
      </c>
      <c r="S1382" s="7">
        <f t="shared" si="131"/>
        <v>862.50000000002115</v>
      </c>
    </row>
    <row r="1383" spans="1:19" x14ac:dyDescent="0.25">
      <c r="A1383" s="4">
        <f>Sheet1!A1383</f>
        <v>41088</v>
      </c>
      <c r="B1383" s="5">
        <f>Sheet1!B1383</f>
        <v>0.58333333333333337</v>
      </c>
      <c r="C1383" s="6">
        <f>Sheet1!C1383</f>
        <v>176.7</v>
      </c>
      <c r="D1383" s="6">
        <f>Sheet1!D1383</f>
        <v>177.05</v>
      </c>
      <c r="E1383" s="6">
        <f>Sheet1!E1383</f>
        <v>172.75</v>
      </c>
      <c r="F1383" s="6">
        <f>Sheet1!F1383</f>
        <v>174.95</v>
      </c>
      <c r="H1383" s="6">
        <f ca="1">IF(ROW($H1383)-1&lt;$I$1,$F1383,AVERAGE($F1383:OFFSET($F1383,(($I$1-1)*-1),0)))</f>
        <v>173.08333333333334</v>
      </c>
      <c r="J1383" s="6">
        <f ca="1">IF(ROW($J1383)-1&lt;$K$1,$F1383,AVERAGE($F1383:OFFSET($F1383,(($K$1-1)*-1),0)))</f>
        <v>172.83928571428569</v>
      </c>
      <c r="L1383" s="7">
        <f t="shared" ca="1" si="126"/>
        <v>1</v>
      </c>
      <c r="M1383" s="7">
        <f t="shared" ca="1" si="127"/>
        <v>1</v>
      </c>
      <c r="N1383" s="6" t="str">
        <f t="shared" ca="1" si="128"/>
        <v/>
      </c>
      <c r="O1383" s="6">
        <f t="shared" si="129"/>
        <v>-1.8000000000000114</v>
      </c>
      <c r="Q1383" s="6">
        <v>12.25</v>
      </c>
      <c r="R1383" s="9">
        <f t="shared" si="130"/>
        <v>4593.75</v>
      </c>
      <c r="S1383" s="7">
        <f t="shared" si="131"/>
        <v>862.50000000002115</v>
      </c>
    </row>
    <row r="1384" spans="1:19" x14ac:dyDescent="0.25">
      <c r="A1384" s="4">
        <f>Sheet1!A1384</f>
        <v>41089</v>
      </c>
      <c r="B1384" s="5">
        <f>Sheet1!B1384</f>
        <v>0.58333333333333337</v>
      </c>
      <c r="C1384" s="6">
        <f>Sheet1!C1384</f>
        <v>175.65</v>
      </c>
      <c r="D1384" s="6">
        <f>Sheet1!D1384</f>
        <v>183.65</v>
      </c>
      <c r="E1384" s="6">
        <f>Sheet1!E1384</f>
        <v>175.65</v>
      </c>
      <c r="F1384" s="6">
        <f>Sheet1!F1384</f>
        <v>182.6</v>
      </c>
      <c r="H1384" s="6">
        <f ca="1">IF(ROW($H1384)-1&lt;$I$1,$F1384,AVERAGE($F1384:OFFSET($F1384,(($I$1-1)*-1),0)))</f>
        <v>175.06666666666663</v>
      </c>
      <c r="J1384" s="6">
        <f ca="1">IF(ROW($J1384)-1&lt;$K$1,$F1384,AVERAGE($F1384:OFFSET($F1384,(($K$1-1)*-1),0)))</f>
        <v>172.61607142857142</v>
      </c>
      <c r="L1384" s="7">
        <f t="shared" ca="1" si="126"/>
        <v>1</v>
      </c>
      <c r="M1384" s="7" t="str">
        <f t="shared" ca="1" si="127"/>
        <v/>
      </c>
      <c r="N1384" s="6">
        <f t="shared" ca="1" si="128"/>
        <v>175.65</v>
      </c>
      <c r="O1384" s="6">
        <f t="shared" si="129"/>
        <v>7.6500000000000057</v>
      </c>
      <c r="P1384" s="6">
        <v>11.549999999999983</v>
      </c>
      <c r="Q1384" s="6">
        <v>6.9499999999999886</v>
      </c>
      <c r="R1384" s="9">
        <f t="shared" si="130"/>
        <v>2606.2499999999959</v>
      </c>
      <c r="S1384" s="7">
        <f t="shared" si="131"/>
        <v>5193.7500000000146</v>
      </c>
    </row>
    <row r="1385" spans="1:19" x14ac:dyDescent="0.25">
      <c r="A1385" s="4">
        <f>Sheet1!A1385</f>
        <v>41092</v>
      </c>
      <c r="B1385" s="5">
        <f>Sheet1!B1385</f>
        <v>0.58333333333333337</v>
      </c>
      <c r="C1385" s="6">
        <f>Sheet1!C1385</f>
        <v>182.65</v>
      </c>
      <c r="D1385" s="6">
        <f>Sheet1!D1385</f>
        <v>186.8</v>
      </c>
      <c r="E1385" s="6">
        <f>Sheet1!E1385</f>
        <v>181.6</v>
      </c>
      <c r="F1385" s="6">
        <f>Sheet1!F1385</f>
        <v>186.5</v>
      </c>
      <c r="H1385" s="6">
        <f ca="1">IF(ROW($H1385)-1&lt;$I$1,$F1385,AVERAGE($F1385:OFFSET($F1385,(($I$1-1)*-1),0)))</f>
        <v>178.18333333333331</v>
      </c>
      <c r="J1385" s="6">
        <f ca="1">IF(ROW($J1385)-1&lt;$K$1,$F1385,AVERAGE($F1385:OFFSET($F1385,(($K$1-1)*-1),0)))</f>
        <v>172.55535714285716</v>
      </c>
      <c r="L1385" s="7">
        <f t="shared" ca="1" si="126"/>
        <v>1</v>
      </c>
      <c r="M1385" s="7" t="str">
        <f t="shared" ca="1" si="127"/>
        <v/>
      </c>
      <c r="N1385" s="6" t="str">
        <f t="shared" ca="1" si="128"/>
        <v/>
      </c>
      <c r="O1385" s="6">
        <f t="shared" si="129"/>
        <v>3.9000000000000057</v>
      </c>
      <c r="Q1385" s="6">
        <v>10.849999999999994</v>
      </c>
      <c r="R1385" s="9">
        <f t="shared" si="130"/>
        <v>4068.7499999999977</v>
      </c>
      <c r="S1385" s="7">
        <f t="shared" si="131"/>
        <v>5193.7500000000146</v>
      </c>
    </row>
    <row r="1386" spans="1:19" x14ac:dyDescent="0.25">
      <c r="A1386" s="4">
        <f>Sheet1!A1386</f>
        <v>41093</v>
      </c>
      <c r="B1386" s="5">
        <f>Sheet1!B1386</f>
        <v>0.58333333333333337</v>
      </c>
      <c r="C1386" s="6">
        <f>Sheet1!C1386</f>
        <v>186.55</v>
      </c>
      <c r="D1386" s="6">
        <f>Sheet1!D1386</f>
        <v>193.3</v>
      </c>
      <c r="E1386" s="6">
        <f>Sheet1!E1386</f>
        <v>186.55</v>
      </c>
      <c r="F1386" s="6">
        <f>Sheet1!F1386</f>
        <v>192.35</v>
      </c>
      <c r="H1386" s="6">
        <f ca="1">IF(ROW($H1386)-1&lt;$I$1,$F1386,AVERAGE($F1386:OFFSET($F1386,(($I$1-1)*-1),0)))</f>
        <v>181.79999999999998</v>
      </c>
      <c r="J1386" s="6">
        <f ca="1">IF(ROW($J1386)-1&lt;$K$1,$F1386,AVERAGE($F1386:OFFSET($F1386,(($K$1-1)*-1),0)))</f>
        <v>172.97499999999999</v>
      </c>
      <c r="L1386" s="7">
        <f t="shared" ca="1" si="126"/>
        <v>1</v>
      </c>
      <c r="M1386" s="7" t="str">
        <f t="shared" ca="1" si="127"/>
        <v/>
      </c>
      <c r="N1386" s="6" t="str">
        <f t="shared" ca="1" si="128"/>
        <v/>
      </c>
      <c r="O1386" s="6">
        <f t="shared" si="129"/>
        <v>5.8499999999999943</v>
      </c>
      <c r="Q1386" s="6">
        <v>16.699999999999989</v>
      </c>
      <c r="R1386" s="9">
        <f t="shared" si="130"/>
        <v>6262.4999999999955</v>
      </c>
      <c r="S1386" s="7">
        <f t="shared" si="131"/>
        <v>5193.7500000000146</v>
      </c>
    </row>
    <row r="1387" spans="1:19" x14ac:dyDescent="0.25">
      <c r="A1387" s="4">
        <f>Sheet1!A1387</f>
        <v>41095</v>
      </c>
      <c r="B1387" s="5">
        <f>Sheet1!B1387</f>
        <v>0.58333333333333337</v>
      </c>
      <c r="C1387" s="6">
        <f>Sheet1!C1387</f>
        <v>190.95</v>
      </c>
      <c r="D1387" s="6">
        <f>Sheet1!D1387</f>
        <v>199</v>
      </c>
      <c r="E1387" s="6">
        <f>Sheet1!E1387</f>
        <v>187.75</v>
      </c>
      <c r="F1387" s="6">
        <f>Sheet1!F1387</f>
        <v>192.25</v>
      </c>
      <c r="H1387" s="6">
        <f ca="1">IF(ROW($H1387)-1&lt;$I$1,$F1387,AVERAGE($F1387:OFFSET($F1387,(($I$1-1)*-1),0)))</f>
        <v>184.23333333333335</v>
      </c>
      <c r="J1387" s="6">
        <f ca="1">IF(ROW($J1387)-1&lt;$K$1,$F1387,AVERAGE($F1387:OFFSET($F1387,(($K$1-1)*-1),0)))</f>
        <v>173.39107142857145</v>
      </c>
      <c r="L1387" s="7">
        <f t="shared" ca="1" si="126"/>
        <v>1</v>
      </c>
      <c r="M1387" s="7" t="str">
        <f t="shared" ca="1" si="127"/>
        <v/>
      </c>
      <c r="N1387" s="6" t="str">
        <f t="shared" ca="1" si="128"/>
        <v/>
      </c>
      <c r="O1387" s="6">
        <f t="shared" si="129"/>
        <v>-9.9999999999994316E-2</v>
      </c>
      <c r="Q1387" s="6">
        <v>16.599999999999994</v>
      </c>
      <c r="R1387" s="9">
        <f t="shared" si="130"/>
        <v>6224.9999999999982</v>
      </c>
      <c r="S1387" s="7">
        <f t="shared" si="131"/>
        <v>5193.7500000000146</v>
      </c>
    </row>
    <row r="1388" spans="1:19" x14ac:dyDescent="0.25">
      <c r="A1388" s="4">
        <f>Sheet1!A1388</f>
        <v>41096</v>
      </c>
      <c r="B1388" s="5">
        <f>Sheet1!B1388</f>
        <v>0.58333333333333337</v>
      </c>
      <c r="C1388" s="6">
        <f>Sheet1!C1388</f>
        <v>190.8</v>
      </c>
      <c r="D1388" s="6">
        <f>Sheet1!D1388</f>
        <v>193.15</v>
      </c>
      <c r="E1388" s="6">
        <f>Sheet1!E1388</f>
        <v>187.7</v>
      </c>
      <c r="F1388" s="6">
        <f>Sheet1!F1388</f>
        <v>188.35</v>
      </c>
      <c r="H1388" s="6">
        <f ca="1">IF(ROW($H1388)-1&lt;$I$1,$F1388,AVERAGE($F1388:OFFSET($F1388,(($I$1-1)*-1),0)))</f>
        <v>186.16666666666666</v>
      </c>
      <c r="J1388" s="6">
        <f ca="1">IF(ROW($J1388)-1&lt;$K$1,$F1388,AVERAGE($F1388:OFFSET($F1388,(($K$1-1)*-1),0)))</f>
        <v>173.6357142857143</v>
      </c>
      <c r="L1388" s="7">
        <f t="shared" ca="1" si="126"/>
        <v>1</v>
      </c>
      <c r="M1388" s="7" t="str">
        <f t="shared" ca="1" si="127"/>
        <v/>
      </c>
      <c r="N1388" s="6" t="str">
        <f t="shared" ca="1" si="128"/>
        <v/>
      </c>
      <c r="O1388" s="6">
        <f t="shared" si="129"/>
        <v>-3.9000000000000057</v>
      </c>
      <c r="Q1388" s="6">
        <v>12.699999999999989</v>
      </c>
      <c r="R1388" s="9">
        <f t="shared" si="130"/>
        <v>4762.4999999999955</v>
      </c>
      <c r="S1388" s="7">
        <f t="shared" si="131"/>
        <v>5193.7500000000146</v>
      </c>
    </row>
    <row r="1389" spans="1:19" x14ac:dyDescent="0.25">
      <c r="A1389" s="4">
        <f>Sheet1!A1389</f>
        <v>41099</v>
      </c>
      <c r="B1389" s="5">
        <f>Sheet1!B1389</f>
        <v>0.58333333333333337</v>
      </c>
      <c r="C1389" s="6">
        <f>Sheet1!C1389</f>
        <v>187.9</v>
      </c>
      <c r="D1389" s="6">
        <f>Sheet1!D1389</f>
        <v>194.7</v>
      </c>
      <c r="E1389" s="6">
        <f>Sheet1!E1389</f>
        <v>187</v>
      </c>
      <c r="F1389" s="6">
        <f>Sheet1!F1389</f>
        <v>194.25</v>
      </c>
      <c r="H1389" s="6">
        <f ca="1">IF(ROW($H1389)-1&lt;$I$1,$F1389,AVERAGE($F1389:OFFSET($F1389,(($I$1-1)*-1),0)))</f>
        <v>189.38333333333335</v>
      </c>
      <c r="J1389" s="6">
        <f ca="1">IF(ROW($J1389)-1&lt;$K$1,$F1389,AVERAGE($F1389:OFFSET($F1389,(($K$1-1)*-1),0)))</f>
        <v>174.17678571428573</v>
      </c>
      <c r="L1389" s="7">
        <f t="shared" ca="1" si="126"/>
        <v>1</v>
      </c>
      <c r="M1389" s="7" t="str">
        <f t="shared" ca="1" si="127"/>
        <v/>
      </c>
      <c r="N1389" s="6" t="str">
        <f t="shared" ca="1" si="128"/>
        <v/>
      </c>
      <c r="O1389" s="6">
        <f t="shared" si="129"/>
        <v>5.9000000000000057</v>
      </c>
      <c r="Q1389" s="6">
        <v>18.599999999999994</v>
      </c>
      <c r="R1389" s="9">
        <f t="shared" si="130"/>
        <v>6974.9999999999982</v>
      </c>
      <c r="S1389" s="7">
        <f t="shared" si="131"/>
        <v>5193.7500000000146</v>
      </c>
    </row>
    <row r="1390" spans="1:19" x14ac:dyDescent="0.25">
      <c r="A1390" s="4">
        <f>Sheet1!A1390</f>
        <v>41100</v>
      </c>
      <c r="B1390" s="5">
        <f>Sheet1!B1390</f>
        <v>0.58333333333333337</v>
      </c>
      <c r="C1390" s="6">
        <f>Sheet1!C1390</f>
        <v>193.6</v>
      </c>
      <c r="D1390" s="6">
        <f>Sheet1!D1390</f>
        <v>198.5</v>
      </c>
      <c r="E1390" s="6">
        <f>Sheet1!E1390</f>
        <v>192.1</v>
      </c>
      <c r="F1390" s="6">
        <f>Sheet1!F1390</f>
        <v>196.4</v>
      </c>
      <c r="H1390" s="6">
        <f ca="1">IF(ROW($H1390)-1&lt;$I$1,$F1390,AVERAGE($F1390:OFFSET($F1390,(($I$1-1)*-1),0)))</f>
        <v>191.68333333333337</v>
      </c>
      <c r="J1390" s="6">
        <f ca="1">IF(ROW($J1390)-1&lt;$K$1,$F1390,AVERAGE($F1390:OFFSET($F1390,(($K$1-1)*-1),0)))</f>
        <v>174.83035714285714</v>
      </c>
      <c r="L1390" s="7">
        <f t="shared" ca="1" si="126"/>
        <v>1</v>
      </c>
      <c r="M1390" s="7" t="str">
        <f t="shared" ca="1" si="127"/>
        <v/>
      </c>
      <c r="N1390" s="6" t="str">
        <f t="shared" ca="1" si="128"/>
        <v/>
      </c>
      <c r="O1390" s="6">
        <f t="shared" si="129"/>
        <v>2.1500000000000057</v>
      </c>
      <c r="Q1390" s="6">
        <v>20.75</v>
      </c>
      <c r="R1390" s="9">
        <f t="shared" si="130"/>
        <v>7781.25</v>
      </c>
      <c r="S1390" s="7">
        <f t="shared" si="131"/>
        <v>5193.7500000000146</v>
      </c>
    </row>
    <row r="1391" spans="1:19" x14ac:dyDescent="0.25">
      <c r="A1391" s="4">
        <f>Sheet1!A1391</f>
        <v>41101</v>
      </c>
      <c r="B1391" s="5">
        <f>Sheet1!B1391</f>
        <v>0.58333333333333337</v>
      </c>
      <c r="C1391" s="6">
        <f>Sheet1!C1391</f>
        <v>195.55</v>
      </c>
      <c r="D1391" s="6">
        <f>Sheet1!D1391</f>
        <v>204.1</v>
      </c>
      <c r="E1391" s="6">
        <f>Sheet1!E1391</f>
        <v>194.55</v>
      </c>
      <c r="F1391" s="6">
        <f>Sheet1!F1391</f>
        <v>196.6</v>
      </c>
      <c r="H1391" s="6">
        <f ca="1">IF(ROW($H1391)-1&lt;$I$1,$F1391,AVERAGE($F1391:OFFSET($F1391,(($I$1-1)*-1),0)))</f>
        <v>193.36666666666667</v>
      </c>
      <c r="J1391" s="6">
        <f ca="1">IF(ROW($J1391)-1&lt;$K$1,$F1391,AVERAGE($F1391:OFFSET($F1391,(($K$1-1)*-1),0)))</f>
        <v>175.625</v>
      </c>
      <c r="L1391" s="7">
        <f t="shared" ca="1" si="126"/>
        <v>1</v>
      </c>
      <c r="M1391" s="7" t="str">
        <f t="shared" ca="1" si="127"/>
        <v/>
      </c>
      <c r="N1391" s="6" t="str">
        <f t="shared" ca="1" si="128"/>
        <v/>
      </c>
      <c r="O1391" s="6">
        <f t="shared" si="129"/>
        <v>0.19999999999998863</v>
      </c>
      <c r="Q1391" s="6">
        <v>20.949999999999989</v>
      </c>
      <c r="R1391" s="9">
        <f t="shared" si="130"/>
        <v>7856.2499999999955</v>
      </c>
      <c r="S1391" s="7">
        <f t="shared" si="131"/>
        <v>5193.7500000000146</v>
      </c>
    </row>
    <row r="1392" spans="1:19" x14ac:dyDescent="0.25">
      <c r="A1392" s="4">
        <f>Sheet1!A1392</f>
        <v>41102</v>
      </c>
      <c r="B1392" s="5">
        <f>Sheet1!B1392</f>
        <v>0.58333333333333337</v>
      </c>
      <c r="C1392" s="6">
        <f>Sheet1!C1392</f>
        <v>196.6</v>
      </c>
      <c r="D1392" s="6">
        <f>Sheet1!D1392</f>
        <v>196.65</v>
      </c>
      <c r="E1392" s="6">
        <f>Sheet1!E1392</f>
        <v>190.05</v>
      </c>
      <c r="F1392" s="6">
        <f>Sheet1!F1392</f>
        <v>193.95</v>
      </c>
      <c r="H1392" s="6">
        <f ca="1">IF(ROW($H1392)-1&lt;$I$1,$F1392,AVERAGE($F1392:OFFSET($F1392,(($I$1-1)*-1),0)))</f>
        <v>193.63333333333333</v>
      </c>
      <c r="J1392" s="6">
        <f ca="1">IF(ROW($J1392)-1&lt;$K$1,$F1392,AVERAGE($F1392:OFFSET($F1392,(($K$1-1)*-1),0)))</f>
        <v>176.4375</v>
      </c>
      <c r="L1392" s="7">
        <f t="shared" ca="1" si="126"/>
        <v>1</v>
      </c>
      <c r="M1392" s="7" t="str">
        <f t="shared" ca="1" si="127"/>
        <v/>
      </c>
      <c r="N1392" s="6" t="str">
        <f t="shared" ca="1" si="128"/>
        <v/>
      </c>
      <c r="O1392" s="6">
        <f t="shared" si="129"/>
        <v>-2.6500000000000057</v>
      </c>
      <c r="Q1392" s="6">
        <v>18.299999999999983</v>
      </c>
      <c r="R1392" s="9">
        <f t="shared" si="130"/>
        <v>6862.4999999999936</v>
      </c>
      <c r="S1392" s="7">
        <f t="shared" si="131"/>
        <v>5193.7500000000146</v>
      </c>
    </row>
    <row r="1393" spans="1:19" x14ac:dyDescent="0.25">
      <c r="A1393" s="4">
        <f>Sheet1!A1393</f>
        <v>41103</v>
      </c>
      <c r="B1393" s="5">
        <f>Sheet1!B1393</f>
        <v>0.58333333333333337</v>
      </c>
      <c r="C1393" s="6">
        <f>Sheet1!C1393</f>
        <v>194.1</v>
      </c>
      <c r="D1393" s="6">
        <f>Sheet1!D1393</f>
        <v>199.65</v>
      </c>
      <c r="E1393" s="6">
        <f>Sheet1!E1393</f>
        <v>194.1</v>
      </c>
      <c r="F1393" s="6">
        <f>Sheet1!F1393</f>
        <v>198</v>
      </c>
      <c r="H1393" s="6">
        <f ca="1">IF(ROW($H1393)-1&lt;$I$1,$F1393,AVERAGE($F1393:OFFSET($F1393,(($I$1-1)*-1),0)))</f>
        <v>194.59166666666667</v>
      </c>
      <c r="J1393" s="6">
        <f ca="1">IF(ROW($J1393)-1&lt;$K$1,$F1393,AVERAGE($F1393:OFFSET($F1393,(($K$1-1)*-1),0)))</f>
        <v>177.36071428571427</v>
      </c>
      <c r="L1393" s="7">
        <f t="shared" ca="1" si="126"/>
        <v>1</v>
      </c>
      <c r="M1393" s="7" t="str">
        <f t="shared" ca="1" si="127"/>
        <v/>
      </c>
      <c r="N1393" s="6" t="str">
        <f t="shared" ca="1" si="128"/>
        <v/>
      </c>
      <c r="O1393" s="6">
        <f t="shared" si="129"/>
        <v>4.0500000000000114</v>
      </c>
      <c r="Q1393" s="6">
        <v>22.349999999999994</v>
      </c>
      <c r="R1393" s="9">
        <f t="shared" si="130"/>
        <v>8381.2499999999982</v>
      </c>
      <c r="S1393" s="7">
        <f t="shared" si="131"/>
        <v>5193.7500000000146</v>
      </c>
    </row>
    <row r="1394" spans="1:19" x14ac:dyDescent="0.25">
      <c r="A1394" s="4">
        <f>Sheet1!A1394</f>
        <v>41106</v>
      </c>
      <c r="B1394" s="5">
        <f>Sheet1!B1394</f>
        <v>0.58333333333333337</v>
      </c>
      <c r="C1394" s="6">
        <f>Sheet1!C1394</f>
        <v>197.55</v>
      </c>
      <c r="D1394" s="6">
        <f>Sheet1!D1394</f>
        <v>200.1</v>
      </c>
      <c r="E1394" s="6">
        <f>Sheet1!E1394</f>
        <v>194.95</v>
      </c>
      <c r="F1394" s="6">
        <f>Sheet1!F1394</f>
        <v>195.85</v>
      </c>
      <c r="H1394" s="6">
        <f ca="1">IF(ROW($H1394)-1&lt;$I$1,$F1394,AVERAGE($F1394:OFFSET($F1394,(($I$1-1)*-1),0)))</f>
        <v>195.84166666666667</v>
      </c>
      <c r="J1394" s="6">
        <f ca="1">IF(ROW($J1394)-1&lt;$K$1,$F1394,AVERAGE($F1394:OFFSET($F1394,(($K$1-1)*-1),0)))</f>
        <v>178.28749999999999</v>
      </c>
      <c r="L1394" s="7">
        <f t="shared" ca="1" si="126"/>
        <v>1</v>
      </c>
      <c r="M1394" s="7" t="str">
        <f t="shared" ca="1" si="127"/>
        <v/>
      </c>
      <c r="N1394" s="6" t="str">
        <f t="shared" ca="1" si="128"/>
        <v/>
      </c>
      <c r="O1394" s="6">
        <f t="shared" si="129"/>
        <v>-2.1500000000000057</v>
      </c>
      <c r="Q1394" s="6">
        <v>20.199999999999989</v>
      </c>
      <c r="R1394" s="9">
        <f t="shared" si="130"/>
        <v>7574.9999999999955</v>
      </c>
      <c r="S1394" s="7">
        <f t="shared" si="131"/>
        <v>5193.7500000000146</v>
      </c>
    </row>
    <row r="1395" spans="1:19" x14ac:dyDescent="0.25">
      <c r="A1395" s="4">
        <f>Sheet1!A1395</f>
        <v>41107</v>
      </c>
      <c r="B1395" s="5">
        <f>Sheet1!B1395</f>
        <v>0.58333333333333337</v>
      </c>
      <c r="C1395" s="6">
        <f>Sheet1!C1395</f>
        <v>195.8</v>
      </c>
      <c r="D1395" s="6">
        <f>Sheet1!D1395</f>
        <v>196.25</v>
      </c>
      <c r="E1395" s="6">
        <f>Sheet1!E1395</f>
        <v>190.9</v>
      </c>
      <c r="F1395" s="6">
        <f>Sheet1!F1395</f>
        <v>193.75</v>
      </c>
      <c r="H1395" s="6">
        <f ca="1">IF(ROW($H1395)-1&lt;$I$1,$F1395,AVERAGE($F1395:OFFSET($F1395,(($I$1-1)*-1),0)))</f>
        <v>195.75833333333335</v>
      </c>
      <c r="J1395" s="6">
        <f ca="1">IF(ROW($J1395)-1&lt;$K$1,$F1395,AVERAGE($F1395:OFFSET($F1395,(($K$1-1)*-1),0)))</f>
        <v>179.15</v>
      </c>
      <c r="L1395" s="7">
        <f t="shared" ca="1" si="126"/>
        <v>1</v>
      </c>
      <c r="M1395" s="7" t="str">
        <f t="shared" ca="1" si="127"/>
        <v/>
      </c>
      <c r="N1395" s="6" t="str">
        <f t="shared" ca="1" si="128"/>
        <v/>
      </c>
      <c r="O1395" s="6">
        <f t="shared" si="129"/>
        <v>-2.0999999999999943</v>
      </c>
      <c r="Q1395" s="6">
        <v>18.099999999999994</v>
      </c>
      <c r="R1395" s="9">
        <f t="shared" si="130"/>
        <v>6787.4999999999982</v>
      </c>
      <c r="S1395" s="7">
        <f t="shared" si="131"/>
        <v>5193.7500000000146</v>
      </c>
    </row>
    <row r="1396" spans="1:19" x14ac:dyDescent="0.25">
      <c r="A1396" s="4">
        <f>Sheet1!A1396</f>
        <v>41108</v>
      </c>
      <c r="B1396" s="5">
        <f>Sheet1!B1396</f>
        <v>0.58333333333333337</v>
      </c>
      <c r="C1396" s="6">
        <f>Sheet1!C1396</f>
        <v>194.2</v>
      </c>
      <c r="D1396" s="6">
        <f>Sheet1!D1396</f>
        <v>195.35</v>
      </c>
      <c r="E1396" s="6">
        <f>Sheet1!E1396</f>
        <v>189.3</v>
      </c>
      <c r="F1396" s="6">
        <f>Sheet1!F1396</f>
        <v>194.05</v>
      </c>
      <c r="H1396" s="6">
        <f ca="1">IF(ROW($H1396)-1&lt;$I$1,$F1396,AVERAGE($F1396:OFFSET($F1396,(($I$1-1)*-1),0)))</f>
        <v>195.36666666666667</v>
      </c>
      <c r="J1396" s="6">
        <f ca="1">IF(ROW($J1396)-1&lt;$K$1,$F1396,AVERAGE($F1396:OFFSET($F1396,(($K$1-1)*-1),0)))</f>
        <v>179.99642857142859</v>
      </c>
      <c r="L1396" s="7">
        <f t="shared" ca="1" si="126"/>
        <v>1</v>
      </c>
      <c r="M1396" s="7" t="str">
        <f t="shared" ca="1" si="127"/>
        <v/>
      </c>
      <c r="N1396" s="6" t="str">
        <f t="shared" ca="1" si="128"/>
        <v/>
      </c>
      <c r="O1396" s="6">
        <f t="shared" si="129"/>
        <v>0.30000000000001137</v>
      </c>
      <c r="Q1396" s="6">
        <v>18.400000000000006</v>
      </c>
      <c r="R1396" s="9">
        <f t="shared" si="130"/>
        <v>6900.0000000000018</v>
      </c>
      <c r="S1396" s="7">
        <f t="shared" si="131"/>
        <v>5193.7500000000146</v>
      </c>
    </row>
    <row r="1397" spans="1:19" x14ac:dyDescent="0.25">
      <c r="A1397" s="4">
        <f>Sheet1!A1397</f>
        <v>41109</v>
      </c>
      <c r="B1397" s="5">
        <f>Sheet1!B1397</f>
        <v>0.58333333333333337</v>
      </c>
      <c r="C1397" s="6">
        <f>Sheet1!C1397</f>
        <v>194.35</v>
      </c>
      <c r="D1397" s="6">
        <f>Sheet1!D1397</f>
        <v>201.3</v>
      </c>
      <c r="E1397" s="6">
        <f>Sheet1!E1397</f>
        <v>193.95</v>
      </c>
      <c r="F1397" s="6">
        <f>Sheet1!F1397</f>
        <v>200.85</v>
      </c>
      <c r="H1397" s="6">
        <f ca="1">IF(ROW($H1397)-1&lt;$I$1,$F1397,AVERAGE($F1397:OFFSET($F1397,(($I$1-1)*-1),0)))</f>
        <v>196.07499999999996</v>
      </c>
      <c r="J1397" s="6">
        <f ca="1">IF(ROW($J1397)-1&lt;$K$1,$F1397,AVERAGE($F1397:OFFSET($F1397,(($K$1-1)*-1),0)))</f>
        <v>181.12321428571428</v>
      </c>
      <c r="L1397" s="7">
        <f t="shared" ca="1" si="126"/>
        <v>1</v>
      </c>
      <c r="M1397" s="7" t="str">
        <f t="shared" ca="1" si="127"/>
        <v/>
      </c>
      <c r="N1397" s="6" t="str">
        <f t="shared" ca="1" si="128"/>
        <v/>
      </c>
      <c r="O1397" s="6">
        <f t="shared" si="129"/>
        <v>6.7999999999999829</v>
      </c>
      <c r="Q1397" s="6">
        <v>25.199999999999989</v>
      </c>
      <c r="R1397" s="9">
        <f t="shared" si="130"/>
        <v>9449.9999999999964</v>
      </c>
      <c r="S1397" s="7">
        <f t="shared" si="131"/>
        <v>5193.7500000000146</v>
      </c>
    </row>
    <row r="1398" spans="1:19" x14ac:dyDescent="0.25">
      <c r="A1398" s="4">
        <f>Sheet1!A1398</f>
        <v>41110</v>
      </c>
      <c r="B1398" s="5">
        <f>Sheet1!B1398</f>
        <v>0.58333333333333337</v>
      </c>
      <c r="C1398" s="6">
        <f>Sheet1!C1398</f>
        <v>200.8</v>
      </c>
      <c r="D1398" s="6">
        <f>Sheet1!D1398</f>
        <v>202.75</v>
      </c>
      <c r="E1398" s="6">
        <f>Sheet1!E1398</f>
        <v>198</v>
      </c>
      <c r="F1398" s="6">
        <f>Sheet1!F1398</f>
        <v>198.85</v>
      </c>
      <c r="H1398" s="6">
        <f ca="1">IF(ROW($H1398)-1&lt;$I$1,$F1398,AVERAGE($F1398:OFFSET($F1398,(($I$1-1)*-1),0)))</f>
        <v>196.89166666666668</v>
      </c>
      <c r="J1398" s="6">
        <f ca="1">IF(ROW($J1398)-1&lt;$K$1,$F1398,AVERAGE($F1398:OFFSET($F1398,(($K$1-1)*-1),0)))</f>
        <v>182.20357142857145</v>
      </c>
      <c r="L1398" s="7">
        <f t="shared" ca="1" si="126"/>
        <v>1</v>
      </c>
      <c r="M1398" s="7" t="str">
        <f t="shared" ca="1" si="127"/>
        <v/>
      </c>
      <c r="N1398" s="6" t="str">
        <f t="shared" ca="1" si="128"/>
        <v/>
      </c>
      <c r="O1398" s="6">
        <f t="shared" si="129"/>
        <v>-2</v>
      </c>
      <c r="Q1398" s="6">
        <v>23.199999999999989</v>
      </c>
      <c r="R1398" s="9">
        <f t="shared" si="130"/>
        <v>8699.9999999999964</v>
      </c>
      <c r="S1398" s="7">
        <f t="shared" si="131"/>
        <v>5193.7500000000146</v>
      </c>
    </row>
    <row r="1399" spans="1:19" x14ac:dyDescent="0.25">
      <c r="A1399" s="4">
        <f>Sheet1!A1399</f>
        <v>41113</v>
      </c>
      <c r="B1399" s="5">
        <f>Sheet1!B1399</f>
        <v>0.58333333333333337</v>
      </c>
      <c r="C1399" s="6">
        <f>Sheet1!C1399</f>
        <v>197.75</v>
      </c>
      <c r="D1399" s="6">
        <f>Sheet1!D1399</f>
        <v>198.3</v>
      </c>
      <c r="E1399" s="6">
        <f>Sheet1!E1399</f>
        <v>195</v>
      </c>
      <c r="F1399" s="6">
        <f>Sheet1!F1399</f>
        <v>197</v>
      </c>
      <c r="H1399" s="6">
        <f ca="1">IF(ROW($H1399)-1&lt;$I$1,$F1399,AVERAGE($F1399:OFFSET($F1399,(($I$1-1)*-1),0)))</f>
        <v>196.72500000000002</v>
      </c>
      <c r="J1399" s="6">
        <f ca="1">IF(ROW($J1399)-1&lt;$K$1,$F1399,AVERAGE($F1399:OFFSET($F1399,(($K$1-1)*-1),0)))</f>
        <v>183.26607142857145</v>
      </c>
      <c r="L1399" s="7">
        <f t="shared" ca="1" si="126"/>
        <v>1</v>
      </c>
      <c r="M1399" s="7" t="str">
        <f t="shared" ca="1" si="127"/>
        <v/>
      </c>
      <c r="N1399" s="6" t="str">
        <f t="shared" ca="1" si="128"/>
        <v/>
      </c>
      <c r="O1399" s="6">
        <f t="shared" si="129"/>
        <v>-1.8499999999999943</v>
      </c>
      <c r="Q1399" s="6">
        <v>21.349999999999994</v>
      </c>
      <c r="R1399" s="9">
        <f t="shared" si="130"/>
        <v>8006.2499999999982</v>
      </c>
      <c r="S1399" s="7">
        <f t="shared" si="131"/>
        <v>5193.7500000000146</v>
      </c>
    </row>
    <row r="1400" spans="1:19" x14ac:dyDescent="0.25">
      <c r="A1400" s="4">
        <f>Sheet1!A1400</f>
        <v>41114</v>
      </c>
      <c r="B1400" s="5">
        <f>Sheet1!B1400</f>
        <v>0.58333333333333337</v>
      </c>
      <c r="C1400" s="6">
        <f>Sheet1!C1400</f>
        <v>196.3</v>
      </c>
      <c r="D1400" s="6">
        <f>Sheet1!D1400</f>
        <v>197.35</v>
      </c>
      <c r="E1400" s="6">
        <f>Sheet1!E1400</f>
        <v>185.6</v>
      </c>
      <c r="F1400" s="6">
        <f>Sheet1!F1400</f>
        <v>187.35</v>
      </c>
      <c r="H1400" s="6">
        <f ca="1">IF(ROW($H1400)-1&lt;$I$1,$F1400,AVERAGE($F1400:OFFSET($F1400,(($I$1-1)*-1),0)))</f>
        <v>195.30833333333331</v>
      </c>
      <c r="J1400" s="6">
        <f ca="1">IF(ROW($J1400)-1&lt;$K$1,$F1400,AVERAGE($F1400:OFFSET($F1400,(($K$1-1)*-1),0)))</f>
        <v>184.02500000000006</v>
      </c>
      <c r="L1400" s="7">
        <f t="shared" ca="1" si="126"/>
        <v>1</v>
      </c>
      <c r="M1400" s="7" t="str">
        <f t="shared" ca="1" si="127"/>
        <v/>
      </c>
      <c r="N1400" s="6" t="str">
        <f t="shared" ca="1" si="128"/>
        <v/>
      </c>
      <c r="O1400" s="6">
        <f t="shared" si="129"/>
        <v>-9.6500000000000057</v>
      </c>
      <c r="Q1400" s="6">
        <v>11.699999999999989</v>
      </c>
      <c r="R1400" s="9">
        <f t="shared" si="130"/>
        <v>4387.4999999999955</v>
      </c>
      <c r="S1400" s="7">
        <f t="shared" si="131"/>
        <v>5193.7500000000146</v>
      </c>
    </row>
    <row r="1401" spans="1:19" x14ac:dyDescent="0.25">
      <c r="A1401" s="4">
        <f>Sheet1!A1401</f>
        <v>41115</v>
      </c>
      <c r="B1401" s="5">
        <f>Sheet1!B1401</f>
        <v>0.58333333333333337</v>
      </c>
      <c r="C1401" s="6">
        <f>Sheet1!C1401</f>
        <v>187.35</v>
      </c>
      <c r="D1401" s="6">
        <f>Sheet1!D1401</f>
        <v>190.35</v>
      </c>
      <c r="E1401" s="6">
        <f>Sheet1!E1401</f>
        <v>185.9</v>
      </c>
      <c r="F1401" s="6">
        <f>Sheet1!F1401</f>
        <v>188.2</v>
      </c>
      <c r="H1401" s="6">
        <f ca="1">IF(ROW($H1401)-1&lt;$I$1,$F1401,AVERAGE($F1401:OFFSET($F1401,(($I$1-1)*-1),0)))</f>
        <v>194.38333333333333</v>
      </c>
      <c r="J1401" s="6">
        <f ca="1">IF(ROW($J1401)-1&lt;$K$1,$F1401,AVERAGE($F1401:OFFSET($F1401,(($K$1-1)*-1),0)))</f>
        <v>184.92678571428573</v>
      </c>
      <c r="L1401" s="7">
        <f t="shared" ca="1" si="126"/>
        <v>1</v>
      </c>
      <c r="M1401" s="7" t="str">
        <f t="shared" ca="1" si="127"/>
        <v/>
      </c>
      <c r="N1401" s="6" t="str">
        <f t="shared" ca="1" si="128"/>
        <v/>
      </c>
      <c r="O1401" s="6">
        <f t="shared" si="129"/>
        <v>0.84999999999999432</v>
      </c>
      <c r="Q1401" s="6">
        <v>12.549999999999983</v>
      </c>
      <c r="R1401" s="9">
        <f t="shared" si="130"/>
        <v>4706.2499999999936</v>
      </c>
      <c r="S1401" s="7">
        <f t="shared" si="131"/>
        <v>5193.7500000000146</v>
      </c>
    </row>
    <row r="1402" spans="1:19" x14ac:dyDescent="0.25">
      <c r="A1402" s="4">
        <f>Sheet1!A1402</f>
        <v>41116</v>
      </c>
      <c r="B1402" s="5">
        <f>Sheet1!B1402</f>
        <v>0.58333333333333337</v>
      </c>
      <c r="C1402" s="6">
        <f>Sheet1!C1402</f>
        <v>188.2</v>
      </c>
      <c r="D1402" s="6">
        <f>Sheet1!D1402</f>
        <v>191.4</v>
      </c>
      <c r="E1402" s="6">
        <f>Sheet1!E1402</f>
        <v>185</v>
      </c>
      <c r="F1402" s="6">
        <f>Sheet1!F1402</f>
        <v>185.95</v>
      </c>
      <c r="H1402" s="6">
        <f ca="1">IF(ROW($H1402)-1&lt;$I$1,$F1402,AVERAGE($F1402:OFFSET($F1402,(($I$1-1)*-1),0)))</f>
        <v>193.03333333333333</v>
      </c>
      <c r="J1402" s="6">
        <f ca="1">IF(ROW($J1402)-1&lt;$K$1,$F1402,AVERAGE($F1402:OFFSET($F1402,(($K$1-1)*-1),0)))</f>
        <v>185.71428571428572</v>
      </c>
      <c r="L1402" s="7">
        <f t="shared" ca="1" si="126"/>
        <v>1</v>
      </c>
      <c r="M1402" s="7" t="str">
        <f t="shared" ca="1" si="127"/>
        <v/>
      </c>
      <c r="N1402" s="6" t="str">
        <f t="shared" ca="1" si="128"/>
        <v/>
      </c>
      <c r="O1402" s="6">
        <f t="shared" si="129"/>
        <v>-2.25</v>
      </c>
      <c r="Q1402" s="6">
        <v>10.299999999999983</v>
      </c>
      <c r="R1402" s="9">
        <f t="shared" si="130"/>
        <v>3862.4999999999936</v>
      </c>
      <c r="S1402" s="7">
        <f t="shared" si="131"/>
        <v>5193.7500000000146</v>
      </c>
    </row>
    <row r="1403" spans="1:19" x14ac:dyDescent="0.25">
      <c r="A1403" s="4">
        <f>Sheet1!A1403</f>
        <v>41117</v>
      </c>
      <c r="B1403" s="5">
        <f>Sheet1!B1403</f>
        <v>0.58333333333333337</v>
      </c>
      <c r="C1403" s="6">
        <f>Sheet1!C1403</f>
        <v>185.95</v>
      </c>
      <c r="D1403" s="6">
        <f>Sheet1!D1403</f>
        <v>188.65</v>
      </c>
      <c r="E1403" s="6">
        <f>Sheet1!E1403</f>
        <v>184.95</v>
      </c>
      <c r="F1403" s="6">
        <f>Sheet1!F1403</f>
        <v>185.6</v>
      </c>
      <c r="H1403" s="6">
        <f ca="1">IF(ROW($H1403)-1&lt;$I$1,$F1403,AVERAGE($F1403:OFFSET($F1403,(($I$1-1)*-1),0)))</f>
        <v>190.49166666666667</v>
      </c>
      <c r="J1403" s="6">
        <f ca="1">IF(ROW($J1403)-1&lt;$K$1,$F1403,AVERAGE($F1403:OFFSET($F1403,(($K$1-1)*-1),0)))</f>
        <v>186.50714285714284</v>
      </c>
      <c r="L1403" s="7">
        <f t="shared" ca="1" si="126"/>
        <v>1</v>
      </c>
      <c r="M1403" s="7" t="str">
        <f t="shared" ca="1" si="127"/>
        <v/>
      </c>
      <c r="N1403" s="6" t="str">
        <f t="shared" ca="1" si="128"/>
        <v/>
      </c>
      <c r="O1403" s="6">
        <f t="shared" si="129"/>
        <v>-0.34999999999999432</v>
      </c>
      <c r="Q1403" s="6">
        <v>9.9499999999999886</v>
      </c>
      <c r="R1403" s="9">
        <f t="shared" si="130"/>
        <v>3731.2499999999959</v>
      </c>
      <c r="S1403" s="7">
        <f t="shared" si="131"/>
        <v>5193.7500000000146</v>
      </c>
    </row>
    <row r="1404" spans="1:19" x14ac:dyDescent="0.25">
      <c r="A1404" s="4">
        <f>Sheet1!A1404</f>
        <v>41120</v>
      </c>
      <c r="B1404" s="5">
        <f>Sheet1!B1404</f>
        <v>0.58333333333333337</v>
      </c>
      <c r="C1404" s="6">
        <f>Sheet1!C1404</f>
        <v>186.25</v>
      </c>
      <c r="D1404" s="6">
        <f>Sheet1!D1404</f>
        <v>190.8</v>
      </c>
      <c r="E1404" s="6">
        <f>Sheet1!E1404</f>
        <v>185.05</v>
      </c>
      <c r="F1404" s="6">
        <f>Sheet1!F1404</f>
        <v>190.25</v>
      </c>
      <c r="H1404" s="6">
        <f ca="1">IF(ROW($H1404)-1&lt;$I$1,$F1404,AVERAGE($F1404:OFFSET($F1404,(($I$1-1)*-1),0)))</f>
        <v>189.05833333333331</v>
      </c>
      <c r="J1404" s="6">
        <f ca="1">IF(ROW($J1404)-1&lt;$K$1,$F1404,AVERAGE($F1404:OFFSET($F1404,(($K$1-1)*-1),0)))</f>
        <v>187.20535714285714</v>
      </c>
      <c r="L1404" s="7">
        <f t="shared" ca="1" si="126"/>
        <v>1</v>
      </c>
      <c r="M1404" s="7" t="str">
        <f t="shared" ca="1" si="127"/>
        <v/>
      </c>
      <c r="N1404" s="6" t="str">
        <f t="shared" ca="1" si="128"/>
        <v/>
      </c>
      <c r="O1404" s="6">
        <f t="shared" si="129"/>
        <v>4.6500000000000057</v>
      </c>
      <c r="Q1404" s="6">
        <v>14.599999999999994</v>
      </c>
      <c r="R1404" s="9">
        <f t="shared" si="130"/>
        <v>5474.9999999999982</v>
      </c>
      <c r="S1404" s="7">
        <f t="shared" si="131"/>
        <v>5193.7500000000146</v>
      </c>
    </row>
    <row r="1405" spans="1:19" x14ac:dyDescent="0.25">
      <c r="A1405" s="4">
        <f>Sheet1!A1405</f>
        <v>41121</v>
      </c>
      <c r="B1405" s="5">
        <f>Sheet1!B1405</f>
        <v>0.58333333333333337</v>
      </c>
      <c r="C1405" s="6">
        <f>Sheet1!C1405</f>
        <v>190</v>
      </c>
      <c r="D1405" s="6">
        <f>Sheet1!D1405</f>
        <v>190.55</v>
      </c>
      <c r="E1405" s="6">
        <f>Sheet1!E1405</f>
        <v>184.6</v>
      </c>
      <c r="F1405" s="6">
        <f>Sheet1!F1405</f>
        <v>186.3</v>
      </c>
      <c r="H1405" s="6">
        <f ca="1">IF(ROW($H1405)-1&lt;$I$1,$F1405,AVERAGE($F1405:OFFSET($F1405,(($I$1-1)*-1),0)))</f>
        <v>187.27500000000001</v>
      </c>
      <c r="J1405" s="6">
        <f ca="1">IF(ROW($J1405)-1&lt;$K$1,$F1405,AVERAGE($F1405:OFFSET($F1405,(($K$1-1)*-1),0)))</f>
        <v>187.99107142857142</v>
      </c>
      <c r="L1405" s="7">
        <f t="shared" ca="1" si="126"/>
        <v>-1</v>
      </c>
      <c r="M1405" s="7">
        <f t="shared" ca="1" si="127"/>
        <v>-1</v>
      </c>
      <c r="N1405" s="6" t="str">
        <f t="shared" ca="1" si="128"/>
        <v/>
      </c>
      <c r="O1405" s="6">
        <f t="shared" si="129"/>
        <v>-3.9499999999999886</v>
      </c>
      <c r="Q1405" s="6">
        <v>10.650000000000006</v>
      </c>
      <c r="R1405" s="9">
        <f t="shared" si="130"/>
        <v>3993.7500000000023</v>
      </c>
      <c r="S1405" s="7">
        <f t="shared" si="131"/>
        <v>5193.7500000000146</v>
      </c>
    </row>
    <row r="1406" spans="1:19" x14ac:dyDescent="0.25">
      <c r="A1406" s="4">
        <f>Sheet1!A1406</f>
        <v>41122</v>
      </c>
      <c r="B1406" s="5">
        <f>Sheet1!B1406</f>
        <v>0.58333333333333337</v>
      </c>
      <c r="C1406" s="6">
        <f>Sheet1!C1406</f>
        <v>186.55</v>
      </c>
      <c r="D1406" s="6">
        <f>Sheet1!D1406</f>
        <v>187.5</v>
      </c>
      <c r="E1406" s="6">
        <f>Sheet1!E1406</f>
        <v>182.5</v>
      </c>
      <c r="F1406" s="6">
        <f>Sheet1!F1406</f>
        <v>186.5</v>
      </c>
      <c r="H1406" s="6">
        <f ca="1">IF(ROW($H1406)-1&lt;$I$1,$F1406,AVERAGE($F1406:OFFSET($F1406,(($I$1-1)*-1),0)))</f>
        <v>187.13333333333333</v>
      </c>
      <c r="J1406" s="6">
        <f ca="1">IF(ROW($J1406)-1&lt;$K$1,$F1406,AVERAGE($F1406:OFFSET($F1406,(($K$1-1)*-1),0)))</f>
        <v>188.5553571428571</v>
      </c>
      <c r="L1406" s="7">
        <f t="shared" ca="1" si="126"/>
        <v>-1</v>
      </c>
      <c r="M1406" s="7" t="str">
        <f t="shared" ca="1" si="127"/>
        <v/>
      </c>
      <c r="N1406" s="6">
        <f t="shared" ca="1" si="128"/>
        <v>186.55</v>
      </c>
      <c r="O1406" s="6">
        <f t="shared" si="129"/>
        <v>0.19999999999998863</v>
      </c>
      <c r="P1406" s="6">
        <v>10.900000000000006</v>
      </c>
      <c r="Q1406" s="6">
        <v>5.0000000000011369E-2</v>
      </c>
      <c r="R1406" s="9">
        <f t="shared" si="130"/>
        <v>18.750000000004263</v>
      </c>
      <c r="S1406" s="7">
        <f t="shared" si="131"/>
        <v>9281.2500000000164</v>
      </c>
    </row>
    <row r="1407" spans="1:19" x14ac:dyDescent="0.25">
      <c r="A1407" s="4">
        <f>Sheet1!A1407</f>
        <v>41123</v>
      </c>
      <c r="B1407" s="5">
        <f>Sheet1!B1407</f>
        <v>0.58333333333333337</v>
      </c>
      <c r="C1407" s="6">
        <f>Sheet1!C1407</f>
        <v>186.85</v>
      </c>
      <c r="D1407" s="6">
        <f>Sheet1!D1407</f>
        <v>187.25</v>
      </c>
      <c r="E1407" s="6">
        <f>Sheet1!E1407</f>
        <v>183.15</v>
      </c>
      <c r="F1407" s="6">
        <f>Sheet1!F1407</f>
        <v>183.55</v>
      </c>
      <c r="H1407" s="6">
        <f ca="1">IF(ROW($H1407)-1&lt;$I$1,$F1407,AVERAGE($F1407:OFFSET($F1407,(($I$1-1)*-1),0)))</f>
        <v>186.35833333333332</v>
      </c>
      <c r="J1407" s="6">
        <f ca="1">IF(ROW($J1407)-1&lt;$K$1,$F1407,AVERAGE($F1407:OFFSET($F1407,(($K$1-1)*-1),0)))</f>
        <v>189.11785714285716</v>
      </c>
      <c r="L1407" s="7">
        <f t="shared" ca="1" si="126"/>
        <v>-1</v>
      </c>
      <c r="M1407" s="7" t="str">
        <f t="shared" ca="1" si="127"/>
        <v/>
      </c>
      <c r="N1407" s="6" t="str">
        <f t="shared" ca="1" si="128"/>
        <v/>
      </c>
      <c r="O1407" s="6">
        <f t="shared" si="129"/>
        <v>-2.9499999999999886</v>
      </c>
      <c r="Q1407" s="6">
        <v>3</v>
      </c>
      <c r="R1407" s="9">
        <f t="shared" si="130"/>
        <v>1125</v>
      </c>
      <c r="S1407" s="7">
        <f t="shared" si="131"/>
        <v>9281.2500000000164</v>
      </c>
    </row>
    <row r="1408" spans="1:19" x14ac:dyDescent="0.25">
      <c r="A1408" s="4">
        <f>Sheet1!A1408</f>
        <v>41124</v>
      </c>
      <c r="B1408" s="5">
        <f>Sheet1!B1408</f>
        <v>0.58333333333333337</v>
      </c>
      <c r="C1408" s="6">
        <f>Sheet1!C1408</f>
        <v>183.55</v>
      </c>
      <c r="D1408" s="6">
        <f>Sheet1!D1408</f>
        <v>186.1</v>
      </c>
      <c r="E1408" s="6">
        <f>Sheet1!E1408</f>
        <v>183.2</v>
      </c>
      <c r="F1408" s="6">
        <f>Sheet1!F1408</f>
        <v>185.7</v>
      </c>
      <c r="H1408" s="6">
        <f ca="1">IF(ROW($H1408)-1&lt;$I$1,$F1408,AVERAGE($F1408:OFFSET($F1408,(($I$1-1)*-1),0)))</f>
        <v>186.31666666666669</v>
      </c>
      <c r="J1408" s="6">
        <f ca="1">IF(ROW($J1408)-1&lt;$K$1,$F1408,AVERAGE($F1408:OFFSET($F1408,(($K$1-1)*-1),0)))</f>
        <v>189.65535714285716</v>
      </c>
      <c r="L1408" s="7">
        <f t="shared" ca="1" si="126"/>
        <v>-1</v>
      </c>
      <c r="M1408" s="7" t="str">
        <f t="shared" ca="1" si="127"/>
        <v/>
      </c>
      <c r="N1408" s="6" t="str">
        <f t="shared" ca="1" si="128"/>
        <v/>
      </c>
      <c r="O1408" s="6">
        <f t="shared" si="129"/>
        <v>2.1499999999999773</v>
      </c>
      <c r="Q1408" s="6">
        <v>0.85000000000002274</v>
      </c>
      <c r="R1408" s="9">
        <f t="shared" si="130"/>
        <v>318.75000000000853</v>
      </c>
      <c r="S1408" s="7">
        <f t="shared" si="131"/>
        <v>9281.2500000000164</v>
      </c>
    </row>
    <row r="1409" spans="1:19" x14ac:dyDescent="0.25">
      <c r="A1409" s="4">
        <f>Sheet1!A1409</f>
        <v>41127</v>
      </c>
      <c r="B1409" s="5">
        <f>Sheet1!B1409</f>
        <v>0.58333333333333337</v>
      </c>
      <c r="C1409" s="6">
        <f>Sheet1!C1409</f>
        <v>185</v>
      </c>
      <c r="D1409" s="6">
        <f>Sheet1!D1409</f>
        <v>189.75</v>
      </c>
      <c r="E1409" s="6">
        <f>Sheet1!E1409</f>
        <v>184.9</v>
      </c>
      <c r="F1409" s="6">
        <f>Sheet1!F1409</f>
        <v>187.4</v>
      </c>
      <c r="H1409" s="6">
        <f ca="1">IF(ROW($H1409)-1&lt;$I$1,$F1409,AVERAGE($F1409:OFFSET($F1409,(($I$1-1)*-1),0)))</f>
        <v>186.61666666666667</v>
      </c>
      <c r="J1409" s="6">
        <f ca="1">IF(ROW($J1409)-1&lt;$K$1,$F1409,AVERAGE($F1409:OFFSET($F1409,(($K$1-1)*-1),0)))</f>
        <v>190.00357142857141</v>
      </c>
      <c r="L1409" s="7">
        <f t="shared" ca="1" si="126"/>
        <v>-1</v>
      </c>
      <c r="M1409" s="7" t="str">
        <f t="shared" ca="1" si="127"/>
        <v/>
      </c>
      <c r="N1409" s="6" t="str">
        <f t="shared" ca="1" si="128"/>
        <v/>
      </c>
      <c r="O1409" s="6">
        <f t="shared" si="129"/>
        <v>1.7000000000000171</v>
      </c>
      <c r="Q1409" s="6">
        <v>-0.84999999999999432</v>
      </c>
      <c r="R1409" s="9">
        <f t="shared" si="130"/>
        <v>-318.74999999999784</v>
      </c>
      <c r="S1409" s="7">
        <f t="shared" si="131"/>
        <v>9281.2500000000164</v>
      </c>
    </row>
    <row r="1410" spans="1:19" x14ac:dyDescent="0.25">
      <c r="A1410" s="4">
        <f>Sheet1!A1410</f>
        <v>41128</v>
      </c>
      <c r="B1410" s="5">
        <f>Sheet1!B1410</f>
        <v>0.58333333333333337</v>
      </c>
      <c r="C1410" s="6">
        <f>Sheet1!C1410</f>
        <v>187.4</v>
      </c>
      <c r="D1410" s="6">
        <f>Sheet1!D1410</f>
        <v>188.1</v>
      </c>
      <c r="E1410" s="6">
        <f>Sheet1!E1410</f>
        <v>184.3</v>
      </c>
      <c r="F1410" s="6">
        <f>Sheet1!F1410</f>
        <v>184.55</v>
      </c>
      <c r="H1410" s="6">
        <f ca="1">IF(ROW($H1410)-1&lt;$I$1,$F1410,AVERAGE($F1410:OFFSET($F1410,(($I$1-1)*-1),0)))</f>
        <v>185.66666666666666</v>
      </c>
      <c r="J1410" s="6">
        <f ca="1">IF(ROW($J1410)-1&lt;$K$1,$F1410,AVERAGE($F1410:OFFSET($F1410,(($K$1-1)*-1),0)))</f>
        <v>190.28214285714284</v>
      </c>
      <c r="L1410" s="7">
        <f t="shared" ca="1" si="126"/>
        <v>-1</v>
      </c>
      <c r="M1410" s="7" t="str">
        <f t="shared" ca="1" si="127"/>
        <v/>
      </c>
      <c r="N1410" s="6" t="str">
        <f t="shared" ca="1" si="128"/>
        <v/>
      </c>
      <c r="O1410" s="6">
        <f t="shared" si="129"/>
        <v>-2.8499999999999943</v>
      </c>
      <c r="Q1410" s="6">
        <v>2</v>
      </c>
      <c r="R1410" s="9">
        <f t="shared" si="130"/>
        <v>750</v>
      </c>
      <c r="S1410" s="7">
        <f t="shared" si="131"/>
        <v>9281.2500000000164</v>
      </c>
    </row>
    <row r="1411" spans="1:19" x14ac:dyDescent="0.25">
      <c r="A1411" s="4">
        <f>Sheet1!A1411</f>
        <v>41129</v>
      </c>
      <c r="B1411" s="5">
        <f>Sheet1!B1411</f>
        <v>0.58333333333333337</v>
      </c>
      <c r="C1411" s="6">
        <f>Sheet1!C1411</f>
        <v>184.65</v>
      </c>
      <c r="D1411" s="6">
        <f>Sheet1!D1411</f>
        <v>185</v>
      </c>
      <c r="E1411" s="6">
        <f>Sheet1!E1411</f>
        <v>181.8</v>
      </c>
      <c r="F1411" s="6">
        <f>Sheet1!F1411</f>
        <v>182.4</v>
      </c>
      <c r="H1411" s="6">
        <f ca="1">IF(ROW($H1411)-1&lt;$I$1,$F1411,AVERAGE($F1411:OFFSET($F1411,(($I$1-1)*-1),0)))</f>
        <v>185.01666666666668</v>
      </c>
      <c r="J1411" s="6">
        <f ca="1">IF(ROW($J1411)-1&lt;$K$1,$F1411,AVERAGE($F1411:OFFSET($F1411,(($K$1-1)*-1),0)))</f>
        <v>190.54821428571427</v>
      </c>
      <c r="L1411" s="7">
        <f t="shared" ref="L1411:L1474" ca="1" si="132">IF(ROW($L1411)&gt;($K$1),IF($H1411&gt;$J1411,1,IF($H1411&lt;$J1411,-1,$L1410*-1)),0)</f>
        <v>-1</v>
      </c>
      <c r="M1411" s="7" t="str">
        <f t="shared" ca="1" si="127"/>
        <v/>
      </c>
      <c r="N1411" s="6" t="str">
        <f t="shared" ca="1" si="128"/>
        <v/>
      </c>
      <c r="O1411" s="6">
        <f t="shared" si="129"/>
        <v>-2.1500000000000057</v>
      </c>
      <c r="Q1411" s="6">
        <v>4.1500000000000057</v>
      </c>
      <c r="R1411" s="9">
        <f t="shared" si="130"/>
        <v>1556.250000000002</v>
      </c>
      <c r="S1411" s="7">
        <f t="shared" si="131"/>
        <v>9281.2500000000164</v>
      </c>
    </row>
    <row r="1412" spans="1:19" x14ac:dyDescent="0.25">
      <c r="A1412" s="4">
        <f>Sheet1!A1412</f>
        <v>41130</v>
      </c>
      <c r="B1412" s="5">
        <f>Sheet1!B1412</f>
        <v>0.58333333333333337</v>
      </c>
      <c r="C1412" s="6">
        <f>Sheet1!C1412</f>
        <v>182.85</v>
      </c>
      <c r="D1412" s="6">
        <f>Sheet1!D1412</f>
        <v>183.25</v>
      </c>
      <c r="E1412" s="6">
        <f>Sheet1!E1412</f>
        <v>178.15</v>
      </c>
      <c r="F1412" s="6">
        <f>Sheet1!F1412</f>
        <v>178.35</v>
      </c>
      <c r="H1412" s="6">
        <f ca="1">IF(ROW($H1412)-1&lt;$I$1,$F1412,AVERAGE($F1412:OFFSET($F1412,(($I$1-1)*-1),0)))</f>
        <v>183.65833333333333</v>
      </c>
      <c r="J1412" s="6">
        <f ca="1">IF(ROW($J1412)-1&lt;$K$1,$F1412,AVERAGE($F1412:OFFSET($F1412,(($K$1-1)*-1),0)))</f>
        <v>190.39642857142854</v>
      </c>
      <c r="L1412" s="7">
        <f t="shared" ca="1" si="132"/>
        <v>-1</v>
      </c>
      <c r="M1412" s="7" t="str">
        <f t="shared" ref="M1412:M1475" ca="1" si="133">IF(L1412&lt;&gt;L1411,L1412,"")</f>
        <v/>
      </c>
      <c r="N1412" s="6" t="str">
        <f t="shared" ref="N1412:N1475" ca="1" si="134">IF(M1411&lt;&gt;"",C1412,"")</f>
        <v/>
      </c>
      <c r="O1412" s="6">
        <f t="shared" ref="O1412:O1475" si="135">F1412-F1411</f>
        <v>-4.0500000000000114</v>
      </c>
      <c r="Q1412" s="6">
        <v>8.2000000000000171</v>
      </c>
      <c r="R1412" s="9">
        <f t="shared" ref="R1412:R1475" si="136">IF(Q1412="","",Q1412*375)</f>
        <v>3075.0000000000064</v>
      </c>
      <c r="S1412" s="7">
        <f t="shared" si="131"/>
        <v>9281.2500000000164</v>
      </c>
    </row>
    <row r="1413" spans="1:19" x14ac:dyDescent="0.25">
      <c r="A1413" s="4">
        <f>Sheet1!A1413</f>
        <v>41131</v>
      </c>
      <c r="B1413" s="5">
        <f>Sheet1!B1413</f>
        <v>0.58333333333333337</v>
      </c>
      <c r="C1413" s="6">
        <f>Sheet1!C1413</f>
        <v>178.9</v>
      </c>
      <c r="D1413" s="6">
        <f>Sheet1!D1413</f>
        <v>179.35</v>
      </c>
      <c r="E1413" s="6">
        <f>Sheet1!E1413</f>
        <v>176.1</v>
      </c>
      <c r="F1413" s="6">
        <f>Sheet1!F1413</f>
        <v>178.15</v>
      </c>
      <c r="H1413" s="6">
        <f ca="1">IF(ROW($H1413)-1&lt;$I$1,$F1413,AVERAGE($F1413:OFFSET($F1413,(($I$1-1)*-1),0)))</f>
        <v>182.75833333333335</v>
      </c>
      <c r="J1413" s="6">
        <f ca="1">IF(ROW($J1413)-1&lt;$K$1,$F1413,AVERAGE($F1413:OFFSET($F1413,(($K$1-1)*-1),0)))</f>
        <v>190.09821428571425</v>
      </c>
      <c r="L1413" s="7">
        <f t="shared" ca="1" si="132"/>
        <v>-1</v>
      </c>
      <c r="M1413" s="7" t="str">
        <f t="shared" ca="1" si="133"/>
        <v/>
      </c>
      <c r="N1413" s="6" t="str">
        <f t="shared" ca="1" si="134"/>
        <v/>
      </c>
      <c r="O1413" s="6">
        <f t="shared" si="135"/>
        <v>-0.19999999999998863</v>
      </c>
      <c r="Q1413" s="6">
        <v>8.4000000000000057</v>
      </c>
      <c r="R1413" s="9">
        <f t="shared" si="136"/>
        <v>3150.0000000000023</v>
      </c>
      <c r="S1413" s="7">
        <f t="shared" si="131"/>
        <v>9281.2500000000164</v>
      </c>
    </row>
    <row r="1414" spans="1:19" x14ac:dyDescent="0.25">
      <c r="A1414" s="4">
        <f>Sheet1!A1414</f>
        <v>41134</v>
      </c>
      <c r="B1414" s="5">
        <f>Sheet1!B1414</f>
        <v>0.58333333333333337</v>
      </c>
      <c r="C1414" s="6">
        <f>Sheet1!C1414</f>
        <v>178.15</v>
      </c>
      <c r="D1414" s="6">
        <f>Sheet1!D1414</f>
        <v>179.1</v>
      </c>
      <c r="E1414" s="6">
        <f>Sheet1!E1414</f>
        <v>174.8</v>
      </c>
      <c r="F1414" s="6">
        <f>Sheet1!F1414</f>
        <v>175.85</v>
      </c>
      <c r="H1414" s="6">
        <f ca="1">IF(ROW($H1414)-1&lt;$I$1,$F1414,AVERAGE($F1414:OFFSET($F1414,(($I$1-1)*-1),0)))</f>
        <v>181.11666666666667</v>
      </c>
      <c r="J1414" s="6">
        <f ca="1">IF(ROW($J1414)-1&lt;$K$1,$F1414,AVERAGE($F1414:OFFSET($F1414,(($K$1-1)*-1),0)))</f>
        <v>189.50892857142853</v>
      </c>
      <c r="L1414" s="7">
        <f t="shared" ca="1" si="132"/>
        <v>-1</v>
      </c>
      <c r="M1414" s="7" t="str">
        <f t="shared" ca="1" si="133"/>
        <v/>
      </c>
      <c r="N1414" s="6" t="str">
        <f t="shared" ca="1" si="134"/>
        <v/>
      </c>
      <c r="O1414" s="6">
        <f t="shared" si="135"/>
        <v>-2.3000000000000114</v>
      </c>
      <c r="Q1414" s="6">
        <v>10.700000000000017</v>
      </c>
      <c r="R1414" s="9">
        <f t="shared" si="136"/>
        <v>4012.5000000000064</v>
      </c>
      <c r="S1414" s="7">
        <f t="shared" si="131"/>
        <v>9281.2500000000164</v>
      </c>
    </row>
    <row r="1415" spans="1:19" x14ac:dyDescent="0.25">
      <c r="A1415" s="4">
        <f>Sheet1!A1415</f>
        <v>41135</v>
      </c>
      <c r="B1415" s="5">
        <f>Sheet1!B1415</f>
        <v>0.58333333333333337</v>
      </c>
      <c r="C1415" s="6">
        <f>Sheet1!C1415</f>
        <v>175.85</v>
      </c>
      <c r="D1415" s="6">
        <f>Sheet1!D1415</f>
        <v>177.4</v>
      </c>
      <c r="E1415" s="6">
        <f>Sheet1!E1415</f>
        <v>174.15</v>
      </c>
      <c r="F1415" s="6">
        <f>Sheet1!F1415</f>
        <v>174.8</v>
      </c>
      <c r="H1415" s="6">
        <f ca="1">IF(ROW($H1415)-1&lt;$I$1,$F1415,AVERAGE($F1415:OFFSET($F1415,(($I$1-1)*-1),0)))</f>
        <v>179.01666666666668</v>
      </c>
      <c r="J1415" s="6">
        <f ca="1">IF(ROW($J1415)-1&lt;$K$1,$F1415,AVERAGE($F1415:OFFSET($F1415,(($K$1-1)*-1),0)))</f>
        <v>188.88571428571427</v>
      </c>
      <c r="L1415" s="7">
        <f t="shared" ca="1" si="132"/>
        <v>-1</v>
      </c>
      <c r="M1415" s="7" t="str">
        <f t="shared" ca="1" si="133"/>
        <v/>
      </c>
      <c r="N1415" s="6" t="str">
        <f t="shared" ca="1" si="134"/>
        <v/>
      </c>
      <c r="O1415" s="6">
        <f t="shared" si="135"/>
        <v>-1.0499999999999829</v>
      </c>
      <c r="Q1415" s="6">
        <v>11.75</v>
      </c>
      <c r="R1415" s="9">
        <f t="shared" si="136"/>
        <v>4406.25</v>
      </c>
      <c r="S1415" s="7">
        <f t="shared" si="131"/>
        <v>9281.2500000000164</v>
      </c>
    </row>
    <row r="1416" spans="1:19" x14ac:dyDescent="0.25">
      <c r="A1416" s="4">
        <f>Sheet1!A1416</f>
        <v>41136</v>
      </c>
      <c r="B1416" s="5">
        <f>Sheet1!B1416</f>
        <v>0.58333333333333337</v>
      </c>
      <c r="C1416" s="6">
        <f>Sheet1!C1416</f>
        <v>174.85</v>
      </c>
      <c r="D1416" s="6">
        <f>Sheet1!D1416</f>
        <v>175.35</v>
      </c>
      <c r="E1416" s="6">
        <f>Sheet1!E1416</f>
        <v>170.6</v>
      </c>
      <c r="F1416" s="6">
        <f>Sheet1!F1416</f>
        <v>173.75</v>
      </c>
      <c r="H1416" s="6">
        <f ca="1">IF(ROW($H1416)-1&lt;$I$1,$F1416,AVERAGE($F1416:OFFSET($F1416,(($I$1-1)*-1),0)))</f>
        <v>177.21666666666667</v>
      </c>
      <c r="J1416" s="6">
        <f ca="1">IF(ROW($J1416)-1&lt;$K$1,$F1416,AVERAGE($F1416:OFFSET($F1416,(($K$1-1)*-1),0)))</f>
        <v>188.3642857142857</v>
      </c>
      <c r="L1416" s="7">
        <f t="shared" ca="1" si="132"/>
        <v>-1</v>
      </c>
      <c r="M1416" s="7" t="str">
        <f t="shared" ca="1" si="133"/>
        <v/>
      </c>
      <c r="N1416" s="6" t="str">
        <f t="shared" ca="1" si="134"/>
        <v/>
      </c>
      <c r="O1416" s="6">
        <f t="shared" si="135"/>
        <v>-1.0500000000000114</v>
      </c>
      <c r="Q1416" s="6">
        <v>12.800000000000011</v>
      </c>
      <c r="R1416" s="9">
        <f t="shared" si="136"/>
        <v>4800.0000000000045</v>
      </c>
      <c r="S1416" s="7">
        <f t="shared" si="131"/>
        <v>9281.2500000000164</v>
      </c>
    </row>
    <row r="1417" spans="1:19" x14ac:dyDescent="0.25">
      <c r="A1417" s="4">
        <f>Sheet1!A1417</f>
        <v>41137</v>
      </c>
      <c r="B1417" s="5">
        <f>Sheet1!B1417</f>
        <v>0.58333333333333337</v>
      </c>
      <c r="C1417" s="6">
        <f>Sheet1!C1417</f>
        <v>173.6</v>
      </c>
      <c r="D1417" s="6">
        <f>Sheet1!D1417</f>
        <v>173.6</v>
      </c>
      <c r="E1417" s="6">
        <f>Sheet1!E1417</f>
        <v>169.6</v>
      </c>
      <c r="F1417" s="6">
        <f>Sheet1!F1417</f>
        <v>170.6</v>
      </c>
      <c r="H1417" s="6">
        <f ca="1">IF(ROW($H1417)-1&lt;$I$1,$F1417,AVERAGE($F1417:OFFSET($F1417,(($I$1-1)*-1),0)))</f>
        <v>175.25</v>
      </c>
      <c r="J1417" s="6">
        <f ca="1">IF(ROW($J1417)-1&lt;$K$1,$F1417,AVERAGE($F1417:OFFSET($F1417,(($K$1-1)*-1),0)))</f>
        <v>187.51964285714288</v>
      </c>
      <c r="L1417" s="7">
        <f t="shared" ca="1" si="132"/>
        <v>-1</v>
      </c>
      <c r="M1417" s="7" t="str">
        <f t="shared" ca="1" si="133"/>
        <v/>
      </c>
      <c r="N1417" s="6" t="str">
        <f t="shared" ca="1" si="134"/>
        <v/>
      </c>
      <c r="O1417" s="6">
        <f t="shared" si="135"/>
        <v>-3.1500000000000057</v>
      </c>
      <c r="Q1417" s="6">
        <v>15.950000000000017</v>
      </c>
      <c r="R1417" s="9">
        <f t="shared" si="136"/>
        <v>5981.2500000000064</v>
      </c>
      <c r="S1417" s="7">
        <f t="shared" si="131"/>
        <v>9281.2500000000164</v>
      </c>
    </row>
    <row r="1418" spans="1:19" x14ac:dyDescent="0.25">
      <c r="A1418" s="4">
        <f>Sheet1!A1418</f>
        <v>41138</v>
      </c>
      <c r="B1418" s="5">
        <f>Sheet1!B1418</f>
        <v>0.58333333333333337</v>
      </c>
      <c r="C1418" s="6">
        <f>Sheet1!C1418</f>
        <v>170.6</v>
      </c>
      <c r="D1418" s="6">
        <f>Sheet1!D1418</f>
        <v>172.5</v>
      </c>
      <c r="E1418" s="6">
        <f>Sheet1!E1418</f>
        <v>169.05</v>
      </c>
      <c r="F1418" s="6">
        <f>Sheet1!F1418</f>
        <v>172</v>
      </c>
      <c r="H1418" s="6">
        <f ca="1">IF(ROW($H1418)-1&lt;$I$1,$F1418,AVERAGE($F1418:OFFSET($F1418,(($I$1-1)*-1),0)))</f>
        <v>174.19166666666669</v>
      </c>
      <c r="J1418" s="6">
        <f ca="1">IF(ROW($J1418)-1&lt;$K$1,$F1418,AVERAGE($F1418:OFFSET($F1418,(($K$1-1)*-1),0)))</f>
        <v>186.64821428571432</v>
      </c>
      <c r="L1418" s="7">
        <f t="shared" ca="1" si="132"/>
        <v>-1</v>
      </c>
      <c r="M1418" s="7" t="str">
        <f t="shared" ca="1" si="133"/>
        <v/>
      </c>
      <c r="N1418" s="6" t="str">
        <f t="shared" ca="1" si="134"/>
        <v/>
      </c>
      <c r="O1418" s="6">
        <f t="shared" si="135"/>
        <v>1.4000000000000057</v>
      </c>
      <c r="Q1418" s="6">
        <v>14.550000000000011</v>
      </c>
      <c r="R1418" s="9">
        <f t="shared" si="136"/>
        <v>5456.2500000000045</v>
      </c>
      <c r="S1418" s="7">
        <f t="shared" si="131"/>
        <v>9281.2500000000164</v>
      </c>
    </row>
    <row r="1419" spans="1:19" x14ac:dyDescent="0.25">
      <c r="A1419" s="4">
        <f>Sheet1!A1419</f>
        <v>41141</v>
      </c>
      <c r="B1419" s="5">
        <f>Sheet1!B1419</f>
        <v>0.58333333333333337</v>
      </c>
      <c r="C1419" s="6">
        <f>Sheet1!C1419</f>
        <v>172.3</v>
      </c>
      <c r="D1419" s="6">
        <f>Sheet1!D1419</f>
        <v>175.4</v>
      </c>
      <c r="E1419" s="6">
        <f>Sheet1!E1419</f>
        <v>172</v>
      </c>
      <c r="F1419" s="6">
        <f>Sheet1!F1419</f>
        <v>173.35</v>
      </c>
      <c r="H1419" s="6">
        <f ca="1">IF(ROW($H1419)-1&lt;$I$1,$F1419,AVERAGE($F1419:OFFSET($F1419,(($I$1-1)*-1),0)))</f>
        <v>173.39166666666665</v>
      </c>
      <c r="J1419" s="6">
        <f ca="1">IF(ROW($J1419)-1&lt;$K$1,$F1419,AVERAGE($F1419:OFFSET($F1419,(($K$1-1)*-1),0)))</f>
        <v>185.81785714285721</v>
      </c>
      <c r="L1419" s="7">
        <f t="shared" ca="1" si="132"/>
        <v>-1</v>
      </c>
      <c r="M1419" s="7" t="str">
        <f t="shared" ca="1" si="133"/>
        <v/>
      </c>
      <c r="N1419" s="6" t="str">
        <f t="shared" ca="1" si="134"/>
        <v/>
      </c>
      <c r="O1419" s="6">
        <f t="shared" si="135"/>
        <v>1.3499999999999943</v>
      </c>
      <c r="Q1419" s="6">
        <v>13.200000000000017</v>
      </c>
      <c r="R1419" s="9">
        <f t="shared" si="136"/>
        <v>4950.0000000000064</v>
      </c>
      <c r="S1419" s="7">
        <f t="shared" si="131"/>
        <v>9281.2500000000164</v>
      </c>
    </row>
    <row r="1420" spans="1:19" x14ac:dyDescent="0.25">
      <c r="A1420" s="4">
        <f>Sheet1!A1420</f>
        <v>41142</v>
      </c>
      <c r="B1420" s="5">
        <f>Sheet1!B1420</f>
        <v>0.58333333333333337</v>
      </c>
      <c r="C1420" s="6">
        <f>Sheet1!C1420</f>
        <v>173.4</v>
      </c>
      <c r="D1420" s="6">
        <f>Sheet1!D1420</f>
        <v>174.95</v>
      </c>
      <c r="E1420" s="6">
        <f>Sheet1!E1420</f>
        <v>172.7</v>
      </c>
      <c r="F1420" s="6">
        <f>Sheet1!F1420</f>
        <v>173</v>
      </c>
      <c r="H1420" s="6">
        <f ca="1">IF(ROW($H1420)-1&lt;$I$1,$F1420,AVERAGE($F1420:OFFSET($F1420,(($I$1-1)*-1),0)))</f>
        <v>172.91666666666666</v>
      </c>
      <c r="J1420" s="6">
        <f ca="1">IF(ROW($J1420)-1&lt;$K$1,$F1420,AVERAGE($F1420:OFFSET($F1420,(($K$1-1)*-1),0)))</f>
        <v>185.06964285714292</v>
      </c>
      <c r="L1420" s="7">
        <f t="shared" ca="1" si="132"/>
        <v>-1</v>
      </c>
      <c r="M1420" s="7" t="str">
        <f t="shared" ca="1" si="133"/>
        <v/>
      </c>
      <c r="N1420" s="6" t="str">
        <f t="shared" ca="1" si="134"/>
        <v/>
      </c>
      <c r="O1420" s="6">
        <f t="shared" si="135"/>
        <v>-0.34999999999999432</v>
      </c>
      <c r="Q1420" s="6">
        <v>13.550000000000011</v>
      </c>
      <c r="R1420" s="9">
        <f t="shared" si="136"/>
        <v>5081.2500000000045</v>
      </c>
      <c r="S1420" s="7">
        <f t="shared" si="131"/>
        <v>9281.2500000000164</v>
      </c>
    </row>
    <row r="1421" spans="1:19" x14ac:dyDescent="0.25">
      <c r="A1421" s="4">
        <f>Sheet1!A1421</f>
        <v>41143</v>
      </c>
      <c r="B1421" s="5">
        <f>Sheet1!B1421</f>
        <v>0.58333333333333337</v>
      </c>
      <c r="C1421" s="6">
        <f>Sheet1!C1421</f>
        <v>172.65</v>
      </c>
      <c r="D1421" s="6">
        <f>Sheet1!D1421</f>
        <v>172.85</v>
      </c>
      <c r="E1421" s="6">
        <f>Sheet1!E1421</f>
        <v>169.85</v>
      </c>
      <c r="F1421" s="6">
        <f>Sheet1!F1421</f>
        <v>170.9</v>
      </c>
      <c r="H1421" s="6">
        <f ca="1">IF(ROW($H1421)-1&lt;$I$1,$F1421,AVERAGE($F1421:OFFSET($F1421,(($I$1-1)*-1),0)))</f>
        <v>172.26666666666668</v>
      </c>
      <c r="J1421" s="6">
        <f ca="1">IF(ROW($J1421)-1&lt;$K$1,$F1421,AVERAGE($F1421:OFFSET($F1421,(($K$1-1)*-1),0)))</f>
        <v>184.10178571428574</v>
      </c>
      <c r="L1421" s="7">
        <f t="shared" ca="1" si="132"/>
        <v>-1</v>
      </c>
      <c r="M1421" s="7" t="str">
        <f t="shared" ca="1" si="133"/>
        <v/>
      </c>
      <c r="N1421" s="6" t="str">
        <f t="shared" ca="1" si="134"/>
        <v/>
      </c>
      <c r="O1421" s="6">
        <f t="shared" si="135"/>
        <v>-2.0999999999999943</v>
      </c>
      <c r="Q1421" s="6">
        <v>15.650000000000006</v>
      </c>
      <c r="R1421" s="9">
        <f t="shared" si="136"/>
        <v>5868.7500000000018</v>
      </c>
      <c r="S1421" s="7">
        <f t="shared" si="131"/>
        <v>9281.2500000000164</v>
      </c>
    </row>
    <row r="1422" spans="1:19" x14ac:dyDescent="0.25">
      <c r="A1422" s="4">
        <f>Sheet1!A1422</f>
        <v>41144</v>
      </c>
      <c r="B1422" s="5">
        <f>Sheet1!B1422</f>
        <v>0.58333333333333337</v>
      </c>
      <c r="C1422" s="6">
        <f>Sheet1!C1422</f>
        <v>171.2</v>
      </c>
      <c r="D1422" s="6">
        <f>Sheet1!D1422</f>
        <v>172.05</v>
      </c>
      <c r="E1422" s="6">
        <f>Sheet1!E1422</f>
        <v>170.05</v>
      </c>
      <c r="F1422" s="6">
        <f>Sheet1!F1422</f>
        <v>170.65</v>
      </c>
      <c r="H1422" s="6">
        <f ca="1">IF(ROW($H1422)-1&lt;$I$1,$F1422,AVERAGE($F1422:OFFSET($F1422,(($I$1-1)*-1),0)))</f>
        <v>171.75</v>
      </c>
      <c r="J1422" s="6">
        <f ca="1">IF(ROW($J1422)-1&lt;$K$1,$F1422,AVERAGE($F1422:OFFSET($F1422,(($K$1-1)*-1),0)))</f>
        <v>183.20178571428573</v>
      </c>
      <c r="L1422" s="7">
        <f t="shared" ca="1" si="132"/>
        <v>-1</v>
      </c>
      <c r="M1422" s="7" t="str">
        <f t="shared" ca="1" si="133"/>
        <v/>
      </c>
      <c r="N1422" s="6" t="str">
        <f t="shared" ca="1" si="134"/>
        <v/>
      </c>
      <c r="O1422" s="6">
        <f t="shared" si="135"/>
        <v>-0.25</v>
      </c>
      <c r="Q1422" s="6">
        <v>15.900000000000006</v>
      </c>
      <c r="R1422" s="9">
        <f t="shared" si="136"/>
        <v>5962.5000000000018</v>
      </c>
      <c r="S1422" s="7">
        <f t="shared" si="131"/>
        <v>9281.2500000000164</v>
      </c>
    </row>
    <row r="1423" spans="1:19" x14ac:dyDescent="0.25">
      <c r="A1423" s="4">
        <f>Sheet1!A1423</f>
        <v>41145</v>
      </c>
      <c r="B1423" s="5">
        <f>Sheet1!B1423</f>
        <v>0.58333333333333337</v>
      </c>
      <c r="C1423" s="6">
        <f>Sheet1!C1423</f>
        <v>170.95</v>
      </c>
      <c r="D1423" s="6">
        <f>Sheet1!D1423</f>
        <v>173.3</v>
      </c>
      <c r="E1423" s="6">
        <f>Sheet1!E1423</f>
        <v>170.05</v>
      </c>
      <c r="F1423" s="6">
        <f>Sheet1!F1423</f>
        <v>171.7</v>
      </c>
      <c r="H1423" s="6">
        <f ca="1">IF(ROW($H1423)-1&lt;$I$1,$F1423,AVERAGE($F1423:OFFSET($F1423,(($I$1-1)*-1),0)))</f>
        <v>171.93333333333331</v>
      </c>
      <c r="J1423" s="6">
        <f ca="1">IF(ROW($J1423)-1&lt;$K$1,$F1423,AVERAGE($F1423:OFFSET($F1423,(($K$1-1)*-1),0)))</f>
        <v>182.41428571428568</v>
      </c>
      <c r="L1423" s="7">
        <f t="shared" ca="1" si="132"/>
        <v>-1</v>
      </c>
      <c r="M1423" s="7" t="str">
        <f t="shared" ca="1" si="133"/>
        <v/>
      </c>
      <c r="N1423" s="6" t="str">
        <f t="shared" ca="1" si="134"/>
        <v/>
      </c>
      <c r="O1423" s="6">
        <f t="shared" si="135"/>
        <v>1.0499999999999829</v>
      </c>
      <c r="Q1423" s="6">
        <v>14.850000000000023</v>
      </c>
      <c r="R1423" s="9">
        <f t="shared" si="136"/>
        <v>5568.7500000000082</v>
      </c>
      <c r="S1423" s="7">
        <f t="shared" si="131"/>
        <v>9281.2500000000164</v>
      </c>
    </row>
    <row r="1424" spans="1:19" x14ac:dyDescent="0.25">
      <c r="A1424" s="4">
        <f>Sheet1!A1424</f>
        <v>41148</v>
      </c>
      <c r="B1424" s="5">
        <f>Sheet1!B1424</f>
        <v>0.58333333333333337</v>
      </c>
      <c r="C1424" s="6">
        <f>Sheet1!C1424</f>
        <v>173.3</v>
      </c>
      <c r="D1424" s="6">
        <f>Sheet1!D1424</f>
        <v>176.5</v>
      </c>
      <c r="E1424" s="6">
        <f>Sheet1!E1424</f>
        <v>173.3</v>
      </c>
      <c r="F1424" s="6">
        <f>Sheet1!F1424</f>
        <v>176.15</v>
      </c>
      <c r="H1424" s="6">
        <f ca="1">IF(ROW($H1424)-1&lt;$I$1,$F1424,AVERAGE($F1424:OFFSET($F1424,(($I$1-1)*-1),0)))</f>
        <v>172.625</v>
      </c>
      <c r="J1424" s="6">
        <f ca="1">IF(ROW($J1424)-1&lt;$K$1,$F1424,AVERAGE($F1424:OFFSET($F1424,(($K$1-1)*-1),0)))</f>
        <v>181.77499999999995</v>
      </c>
      <c r="L1424" s="7">
        <f t="shared" ca="1" si="132"/>
        <v>-1</v>
      </c>
      <c r="M1424" s="7" t="str">
        <f t="shared" ca="1" si="133"/>
        <v/>
      </c>
      <c r="N1424" s="6" t="str">
        <f t="shared" ca="1" si="134"/>
        <v/>
      </c>
      <c r="O1424" s="6">
        <f t="shared" si="135"/>
        <v>4.4500000000000171</v>
      </c>
      <c r="Q1424" s="6">
        <v>10.400000000000006</v>
      </c>
      <c r="R1424" s="9">
        <f t="shared" si="136"/>
        <v>3900.0000000000023</v>
      </c>
      <c r="S1424" s="7">
        <f t="shared" ref="S1424:S1487" si="137">S1423+(P1424*375)</f>
        <v>9281.2500000000164</v>
      </c>
    </row>
    <row r="1425" spans="1:19" x14ac:dyDescent="0.25">
      <c r="A1425" s="4">
        <f>Sheet1!A1425</f>
        <v>41149</v>
      </c>
      <c r="B1425" s="5">
        <f>Sheet1!B1425</f>
        <v>0.58333333333333337</v>
      </c>
      <c r="C1425" s="6">
        <f>Sheet1!C1425</f>
        <v>175.85</v>
      </c>
      <c r="D1425" s="6">
        <f>Sheet1!D1425</f>
        <v>177.3</v>
      </c>
      <c r="E1425" s="6">
        <f>Sheet1!E1425</f>
        <v>174.35</v>
      </c>
      <c r="F1425" s="6">
        <f>Sheet1!F1425</f>
        <v>176.75</v>
      </c>
      <c r="H1425" s="6">
        <f ca="1">IF(ROW($H1425)-1&lt;$I$1,$F1425,AVERAGE($F1425:OFFSET($F1425,(($I$1-1)*-1),0)))</f>
        <v>173.19166666666669</v>
      </c>
      <c r="J1425" s="6">
        <f ca="1">IF(ROW($J1425)-1&lt;$K$1,$F1425,AVERAGE($F1425:OFFSET($F1425,(($K$1-1)*-1),0)))</f>
        <v>180.91428571428568</v>
      </c>
      <c r="L1425" s="7">
        <f t="shared" ca="1" si="132"/>
        <v>-1</v>
      </c>
      <c r="M1425" s="7" t="str">
        <f t="shared" ca="1" si="133"/>
        <v/>
      </c>
      <c r="N1425" s="6" t="str">
        <f t="shared" ca="1" si="134"/>
        <v/>
      </c>
      <c r="O1425" s="6">
        <f t="shared" si="135"/>
        <v>0.59999999999999432</v>
      </c>
      <c r="Q1425" s="6">
        <v>9.8000000000000114</v>
      </c>
      <c r="R1425" s="9">
        <f t="shared" si="136"/>
        <v>3675.0000000000041</v>
      </c>
      <c r="S1425" s="7">
        <f t="shared" si="137"/>
        <v>9281.2500000000164</v>
      </c>
    </row>
    <row r="1426" spans="1:19" x14ac:dyDescent="0.25">
      <c r="A1426" s="4">
        <f>Sheet1!A1426</f>
        <v>41150</v>
      </c>
      <c r="B1426" s="5">
        <f>Sheet1!B1426</f>
        <v>0.58333333333333337</v>
      </c>
      <c r="C1426" s="6">
        <f>Sheet1!C1426</f>
        <v>176.8</v>
      </c>
      <c r="D1426" s="6">
        <f>Sheet1!D1426</f>
        <v>177.9</v>
      </c>
      <c r="E1426" s="6">
        <f>Sheet1!E1426</f>
        <v>174.55</v>
      </c>
      <c r="F1426" s="6">
        <f>Sheet1!F1426</f>
        <v>175.45</v>
      </c>
      <c r="H1426" s="6">
        <f ca="1">IF(ROW($H1426)-1&lt;$I$1,$F1426,AVERAGE($F1426:OFFSET($F1426,(($I$1-1)*-1),0)))</f>
        <v>173.6</v>
      </c>
      <c r="J1426" s="6">
        <f ca="1">IF(ROW($J1426)-1&lt;$K$1,$F1426,AVERAGE($F1426:OFFSET($F1426,(($K$1-1)*-1),0)))</f>
        <v>180.07857142857139</v>
      </c>
      <c r="L1426" s="7">
        <f t="shared" ca="1" si="132"/>
        <v>-1</v>
      </c>
      <c r="M1426" s="7" t="str">
        <f t="shared" ca="1" si="133"/>
        <v/>
      </c>
      <c r="N1426" s="6" t="str">
        <f t="shared" ca="1" si="134"/>
        <v/>
      </c>
      <c r="O1426" s="6">
        <f t="shared" si="135"/>
        <v>-1.3000000000000114</v>
      </c>
      <c r="Q1426" s="6">
        <v>11.100000000000023</v>
      </c>
      <c r="R1426" s="9">
        <f t="shared" si="136"/>
        <v>4162.5000000000082</v>
      </c>
      <c r="S1426" s="7">
        <f t="shared" si="137"/>
        <v>9281.2500000000164</v>
      </c>
    </row>
    <row r="1427" spans="1:19" x14ac:dyDescent="0.25">
      <c r="A1427" s="4">
        <f>Sheet1!A1427</f>
        <v>41151</v>
      </c>
      <c r="B1427" s="5">
        <f>Sheet1!B1427</f>
        <v>0.58333333333333337</v>
      </c>
      <c r="C1427" s="6">
        <f>Sheet1!C1427</f>
        <v>175.2</v>
      </c>
      <c r="D1427" s="6">
        <f>Sheet1!D1427</f>
        <v>177.15</v>
      </c>
      <c r="E1427" s="6">
        <f>Sheet1!E1427</f>
        <v>171.3</v>
      </c>
      <c r="F1427" s="6">
        <f>Sheet1!F1427</f>
        <v>172.2</v>
      </c>
      <c r="H1427" s="6">
        <f ca="1">IF(ROW($H1427)-1&lt;$I$1,$F1427,AVERAGE($F1427:OFFSET($F1427,(($I$1-1)*-1),0)))</f>
        <v>173.81666666666669</v>
      </c>
      <c r="J1427" s="6">
        <f ca="1">IF(ROW($J1427)-1&lt;$K$1,$F1427,AVERAGE($F1427:OFFSET($F1427,(($K$1-1)*-1),0)))</f>
        <v>179.19285714285712</v>
      </c>
      <c r="L1427" s="7">
        <f t="shared" ca="1" si="132"/>
        <v>-1</v>
      </c>
      <c r="M1427" s="7" t="str">
        <f t="shared" ca="1" si="133"/>
        <v/>
      </c>
      <c r="N1427" s="6" t="str">
        <f t="shared" ca="1" si="134"/>
        <v/>
      </c>
      <c r="O1427" s="6">
        <f t="shared" si="135"/>
        <v>-3.25</v>
      </c>
      <c r="Q1427" s="6">
        <v>14.350000000000023</v>
      </c>
      <c r="R1427" s="9">
        <f t="shared" si="136"/>
        <v>5381.2500000000082</v>
      </c>
      <c r="S1427" s="7">
        <f t="shared" si="137"/>
        <v>9281.2500000000164</v>
      </c>
    </row>
    <row r="1428" spans="1:19" x14ac:dyDescent="0.25">
      <c r="A1428" s="4">
        <f>Sheet1!A1428</f>
        <v>41152</v>
      </c>
      <c r="B1428" s="5">
        <f>Sheet1!B1428</f>
        <v>0.58333333333333337</v>
      </c>
      <c r="C1428" s="6">
        <f>Sheet1!C1428</f>
        <v>172.9</v>
      </c>
      <c r="D1428" s="6">
        <f>Sheet1!D1428</f>
        <v>176.25</v>
      </c>
      <c r="E1428" s="6">
        <f>Sheet1!E1428</f>
        <v>171.3</v>
      </c>
      <c r="F1428" s="6">
        <f>Sheet1!F1428</f>
        <v>173.55</v>
      </c>
      <c r="H1428" s="6">
        <f ca="1">IF(ROW($H1428)-1&lt;$I$1,$F1428,AVERAGE($F1428:OFFSET($F1428,(($I$1-1)*-1),0)))</f>
        <v>174.29999999999998</v>
      </c>
      <c r="J1428" s="6">
        <f ca="1">IF(ROW($J1428)-1&lt;$K$1,$F1428,AVERAGE($F1428:OFFSET($F1428,(($K$1-1)*-1),0)))</f>
        <v>178.7</v>
      </c>
      <c r="L1428" s="7">
        <f t="shared" ca="1" si="132"/>
        <v>-1</v>
      </c>
      <c r="M1428" s="7" t="str">
        <f t="shared" ca="1" si="133"/>
        <v/>
      </c>
      <c r="N1428" s="6" t="str">
        <f t="shared" ca="1" si="134"/>
        <v/>
      </c>
      <c r="O1428" s="6">
        <f t="shared" si="135"/>
        <v>1.3500000000000227</v>
      </c>
      <c r="Q1428" s="6">
        <v>13</v>
      </c>
      <c r="R1428" s="9">
        <f t="shared" si="136"/>
        <v>4875</v>
      </c>
      <c r="S1428" s="7">
        <f t="shared" si="137"/>
        <v>9281.2500000000164</v>
      </c>
    </row>
    <row r="1429" spans="1:19" x14ac:dyDescent="0.25">
      <c r="A1429" s="4">
        <f>Sheet1!A1429</f>
        <v>41156</v>
      </c>
      <c r="B1429" s="5">
        <f>Sheet1!B1429</f>
        <v>0.58333333333333337</v>
      </c>
      <c r="C1429" s="6">
        <f>Sheet1!C1429</f>
        <v>174.45</v>
      </c>
      <c r="D1429" s="6">
        <f>Sheet1!D1429</f>
        <v>176.7</v>
      </c>
      <c r="E1429" s="6">
        <f>Sheet1!E1429</f>
        <v>173.3</v>
      </c>
      <c r="F1429" s="6">
        <f>Sheet1!F1429</f>
        <v>174.1</v>
      </c>
      <c r="H1429" s="6">
        <f ca="1">IF(ROW($H1429)-1&lt;$I$1,$F1429,AVERAGE($F1429:OFFSET($F1429,(($I$1-1)*-1),0)))</f>
        <v>174.69999999999996</v>
      </c>
      <c r="J1429" s="6">
        <f ca="1">IF(ROW($J1429)-1&lt;$K$1,$F1429,AVERAGE($F1429:OFFSET($F1429,(($K$1-1)*-1),0)))</f>
        <v>178.19642857142858</v>
      </c>
      <c r="L1429" s="7">
        <f t="shared" ca="1" si="132"/>
        <v>-1</v>
      </c>
      <c r="M1429" s="7" t="str">
        <f t="shared" ca="1" si="133"/>
        <v/>
      </c>
      <c r="N1429" s="6" t="str">
        <f t="shared" ca="1" si="134"/>
        <v/>
      </c>
      <c r="O1429" s="6">
        <f t="shared" si="135"/>
        <v>0.54999999999998295</v>
      </c>
      <c r="Q1429" s="6">
        <v>12.450000000000017</v>
      </c>
      <c r="R1429" s="9">
        <f t="shared" si="136"/>
        <v>4668.7500000000064</v>
      </c>
      <c r="S1429" s="7">
        <f t="shared" si="137"/>
        <v>9281.2500000000164</v>
      </c>
    </row>
    <row r="1430" spans="1:19" x14ac:dyDescent="0.25">
      <c r="A1430" s="4">
        <f>Sheet1!A1430</f>
        <v>41157</v>
      </c>
      <c r="B1430" s="5">
        <f>Sheet1!B1430</f>
        <v>0.58333333333333337</v>
      </c>
      <c r="C1430" s="6">
        <f>Sheet1!C1430</f>
        <v>174.1</v>
      </c>
      <c r="D1430" s="6">
        <f>Sheet1!D1430</f>
        <v>175.15</v>
      </c>
      <c r="E1430" s="6">
        <f>Sheet1!E1430</f>
        <v>169.15</v>
      </c>
      <c r="F1430" s="6">
        <f>Sheet1!F1430</f>
        <v>169.4</v>
      </c>
      <c r="H1430" s="6">
        <f ca="1">IF(ROW($H1430)-1&lt;$I$1,$F1430,AVERAGE($F1430:OFFSET($F1430,(($I$1-1)*-1),0)))</f>
        <v>173.57500000000002</v>
      </c>
      <c r="J1430" s="6">
        <f ca="1">IF(ROW($J1430)-1&lt;$K$1,$F1430,AVERAGE($F1430:OFFSET($F1430,(($K$1-1)*-1),0)))</f>
        <v>177.60535714285714</v>
      </c>
      <c r="L1430" s="7">
        <f t="shared" ca="1" si="132"/>
        <v>-1</v>
      </c>
      <c r="M1430" s="7" t="str">
        <f t="shared" ca="1" si="133"/>
        <v/>
      </c>
      <c r="N1430" s="6" t="str">
        <f t="shared" ca="1" si="134"/>
        <v/>
      </c>
      <c r="O1430" s="6">
        <f t="shared" si="135"/>
        <v>-4.6999999999999886</v>
      </c>
      <c r="Q1430" s="6">
        <v>17.150000000000006</v>
      </c>
      <c r="R1430" s="9">
        <f t="shared" si="136"/>
        <v>6431.2500000000018</v>
      </c>
      <c r="S1430" s="7">
        <f t="shared" si="137"/>
        <v>9281.2500000000164</v>
      </c>
    </row>
    <row r="1431" spans="1:19" x14ac:dyDescent="0.25">
      <c r="A1431" s="4">
        <f>Sheet1!A1431</f>
        <v>41158</v>
      </c>
      <c r="B1431" s="5">
        <f>Sheet1!B1431</f>
        <v>0.58333333333333337</v>
      </c>
      <c r="C1431" s="6">
        <f>Sheet1!C1431</f>
        <v>169.8</v>
      </c>
      <c r="D1431" s="6">
        <f>Sheet1!D1431</f>
        <v>171.55</v>
      </c>
      <c r="E1431" s="6">
        <f>Sheet1!E1431</f>
        <v>165.35</v>
      </c>
      <c r="F1431" s="6">
        <f>Sheet1!F1431</f>
        <v>167</v>
      </c>
      <c r="H1431" s="6">
        <f ca="1">IF(ROW($H1431)-1&lt;$I$1,$F1431,AVERAGE($F1431:OFFSET($F1431,(($I$1-1)*-1),0)))</f>
        <v>171.95000000000002</v>
      </c>
      <c r="J1431" s="6">
        <f ca="1">IF(ROW($J1431)-1&lt;$K$1,$F1431,AVERAGE($F1431:OFFSET($F1431,(($K$1-1)*-1),0)))</f>
        <v>176.94107142857143</v>
      </c>
      <c r="L1431" s="7">
        <f t="shared" ca="1" si="132"/>
        <v>-1</v>
      </c>
      <c r="M1431" s="7" t="str">
        <f t="shared" ca="1" si="133"/>
        <v/>
      </c>
      <c r="N1431" s="6" t="str">
        <f t="shared" ca="1" si="134"/>
        <v/>
      </c>
      <c r="O1431" s="6">
        <f t="shared" si="135"/>
        <v>-2.4000000000000057</v>
      </c>
      <c r="Q1431" s="6">
        <v>19.550000000000011</v>
      </c>
      <c r="R1431" s="9">
        <f t="shared" si="136"/>
        <v>7331.2500000000045</v>
      </c>
      <c r="S1431" s="7">
        <f t="shared" si="137"/>
        <v>9281.2500000000164</v>
      </c>
    </row>
    <row r="1432" spans="1:19" x14ac:dyDescent="0.25">
      <c r="A1432" s="4">
        <f>Sheet1!A1432</f>
        <v>41159</v>
      </c>
      <c r="B1432" s="5">
        <f>Sheet1!B1432</f>
        <v>0.58333333333333337</v>
      </c>
      <c r="C1432" s="6">
        <f>Sheet1!C1432</f>
        <v>168.4</v>
      </c>
      <c r="D1432" s="6">
        <f>Sheet1!D1432</f>
        <v>172.5</v>
      </c>
      <c r="E1432" s="6">
        <f>Sheet1!E1432</f>
        <v>167.3</v>
      </c>
      <c r="F1432" s="6">
        <f>Sheet1!F1432</f>
        <v>171.85</v>
      </c>
      <c r="H1432" s="6">
        <f ca="1">IF(ROW($H1432)-1&lt;$I$1,$F1432,AVERAGE($F1432:OFFSET($F1432,(($I$1-1)*-1),0)))</f>
        <v>171.35</v>
      </c>
      <c r="J1432" s="6">
        <f ca="1">IF(ROW($J1432)-1&lt;$K$1,$F1432,AVERAGE($F1432:OFFSET($F1432,(($K$1-1)*-1),0)))</f>
        <v>176.28392857142856</v>
      </c>
      <c r="L1432" s="7">
        <f t="shared" ca="1" si="132"/>
        <v>-1</v>
      </c>
      <c r="M1432" s="7" t="str">
        <f t="shared" ca="1" si="133"/>
        <v/>
      </c>
      <c r="N1432" s="6" t="str">
        <f t="shared" ca="1" si="134"/>
        <v/>
      </c>
      <c r="O1432" s="6">
        <f t="shared" si="135"/>
        <v>4.8499999999999943</v>
      </c>
      <c r="Q1432" s="6">
        <v>14.700000000000017</v>
      </c>
      <c r="R1432" s="9">
        <f t="shared" si="136"/>
        <v>5512.5000000000064</v>
      </c>
      <c r="S1432" s="7">
        <f t="shared" si="137"/>
        <v>9281.2500000000164</v>
      </c>
    </row>
    <row r="1433" spans="1:19" x14ac:dyDescent="0.25">
      <c r="A1433" s="4">
        <f>Sheet1!A1433</f>
        <v>41162</v>
      </c>
      <c r="B1433" s="5">
        <f>Sheet1!B1433</f>
        <v>0.58333333333333337</v>
      </c>
      <c r="C1433" s="6">
        <f>Sheet1!C1433</f>
        <v>172.5</v>
      </c>
      <c r="D1433" s="6">
        <f>Sheet1!D1433</f>
        <v>183.15</v>
      </c>
      <c r="E1433" s="6">
        <f>Sheet1!E1433</f>
        <v>172.05</v>
      </c>
      <c r="F1433" s="6">
        <f>Sheet1!F1433</f>
        <v>182.45</v>
      </c>
      <c r="H1433" s="6">
        <f ca="1">IF(ROW($H1433)-1&lt;$I$1,$F1433,AVERAGE($F1433:OFFSET($F1433,(($I$1-1)*-1),0)))</f>
        <v>173.05833333333331</v>
      </c>
      <c r="J1433" s="6">
        <f ca="1">IF(ROW($J1433)-1&lt;$K$1,$F1433,AVERAGE($F1433:OFFSET($F1433,(($K$1-1)*-1),0)))</f>
        <v>176.14642857142854</v>
      </c>
      <c r="L1433" s="7">
        <f t="shared" ca="1" si="132"/>
        <v>-1</v>
      </c>
      <c r="M1433" s="7" t="str">
        <f t="shared" ca="1" si="133"/>
        <v/>
      </c>
      <c r="N1433" s="6" t="str">
        <f t="shared" ca="1" si="134"/>
        <v/>
      </c>
      <c r="O1433" s="6">
        <f t="shared" si="135"/>
        <v>10.599999999999994</v>
      </c>
      <c r="Q1433" s="6">
        <v>4.1000000000000227</v>
      </c>
      <c r="R1433" s="9">
        <f t="shared" si="136"/>
        <v>1537.5000000000086</v>
      </c>
      <c r="S1433" s="7">
        <f t="shared" si="137"/>
        <v>9281.2500000000164</v>
      </c>
    </row>
    <row r="1434" spans="1:19" x14ac:dyDescent="0.25">
      <c r="A1434" s="4">
        <f>Sheet1!A1434</f>
        <v>41163</v>
      </c>
      <c r="B1434" s="5">
        <f>Sheet1!B1434</f>
        <v>0.58333333333333337</v>
      </c>
      <c r="C1434" s="6">
        <f>Sheet1!C1434</f>
        <v>182.45</v>
      </c>
      <c r="D1434" s="6">
        <f>Sheet1!D1434</f>
        <v>188.8</v>
      </c>
      <c r="E1434" s="6">
        <f>Sheet1!E1434</f>
        <v>181.9</v>
      </c>
      <c r="F1434" s="6">
        <f>Sheet1!F1434</f>
        <v>186.35</v>
      </c>
      <c r="H1434" s="6">
        <f ca="1">IF(ROW($H1434)-1&lt;$I$1,$F1434,AVERAGE($F1434:OFFSET($F1434,(($I$1-1)*-1),0)))</f>
        <v>175.19166666666663</v>
      </c>
      <c r="J1434" s="6">
        <f ca="1">IF(ROW($J1434)-1&lt;$K$1,$F1434,AVERAGE($F1434:OFFSET($F1434,(($K$1-1)*-1),0)))</f>
        <v>176.14107142857142</v>
      </c>
      <c r="L1434" s="7">
        <f t="shared" ca="1" si="132"/>
        <v>-1</v>
      </c>
      <c r="M1434" s="7" t="str">
        <f t="shared" ca="1" si="133"/>
        <v/>
      </c>
      <c r="N1434" s="6" t="str">
        <f t="shared" ca="1" si="134"/>
        <v/>
      </c>
      <c r="O1434" s="6">
        <f t="shared" si="135"/>
        <v>3.9000000000000057</v>
      </c>
      <c r="Q1434" s="6">
        <v>0.20000000000001705</v>
      </c>
      <c r="R1434" s="9">
        <f t="shared" si="136"/>
        <v>75.000000000006395</v>
      </c>
      <c r="S1434" s="7">
        <f t="shared" si="137"/>
        <v>9281.2500000000164</v>
      </c>
    </row>
    <row r="1435" spans="1:19" x14ac:dyDescent="0.25">
      <c r="A1435" s="4">
        <f>Sheet1!A1435</f>
        <v>41164</v>
      </c>
      <c r="B1435" s="5">
        <f>Sheet1!B1435</f>
        <v>0.58333333333333337</v>
      </c>
      <c r="C1435" s="6">
        <f>Sheet1!C1435</f>
        <v>185.75</v>
      </c>
      <c r="D1435" s="6">
        <f>Sheet1!D1435</f>
        <v>187.7</v>
      </c>
      <c r="E1435" s="6">
        <f>Sheet1!E1435</f>
        <v>185.45</v>
      </c>
      <c r="F1435" s="6">
        <f>Sheet1!F1435</f>
        <v>186.3</v>
      </c>
      <c r="H1435" s="6">
        <f ca="1">IF(ROW($H1435)-1&lt;$I$1,$F1435,AVERAGE($F1435:OFFSET($F1435,(($I$1-1)*-1),0)))</f>
        <v>177.22500000000002</v>
      </c>
      <c r="J1435" s="6">
        <f ca="1">IF(ROW($J1435)-1&lt;$K$1,$F1435,AVERAGE($F1435:OFFSET($F1435,(($K$1-1)*-1),0)))</f>
        <v>176.23928571428573</v>
      </c>
      <c r="L1435" s="7">
        <f t="shared" ca="1" si="132"/>
        <v>1</v>
      </c>
      <c r="M1435" s="7">
        <f t="shared" ca="1" si="133"/>
        <v>1</v>
      </c>
      <c r="N1435" s="6" t="str">
        <f t="shared" ca="1" si="134"/>
        <v/>
      </c>
      <c r="O1435" s="6">
        <f t="shared" si="135"/>
        <v>-4.9999999999982947E-2</v>
      </c>
      <c r="Q1435" s="6">
        <v>0.25</v>
      </c>
      <c r="R1435" s="9">
        <f t="shared" si="136"/>
        <v>93.75</v>
      </c>
      <c r="S1435" s="7">
        <f t="shared" si="137"/>
        <v>9281.2500000000164</v>
      </c>
    </row>
    <row r="1436" spans="1:19" x14ac:dyDescent="0.25">
      <c r="A1436" s="4">
        <f>Sheet1!A1436</f>
        <v>41165</v>
      </c>
      <c r="B1436" s="5">
        <f>Sheet1!B1436</f>
        <v>0.58333333333333337</v>
      </c>
      <c r="C1436" s="6">
        <f>Sheet1!C1436</f>
        <v>185.85</v>
      </c>
      <c r="D1436" s="6">
        <f>Sheet1!D1436</f>
        <v>190.1</v>
      </c>
      <c r="E1436" s="6">
        <f>Sheet1!E1436</f>
        <v>184.6</v>
      </c>
      <c r="F1436" s="6">
        <f>Sheet1!F1436</f>
        <v>187.65</v>
      </c>
      <c r="H1436" s="6">
        <f ca="1">IF(ROW($H1436)-1&lt;$I$1,$F1436,AVERAGE($F1436:OFFSET($F1436,(($I$1-1)*-1),0)))</f>
        <v>180.26666666666668</v>
      </c>
      <c r="J1436" s="6">
        <f ca="1">IF(ROW($J1436)-1&lt;$K$1,$F1436,AVERAGE($F1436:OFFSET($F1436,(($K$1-1)*-1),0)))</f>
        <v>176.30892857142857</v>
      </c>
      <c r="L1436" s="7">
        <f t="shared" ca="1" si="132"/>
        <v>1</v>
      </c>
      <c r="M1436" s="7" t="str">
        <f t="shared" ca="1" si="133"/>
        <v/>
      </c>
      <c r="N1436" s="6">
        <f t="shared" ca="1" si="134"/>
        <v>185.85</v>
      </c>
      <c r="O1436" s="6">
        <f t="shared" si="135"/>
        <v>1.3499999999999943</v>
      </c>
      <c r="P1436" s="6">
        <v>0.70000000000001705</v>
      </c>
      <c r="Q1436" s="6">
        <v>1.8000000000000114</v>
      </c>
      <c r="R1436" s="9">
        <f t="shared" si="136"/>
        <v>675.00000000000432</v>
      </c>
      <c r="S1436" s="7">
        <f t="shared" si="137"/>
        <v>9543.7500000000218</v>
      </c>
    </row>
    <row r="1437" spans="1:19" x14ac:dyDescent="0.25">
      <c r="A1437" s="4">
        <f>Sheet1!A1437</f>
        <v>41166</v>
      </c>
      <c r="B1437" s="5">
        <f>Sheet1!B1437</f>
        <v>0.58333333333333337</v>
      </c>
      <c r="C1437" s="6">
        <f>Sheet1!C1437</f>
        <v>188.35</v>
      </c>
      <c r="D1437" s="6">
        <f>Sheet1!D1437</f>
        <v>192.5</v>
      </c>
      <c r="E1437" s="6">
        <f>Sheet1!E1437</f>
        <v>188.35</v>
      </c>
      <c r="F1437" s="6">
        <f>Sheet1!F1437</f>
        <v>189.9</v>
      </c>
      <c r="H1437" s="6">
        <f ca="1">IF(ROW($H1437)-1&lt;$I$1,$F1437,AVERAGE($F1437:OFFSET($F1437,(($I$1-1)*-1),0)))</f>
        <v>184.08333333333334</v>
      </c>
      <c r="J1437" s="6">
        <f ca="1">IF(ROW($J1437)-1&lt;$K$1,$F1437,AVERAGE($F1437:OFFSET($F1437,(($K$1-1)*-1),0)))</f>
        <v>176.39821428571426</v>
      </c>
      <c r="L1437" s="7">
        <f t="shared" ca="1" si="132"/>
        <v>1</v>
      </c>
      <c r="M1437" s="7" t="str">
        <f t="shared" ca="1" si="133"/>
        <v/>
      </c>
      <c r="N1437" s="6" t="str">
        <f t="shared" ca="1" si="134"/>
        <v/>
      </c>
      <c r="O1437" s="6">
        <f t="shared" si="135"/>
        <v>2.25</v>
      </c>
      <c r="Q1437" s="6">
        <v>4.0500000000000114</v>
      </c>
      <c r="R1437" s="9">
        <f t="shared" si="136"/>
        <v>1518.7500000000043</v>
      </c>
      <c r="S1437" s="7">
        <f t="shared" si="137"/>
        <v>9543.7500000000218</v>
      </c>
    </row>
    <row r="1438" spans="1:19" x14ac:dyDescent="0.25">
      <c r="A1438" s="4">
        <f>Sheet1!A1438</f>
        <v>41169</v>
      </c>
      <c r="B1438" s="5">
        <f>Sheet1!B1438</f>
        <v>0.58333333333333337</v>
      </c>
      <c r="C1438" s="6">
        <f>Sheet1!C1438</f>
        <v>189.95</v>
      </c>
      <c r="D1438" s="6">
        <f>Sheet1!D1438</f>
        <v>192.35</v>
      </c>
      <c r="E1438" s="6">
        <f>Sheet1!E1438</f>
        <v>182.9</v>
      </c>
      <c r="F1438" s="6">
        <f>Sheet1!F1438</f>
        <v>184.45</v>
      </c>
      <c r="H1438" s="6">
        <f ca="1">IF(ROW($H1438)-1&lt;$I$1,$F1438,AVERAGE($F1438:OFFSET($F1438,(($I$1-1)*-1),0)))</f>
        <v>186.18333333333331</v>
      </c>
      <c r="J1438" s="6">
        <f ca="1">IF(ROW($J1438)-1&lt;$K$1,$F1438,AVERAGE($F1438:OFFSET($F1438,(($K$1-1)*-1),0)))</f>
        <v>176.3946428571428</v>
      </c>
      <c r="L1438" s="7">
        <f t="shared" ca="1" si="132"/>
        <v>1</v>
      </c>
      <c r="M1438" s="7" t="str">
        <f t="shared" ca="1" si="133"/>
        <v/>
      </c>
      <c r="N1438" s="6" t="str">
        <f t="shared" ca="1" si="134"/>
        <v/>
      </c>
      <c r="O1438" s="6">
        <f t="shared" si="135"/>
        <v>-5.4500000000000171</v>
      </c>
      <c r="Q1438" s="6">
        <v>-1.4000000000000057</v>
      </c>
      <c r="R1438" s="9">
        <f t="shared" si="136"/>
        <v>-525.00000000000216</v>
      </c>
      <c r="S1438" s="7">
        <f t="shared" si="137"/>
        <v>9543.7500000000218</v>
      </c>
    </row>
    <row r="1439" spans="1:19" x14ac:dyDescent="0.25">
      <c r="A1439" s="4">
        <f>Sheet1!A1439</f>
        <v>41170</v>
      </c>
      <c r="B1439" s="5">
        <f>Sheet1!B1439</f>
        <v>0.58333333333333337</v>
      </c>
      <c r="C1439" s="6">
        <f>Sheet1!C1439</f>
        <v>183.95</v>
      </c>
      <c r="D1439" s="6">
        <f>Sheet1!D1439</f>
        <v>187.25</v>
      </c>
      <c r="E1439" s="6">
        <f>Sheet1!E1439</f>
        <v>180.45</v>
      </c>
      <c r="F1439" s="6">
        <f>Sheet1!F1439</f>
        <v>186.3</v>
      </c>
      <c r="H1439" s="6">
        <f ca="1">IF(ROW($H1439)-1&lt;$I$1,$F1439,AVERAGE($F1439:OFFSET($F1439,(($I$1-1)*-1),0)))</f>
        <v>186.82499999999996</v>
      </c>
      <c r="J1439" s="6">
        <f ca="1">IF(ROW($J1439)-1&lt;$K$1,$F1439,AVERAGE($F1439:OFFSET($F1439,(($K$1-1)*-1),0)))</f>
        <v>176.53392857142853</v>
      </c>
      <c r="L1439" s="7">
        <f t="shared" ca="1" si="132"/>
        <v>1</v>
      </c>
      <c r="M1439" s="7" t="str">
        <f t="shared" ca="1" si="133"/>
        <v/>
      </c>
      <c r="N1439" s="6" t="str">
        <f t="shared" ca="1" si="134"/>
        <v/>
      </c>
      <c r="O1439" s="6">
        <f t="shared" si="135"/>
        <v>1.8500000000000227</v>
      </c>
      <c r="Q1439" s="6">
        <v>0.45000000000001705</v>
      </c>
      <c r="R1439" s="9">
        <f t="shared" si="136"/>
        <v>168.75000000000639</v>
      </c>
      <c r="S1439" s="7">
        <f t="shared" si="137"/>
        <v>9543.7500000000218</v>
      </c>
    </row>
    <row r="1440" spans="1:19" x14ac:dyDescent="0.25">
      <c r="A1440" s="4">
        <f>Sheet1!A1440</f>
        <v>41171</v>
      </c>
      <c r="B1440" s="5">
        <f>Sheet1!B1440</f>
        <v>0.58333333333333337</v>
      </c>
      <c r="C1440" s="6">
        <f>Sheet1!C1440</f>
        <v>186.85</v>
      </c>
      <c r="D1440" s="6">
        <f>Sheet1!D1440</f>
        <v>187.9</v>
      </c>
      <c r="E1440" s="6">
        <f>Sheet1!E1440</f>
        <v>181.15</v>
      </c>
      <c r="F1440" s="6">
        <f>Sheet1!F1440</f>
        <v>183.2</v>
      </c>
      <c r="H1440" s="6">
        <f ca="1">IF(ROW($H1440)-1&lt;$I$1,$F1440,AVERAGE($F1440:OFFSET($F1440,(($I$1-1)*-1),0)))</f>
        <v>186.29999999999998</v>
      </c>
      <c r="J1440" s="6">
        <f ca="1">IF(ROW($J1440)-1&lt;$K$1,$F1440,AVERAGE($F1440:OFFSET($F1440,(($K$1-1)*-1),0)))</f>
        <v>176.70714285714283</v>
      </c>
      <c r="L1440" s="7">
        <f t="shared" ca="1" si="132"/>
        <v>1</v>
      </c>
      <c r="M1440" s="7" t="str">
        <f t="shared" ca="1" si="133"/>
        <v/>
      </c>
      <c r="N1440" s="6" t="str">
        <f t="shared" ca="1" si="134"/>
        <v/>
      </c>
      <c r="O1440" s="6">
        <f t="shared" si="135"/>
        <v>-3.1000000000000227</v>
      </c>
      <c r="Q1440" s="6">
        <v>-2.6500000000000057</v>
      </c>
      <c r="R1440" s="9">
        <f t="shared" si="136"/>
        <v>-993.75000000000216</v>
      </c>
      <c r="S1440" s="7">
        <f t="shared" si="137"/>
        <v>9543.7500000000218</v>
      </c>
    </row>
    <row r="1441" spans="1:19" x14ac:dyDescent="0.25">
      <c r="A1441" s="4">
        <f>Sheet1!A1441</f>
        <v>41172</v>
      </c>
      <c r="B1441" s="5">
        <f>Sheet1!B1441</f>
        <v>0.58333333333333337</v>
      </c>
      <c r="C1441" s="6">
        <f>Sheet1!C1441</f>
        <v>183</v>
      </c>
      <c r="D1441" s="6">
        <f>Sheet1!D1441</f>
        <v>183.3</v>
      </c>
      <c r="E1441" s="6">
        <f>Sheet1!E1441</f>
        <v>177.1</v>
      </c>
      <c r="F1441" s="6">
        <f>Sheet1!F1441</f>
        <v>177.4</v>
      </c>
      <c r="H1441" s="6">
        <f ca="1">IF(ROW($H1441)-1&lt;$I$1,$F1441,AVERAGE($F1441:OFFSET($F1441,(($I$1-1)*-1),0)))</f>
        <v>184.81666666666669</v>
      </c>
      <c r="J1441" s="6">
        <f ca="1">IF(ROW($J1441)-1&lt;$K$1,$F1441,AVERAGE($F1441:OFFSET($F1441,(($K$1-1)*-1),0)))</f>
        <v>176.6803571428571</v>
      </c>
      <c r="L1441" s="7">
        <f t="shared" ca="1" si="132"/>
        <v>1</v>
      </c>
      <c r="M1441" s="7" t="str">
        <f t="shared" ca="1" si="133"/>
        <v/>
      </c>
      <c r="N1441" s="6" t="str">
        <f t="shared" ca="1" si="134"/>
        <v/>
      </c>
      <c r="O1441" s="6">
        <f t="shared" si="135"/>
        <v>-5.7999999999999829</v>
      </c>
      <c r="Q1441" s="6">
        <v>-8.4499999999999886</v>
      </c>
      <c r="R1441" s="9">
        <f t="shared" si="136"/>
        <v>-3168.7499999999959</v>
      </c>
      <c r="S1441" s="7">
        <f t="shared" si="137"/>
        <v>9543.7500000000218</v>
      </c>
    </row>
    <row r="1442" spans="1:19" x14ac:dyDescent="0.25">
      <c r="A1442" s="4">
        <f>Sheet1!A1442</f>
        <v>41173</v>
      </c>
      <c r="B1442" s="5">
        <f>Sheet1!B1442</f>
        <v>0.58333333333333337</v>
      </c>
      <c r="C1442" s="6">
        <f>Sheet1!C1442</f>
        <v>177.4</v>
      </c>
      <c r="D1442" s="6">
        <f>Sheet1!D1442</f>
        <v>182.6</v>
      </c>
      <c r="E1442" s="6">
        <f>Sheet1!E1442</f>
        <v>177.4</v>
      </c>
      <c r="F1442" s="6">
        <f>Sheet1!F1442</f>
        <v>182.1</v>
      </c>
      <c r="H1442" s="6">
        <f ca="1">IF(ROW($H1442)-1&lt;$I$1,$F1442,AVERAGE($F1442:OFFSET($F1442,(($I$1-1)*-1),0)))</f>
        <v>183.89166666666668</v>
      </c>
      <c r="J1442" s="6">
        <f ca="1">IF(ROW($J1442)-1&lt;$K$1,$F1442,AVERAGE($F1442:OFFSET($F1442,(($K$1-1)*-1),0)))</f>
        <v>176.90357142857144</v>
      </c>
      <c r="L1442" s="7">
        <f t="shared" ca="1" si="132"/>
        <v>1</v>
      </c>
      <c r="M1442" s="7" t="str">
        <f t="shared" ca="1" si="133"/>
        <v/>
      </c>
      <c r="N1442" s="6" t="str">
        <f t="shared" ca="1" si="134"/>
        <v/>
      </c>
      <c r="O1442" s="6">
        <f t="shared" si="135"/>
        <v>4.6999999999999886</v>
      </c>
      <c r="Q1442" s="6">
        <v>-3.75</v>
      </c>
      <c r="R1442" s="9">
        <f t="shared" si="136"/>
        <v>-1406.25</v>
      </c>
      <c r="S1442" s="7">
        <f t="shared" si="137"/>
        <v>9543.7500000000218</v>
      </c>
    </row>
    <row r="1443" spans="1:19" x14ac:dyDescent="0.25">
      <c r="A1443" s="4">
        <f>Sheet1!A1443</f>
        <v>41176</v>
      </c>
      <c r="B1443" s="5">
        <f>Sheet1!B1443</f>
        <v>0.58333333333333337</v>
      </c>
      <c r="C1443" s="6">
        <f>Sheet1!C1443</f>
        <v>180.6</v>
      </c>
      <c r="D1443" s="6">
        <f>Sheet1!D1443</f>
        <v>181.55</v>
      </c>
      <c r="E1443" s="6">
        <f>Sheet1!E1443</f>
        <v>176.45</v>
      </c>
      <c r="F1443" s="6">
        <f>Sheet1!F1443</f>
        <v>181.1</v>
      </c>
      <c r="H1443" s="6">
        <f ca="1">IF(ROW($H1443)-1&lt;$I$1,$F1443,AVERAGE($F1443:OFFSET($F1443,(($I$1-1)*-1),0)))</f>
        <v>182.42499999999998</v>
      </c>
      <c r="J1443" s="6">
        <f ca="1">IF(ROW($J1443)-1&lt;$K$1,$F1443,AVERAGE($F1443:OFFSET($F1443,(($K$1-1)*-1),0)))</f>
        <v>177.12857142857143</v>
      </c>
      <c r="L1443" s="7">
        <f t="shared" ca="1" si="132"/>
        <v>1</v>
      </c>
      <c r="M1443" s="7" t="str">
        <f t="shared" ca="1" si="133"/>
        <v/>
      </c>
      <c r="N1443" s="6" t="str">
        <f t="shared" ca="1" si="134"/>
        <v/>
      </c>
      <c r="O1443" s="6">
        <f t="shared" si="135"/>
        <v>-1</v>
      </c>
      <c r="Q1443" s="6">
        <v>-4.75</v>
      </c>
      <c r="R1443" s="9">
        <f t="shared" si="136"/>
        <v>-1781.25</v>
      </c>
      <c r="S1443" s="7">
        <f t="shared" si="137"/>
        <v>9543.7500000000218</v>
      </c>
    </row>
    <row r="1444" spans="1:19" x14ac:dyDescent="0.25">
      <c r="A1444" s="4">
        <f>Sheet1!A1444</f>
        <v>41177</v>
      </c>
      <c r="B1444" s="5">
        <f>Sheet1!B1444</f>
        <v>0.58333333333333337</v>
      </c>
      <c r="C1444" s="6">
        <f>Sheet1!C1444</f>
        <v>181.25</v>
      </c>
      <c r="D1444" s="6">
        <f>Sheet1!D1444</f>
        <v>183.65</v>
      </c>
      <c r="E1444" s="6">
        <f>Sheet1!E1444</f>
        <v>180.35</v>
      </c>
      <c r="F1444" s="6">
        <f>Sheet1!F1444</f>
        <v>182.45</v>
      </c>
      <c r="H1444" s="6">
        <f ca="1">IF(ROW($H1444)-1&lt;$I$1,$F1444,AVERAGE($F1444:OFFSET($F1444,(($I$1-1)*-1),0)))</f>
        <v>182.09166666666667</v>
      </c>
      <c r="J1444" s="6">
        <f ca="1">IF(ROW($J1444)-1&lt;$K$1,$F1444,AVERAGE($F1444:OFFSET($F1444,(($K$1-1)*-1),0)))</f>
        <v>177.43928571428572</v>
      </c>
      <c r="L1444" s="7">
        <f t="shared" ca="1" si="132"/>
        <v>1</v>
      </c>
      <c r="M1444" s="7" t="str">
        <f t="shared" ca="1" si="133"/>
        <v/>
      </c>
      <c r="N1444" s="6" t="str">
        <f t="shared" ca="1" si="134"/>
        <v/>
      </c>
      <c r="O1444" s="6">
        <f t="shared" si="135"/>
        <v>1.3499999999999943</v>
      </c>
      <c r="Q1444" s="6">
        <v>-3.4000000000000057</v>
      </c>
      <c r="R1444" s="9">
        <f t="shared" si="136"/>
        <v>-1275.000000000002</v>
      </c>
      <c r="S1444" s="7">
        <f t="shared" si="137"/>
        <v>9543.7500000000218</v>
      </c>
    </row>
    <row r="1445" spans="1:19" x14ac:dyDescent="0.25">
      <c r="A1445" s="4">
        <f>Sheet1!A1445</f>
        <v>41178</v>
      </c>
      <c r="B1445" s="5">
        <f>Sheet1!B1445</f>
        <v>0.58333333333333337</v>
      </c>
      <c r="C1445" s="6">
        <f>Sheet1!C1445</f>
        <v>181.8</v>
      </c>
      <c r="D1445" s="6">
        <f>Sheet1!D1445</f>
        <v>182.05</v>
      </c>
      <c r="E1445" s="6">
        <f>Sheet1!E1445</f>
        <v>177.8</v>
      </c>
      <c r="F1445" s="6">
        <f>Sheet1!F1445</f>
        <v>178.25</v>
      </c>
      <c r="H1445" s="6">
        <f ca="1">IF(ROW($H1445)-1&lt;$I$1,$F1445,AVERAGE($F1445:OFFSET($F1445,(($I$1-1)*-1),0)))</f>
        <v>180.75</v>
      </c>
      <c r="J1445" s="6">
        <f ca="1">IF(ROW($J1445)-1&lt;$K$1,$F1445,AVERAGE($F1445:OFFSET($F1445,(($K$1-1)*-1),0)))</f>
        <v>177.71250000000003</v>
      </c>
      <c r="L1445" s="7">
        <f t="shared" ca="1" si="132"/>
        <v>1</v>
      </c>
      <c r="M1445" s="7" t="str">
        <f t="shared" ca="1" si="133"/>
        <v/>
      </c>
      <c r="N1445" s="6" t="str">
        <f t="shared" ca="1" si="134"/>
        <v/>
      </c>
      <c r="O1445" s="6">
        <f t="shared" si="135"/>
        <v>-4.1999999999999886</v>
      </c>
      <c r="Q1445" s="6">
        <v>-7.5999999999999943</v>
      </c>
      <c r="R1445" s="9">
        <f t="shared" si="136"/>
        <v>-2849.9999999999977</v>
      </c>
      <c r="S1445" s="7">
        <f t="shared" si="137"/>
        <v>9543.7500000000218</v>
      </c>
    </row>
    <row r="1446" spans="1:19" x14ac:dyDescent="0.25">
      <c r="A1446" s="4">
        <f>Sheet1!A1446</f>
        <v>41179</v>
      </c>
      <c r="B1446" s="5">
        <f>Sheet1!B1446</f>
        <v>0.58333333333333337</v>
      </c>
      <c r="C1446" s="6">
        <f>Sheet1!C1446</f>
        <v>178.4</v>
      </c>
      <c r="D1446" s="6">
        <f>Sheet1!D1446</f>
        <v>183.45</v>
      </c>
      <c r="E1446" s="6">
        <f>Sheet1!E1446</f>
        <v>178.25</v>
      </c>
      <c r="F1446" s="6">
        <f>Sheet1!F1446</f>
        <v>183.1</v>
      </c>
      <c r="H1446" s="6">
        <f ca="1">IF(ROW($H1446)-1&lt;$I$1,$F1446,AVERAGE($F1446:OFFSET($F1446,(($I$1-1)*-1),0)))</f>
        <v>180.73333333333332</v>
      </c>
      <c r="J1446" s="6">
        <f ca="1">IF(ROW($J1446)-1&lt;$K$1,$F1446,AVERAGE($F1446:OFFSET($F1446,(($K$1-1)*-1),0)))</f>
        <v>178.10892857142858</v>
      </c>
      <c r="L1446" s="7">
        <f t="shared" ca="1" si="132"/>
        <v>1</v>
      </c>
      <c r="M1446" s="7" t="str">
        <f t="shared" ca="1" si="133"/>
        <v/>
      </c>
      <c r="N1446" s="6" t="str">
        <f t="shared" ca="1" si="134"/>
        <v/>
      </c>
      <c r="O1446" s="6">
        <f t="shared" si="135"/>
        <v>4.8499999999999943</v>
      </c>
      <c r="Q1446" s="6">
        <v>-2.75</v>
      </c>
      <c r="R1446" s="9">
        <f t="shared" si="136"/>
        <v>-1031.25</v>
      </c>
      <c r="S1446" s="7">
        <f t="shared" si="137"/>
        <v>9543.7500000000218</v>
      </c>
    </row>
    <row r="1447" spans="1:19" x14ac:dyDescent="0.25">
      <c r="A1447" s="4">
        <f>Sheet1!A1447</f>
        <v>41180</v>
      </c>
      <c r="B1447" s="5">
        <f>Sheet1!B1447</f>
        <v>0.58333333333333337</v>
      </c>
      <c r="C1447" s="6">
        <f>Sheet1!C1447</f>
        <v>183.05</v>
      </c>
      <c r="D1447" s="6">
        <f>Sheet1!D1447</f>
        <v>184</v>
      </c>
      <c r="E1447" s="6">
        <f>Sheet1!E1447</f>
        <v>179.05</v>
      </c>
      <c r="F1447" s="6">
        <f>Sheet1!F1447</f>
        <v>182.3</v>
      </c>
      <c r="H1447" s="6">
        <f ca="1">IF(ROW($H1447)-1&lt;$I$1,$F1447,AVERAGE($F1447:OFFSET($F1447,(($I$1-1)*-1),0)))</f>
        <v>181.54999999999998</v>
      </c>
      <c r="J1447" s="6">
        <f ca="1">IF(ROW($J1447)-1&lt;$K$1,$F1447,AVERAGE($F1447:OFFSET($F1447,(($K$1-1)*-1),0)))</f>
        <v>178.42857142857147</v>
      </c>
      <c r="L1447" s="7">
        <f t="shared" ca="1" si="132"/>
        <v>1</v>
      </c>
      <c r="M1447" s="7" t="str">
        <f t="shared" ca="1" si="133"/>
        <v/>
      </c>
      <c r="N1447" s="6" t="str">
        <f t="shared" ca="1" si="134"/>
        <v/>
      </c>
      <c r="O1447" s="6">
        <f t="shared" si="135"/>
        <v>-0.79999999999998295</v>
      </c>
      <c r="Q1447" s="6">
        <v>-3.5499999999999829</v>
      </c>
      <c r="R1447" s="9">
        <f t="shared" si="136"/>
        <v>-1331.2499999999936</v>
      </c>
      <c r="S1447" s="7">
        <f t="shared" si="137"/>
        <v>9543.7500000000218</v>
      </c>
    </row>
    <row r="1448" spans="1:19" x14ac:dyDescent="0.25">
      <c r="A1448" s="4">
        <f>Sheet1!A1448</f>
        <v>41183</v>
      </c>
      <c r="B1448" s="5">
        <f>Sheet1!B1448</f>
        <v>0.58333333333333337</v>
      </c>
      <c r="C1448" s="6">
        <f>Sheet1!C1448</f>
        <v>181.65</v>
      </c>
      <c r="D1448" s="6">
        <f>Sheet1!D1448</f>
        <v>187.75</v>
      </c>
      <c r="E1448" s="6">
        <f>Sheet1!E1448</f>
        <v>180.95</v>
      </c>
      <c r="F1448" s="6">
        <f>Sheet1!F1448</f>
        <v>186.85</v>
      </c>
      <c r="H1448" s="6">
        <f ca="1">IF(ROW($H1448)-1&lt;$I$1,$F1448,AVERAGE($F1448:OFFSET($F1448,(($I$1-1)*-1),0)))</f>
        <v>182.34166666666667</v>
      </c>
      <c r="J1448" s="6">
        <f ca="1">IF(ROW($J1448)-1&lt;$K$1,$F1448,AVERAGE($F1448:OFFSET($F1448,(($K$1-1)*-1),0)))</f>
        <v>178.92321428571429</v>
      </c>
      <c r="L1448" s="7">
        <f t="shared" ca="1" si="132"/>
        <v>1</v>
      </c>
      <c r="M1448" s="7" t="str">
        <f t="shared" ca="1" si="133"/>
        <v/>
      </c>
      <c r="N1448" s="6" t="str">
        <f t="shared" ca="1" si="134"/>
        <v/>
      </c>
      <c r="O1448" s="6">
        <f t="shared" si="135"/>
        <v>4.5499999999999829</v>
      </c>
      <c r="Q1448" s="6">
        <v>1</v>
      </c>
      <c r="R1448" s="9">
        <f t="shared" si="136"/>
        <v>375</v>
      </c>
      <c r="S1448" s="7">
        <f t="shared" si="137"/>
        <v>9543.7500000000218</v>
      </c>
    </row>
    <row r="1449" spans="1:19" x14ac:dyDescent="0.25">
      <c r="A1449" s="4">
        <f>Sheet1!A1449</f>
        <v>41184</v>
      </c>
      <c r="B1449" s="5">
        <f>Sheet1!B1449</f>
        <v>0.58333333333333337</v>
      </c>
      <c r="C1449" s="6">
        <f>Sheet1!C1449</f>
        <v>186.9</v>
      </c>
      <c r="D1449" s="6">
        <f>Sheet1!D1449</f>
        <v>193.35</v>
      </c>
      <c r="E1449" s="6">
        <f>Sheet1!E1449</f>
        <v>186.75</v>
      </c>
      <c r="F1449" s="6">
        <f>Sheet1!F1449</f>
        <v>192.45</v>
      </c>
      <c r="H1449" s="6">
        <f ca="1">IF(ROW($H1449)-1&lt;$I$1,$F1449,AVERAGE($F1449:OFFSET($F1449,(($I$1-1)*-1),0)))</f>
        <v>184.23333333333332</v>
      </c>
      <c r="J1449" s="6">
        <f ca="1">IF(ROW($J1449)-1&lt;$K$1,$F1449,AVERAGE($F1449:OFFSET($F1449,(($K$1-1)*-1),0)))</f>
        <v>179.69285714285715</v>
      </c>
      <c r="L1449" s="7">
        <f t="shared" ca="1" si="132"/>
        <v>1</v>
      </c>
      <c r="M1449" s="7" t="str">
        <f t="shared" ca="1" si="133"/>
        <v/>
      </c>
      <c r="N1449" s="6" t="str">
        <f t="shared" ca="1" si="134"/>
        <v/>
      </c>
      <c r="O1449" s="6">
        <f t="shared" si="135"/>
        <v>5.5999999999999943</v>
      </c>
      <c r="Q1449" s="6">
        <v>6.5999999999999943</v>
      </c>
      <c r="R1449" s="9">
        <f t="shared" si="136"/>
        <v>2474.9999999999977</v>
      </c>
      <c r="S1449" s="7">
        <f t="shared" si="137"/>
        <v>9543.7500000000218</v>
      </c>
    </row>
    <row r="1450" spans="1:19" x14ac:dyDescent="0.25">
      <c r="A1450" s="4">
        <f>Sheet1!A1450</f>
        <v>41185</v>
      </c>
      <c r="B1450" s="5">
        <f>Sheet1!B1450</f>
        <v>0.58333333333333337</v>
      </c>
      <c r="C1450" s="6">
        <f>Sheet1!C1450</f>
        <v>190.3</v>
      </c>
      <c r="D1450" s="6">
        <f>Sheet1!D1450</f>
        <v>194.25</v>
      </c>
      <c r="E1450" s="6">
        <f>Sheet1!E1450</f>
        <v>189.3</v>
      </c>
      <c r="F1450" s="6">
        <f>Sheet1!F1450</f>
        <v>189.85</v>
      </c>
      <c r="H1450" s="6">
        <f ca="1">IF(ROW($H1450)-1&lt;$I$1,$F1450,AVERAGE($F1450:OFFSET($F1450,(($I$1-1)*-1),0)))</f>
        <v>185.46666666666667</v>
      </c>
      <c r="J1450" s="6">
        <f ca="1">IF(ROW($J1450)-1&lt;$K$1,$F1450,AVERAGE($F1450:OFFSET($F1450,(($K$1-1)*-1),0)))</f>
        <v>180.37857142857143</v>
      </c>
      <c r="L1450" s="7">
        <f t="shared" ca="1" si="132"/>
        <v>1</v>
      </c>
      <c r="M1450" s="7" t="str">
        <f t="shared" ca="1" si="133"/>
        <v/>
      </c>
      <c r="N1450" s="6" t="str">
        <f t="shared" ca="1" si="134"/>
        <v/>
      </c>
      <c r="O1450" s="6">
        <f t="shared" si="135"/>
        <v>-2.5999999999999943</v>
      </c>
      <c r="Q1450" s="6">
        <v>4</v>
      </c>
      <c r="R1450" s="9">
        <f t="shared" si="136"/>
        <v>1500</v>
      </c>
      <c r="S1450" s="7">
        <f t="shared" si="137"/>
        <v>9543.7500000000218</v>
      </c>
    </row>
    <row r="1451" spans="1:19" x14ac:dyDescent="0.25">
      <c r="A1451" s="4">
        <f>Sheet1!A1451</f>
        <v>41186</v>
      </c>
      <c r="B1451" s="5">
        <f>Sheet1!B1451</f>
        <v>0.58333333333333337</v>
      </c>
      <c r="C1451" s="6">
        <f>Sheet1!C1451</f>
        <v>189.85</v>
      </c>
      <c r="D1451" s="6">
        <f>Sheet1!D1451</f>
        <v>192.6</v>
      </c>
      <c r="E1451" s="6">
        <f>Sheet1!E1451</f>
        <v>182.2</v>
      </c>
      <c r="F1451" s="6">
        <f>Sheet1!F1451</f>
        <v>183.85</v>
      </c>
      <c r="H1451" s="6">
        <f ca="1">IF(ROW($H1451)-1&lt;$I$1,$F1451,AVERAGE($F1451:OFFSET($F1451,(($I$1-1)*-1),0)))</f>
        <v>186.4</v>
      </c>
      <c r="J1451" s="6">
        <f ca="1">IF(ROW($J1451)-1&lt;$K$1,$F1451,AVERAGE($F1451:OFFSET($F1451,(($K$1-1)*-1),0)))</f>
        <v>180.81250000000003</v>
      </c>
      <c r="L1451" s="7">
        <f t="shared" ca="1" si="132"/>
        <v>1</v>
      </c>
      <c r="M1451" s="7" t="str">
        <f t="shared" ca="1" si="133"/>
        <v/>
      </c>
      <c r="N1451" s="6" t="str">
        <f t="shared" ca="1" si="134"/>
        <v/>
      </c>
      <c r="O1451" s="6">
        <f t="shared" si="135"/>
        <v>-6</v>
      </c>
      <c r="Q1451" s="6">
        <v>-2</v>
      </c>
      <c r="R1451" s="9">
        <f t="shared" si="136"/>
        <v>-750</v>
      </c>
      <c r="S1451" s="7">
        <f t="shared" si="137"/>
        <v>9543.7500000000218</v>
      </c>
    </row>
    <row r="1452" spans="1:19" x14ac:dyDescent="0.25">
      <c r="A1452" s="4">
        <f>Sheet1!A1452</f>
        <v>41187</v>
      </c>
      <c r="B1452" s="5">
        <f>Sheet1!B1452</f>
        <v>0.58333333333333337</v>
      </c>
      <c r="C1452" s="6">
        <f>Sheet1!C1452</f>
        <v>183.85</v>
      </c>
      <c r="D1452" s="6">
        <f>Sheet1!D1452</f>
        <v>185.35</v>
      </c>
      <c r="E1452" s="6">
        <f>Sheet1!E1452</f>
        <v>176.5</v>
      </c>
      <c r="F1452" s="6">
        <f>Sheet1!F1452</f>
        <v>176.9</v>
      </c>
      <c r="H1452" s="6">
        <f ca="1">IF(ROW($H1452)-1&lt;$I$1,$F1452,AVERAGE($F1452:OFFSET($F1452,(($I$1-1)*-1),0)))</f>
        <v>185.36666666666667</v>
      </c>
      <c r="J1452" s="6">
        <f ca="1">IF(ROW($J1452)-1&lt;$K$1,$F1452,AVERAGE($F1452:OFFSET($F1452,(($K$1-1)*-1),0)))</f>
        <v>180.83928571428572</v>
      </c>
      <c r="L1452" s="7">
        <f t="shared" ca="1" si="132"/>
        <v>1</v>
      </c>
      <c r="M1452" s="7" t="str">
        <f t="shared" ca="1" si="133"/>
        <v/>
      </c>
      <c r="N1452" s="6" t="str">
        <f t="shared" ca="1" si="134"/>
        <v/>
      </c>
      <c r="O1452" s="6">
        <f t="shared" si="135"/>
        <v>-6.9499999999999886</v>
      </c>
      <c r="Q1452" s="6">
        <v>-8.9499999999999886</v>
      </c>
      <c r="R1452" s="9">
        <f t="shared" si="136"/>
        <v>-3356.2499999999959</v>
      </c>
      <c r="S1452" s="7">
        <f t="shared" si="137"/>
        <v>9543.7500000000218</v>
      </c>
    </row>
    <row r="1453" spans="1:19" x14ac:dyDescent="0.25">
      <c r="A1453" s="4">
        <f>Sheet1!A1453</f>
        <v>41190</v>
      </c>
      <c r="B1453" s="5">
        <f>Sheet1!B1453</f>
        <v>0.58333333333333337</v>
      </c>
      <c r="C1453" s="6">
        <f>Sheet1!C1453</f>
        <v>176.6</v>
      </c>
      <c r="D1453" s="6">
        <f>Sheet1!D1453</f>
        <v>178.2</v>
      </c>
      <c r="E1453" s="6">
        <f>Sheet1!E1453</f>
        <v>175.15</v>
      </c>
      <c r="F1453" s="6">
        <f>Sheet1!F1453</f>
        <v>177.9</v>
      </c>
      <c r="H1453" s="6">
        <f ca="1">IF(ROW($H1453)-1&lt;$I$1,$F1453,AVERAGE($F1453:OFFSET($F1453,(($I$1-1)*-1),0)))</f>
        <v>184.63333333333333</v>
      </c>
      <c r="J1453" s="6">
        <f ca="1">IF(ROW($J1453)-1&lt;$K$1,$F1453,AVERAGE($F1453:OFFSET($F1453,(($K$1-1)*-1),0)))</f>
        <v>180.88035714285712</v>
      </c>
      <c r="L1453" s="7">
        <f t="shared" ca="1" si="132"/>
        <v>1</v>
      </c>
      <c r="M1453" s="7" t="str">
        <f t="shared" ca="1" si="133"/>
        <v/>
      </c>
      <c r="N1453" s="6" t="str">
        <f t="shared" ca="1" si="134"/>
        <v/>
      </c>
      <c r="O1453" s="6">
        <f t="shared" si="135"/>
        <v>1</v>
      </c>
      <c r="Q1453" s="6">
        <v>-7.9499999999999886</v>
      </c>
      <c r="R1453" s="9">
        <f t="shared" si="136"/>
        <v>-2981.2499999999959</v>
      </c>
      <c r="S1453" s="7">
        <f t="shared" si="137"/>
        <v>9543.7500000000218</v>
      </c>
    </row>
    <row r="1454" spans="1:19" x14ac:dyDescent="0.25">
      <c r="A1454" s="4">
        <f>Sheet1!A1454</f>
        <v>41191</v>
      </c>
      <c r="B1454" s="5">
        <f>Sheet1!B1454</f>
        <v>0.58333333333333337</v>
      </c>
      <c r="C1454" s="6">
        <f>Sheet1!C1454</f>
        <v>177.3</v>
      </c>
      <c r="D1454" s="6">
        <f>Sheet1!D1454</f>
        <v>178.8</v>
      </c>
      <c r="E1454" s="6">
        <f>Sheet1!E1454</f>
        <v>172.9</v>
      </c>
      <c r="F1454" s="6">
        <f>Sheet1!F1454</f>
        <v>174.1</v>
      </c>
      <c r="H1454" s="6">
        <f ca="1">IF(ROW($H1454)-1&lt;$I$1,$F1454,AVERAGE($F1454:OFFSET($F1454,(($I$1-1)*-1),0)))</f>
        <v>182.50833333333333</v>
      </c>
      <c r="J1454" s="6">
        <f ca="1">IF(ROW($J1454)-1&lt;$K$1,$F1454,AVERAGE($F1454:OFFSET($F1454,(($K$1-1)*-1),0)))</f>
        <v>180.83214285714286</v>
      </c>
      <c r="L1454" s="7">
        <f t="shared" ca="1" si="132"/>
        <v>1</v>
      </c>
      <c r="M1454" s="7" t="str">
        <f t="shared" ca="1" si="133"/>
        <v/>
      </c>
      <c r="N1454" s="6" t="str">
        <f t="shared" ca="1" si="134"/>
        <v/>
      </c>
      <c r="O1454" s="6">
        <f t="shared" si="135"/>
        <v>-3.8000000000000114</v>
      </c>
      <c r="Q1454" s="6">
        <v>-11.75</v>
      </c>
      <c r="R1454" s="9">
        <f t="shared" si="136"/>
        <v>-4406.25</v>
      </c>
      <c r="S1454" s="7">
        <f t="shared" si="137"/>
        <v>9543.7500000000218</v>
      </c>
    </row>
    <row r="1455" spans="1:19" x14ac:dyDescent="0.25">
      <c r="A1455" s="4">
        <f>Sheet1!A1455</f>
        <v>41192</v>
      </c>
      <c r="B1455" s="5">
        <f>Sheet1!B1455</f>
        <v>0.58333333333333337</v>
      </c>
      <c r="C1455" s="6">
        <f>Sheet1!C1455</f>
        <v>175.45</v>
      </c>
      <c r="D1455" s="6">
        <f>Sheet1!D1455</f>
        <v>175.75</v>
      </c>
      <c r="E1455" s="6">
        <f>Sheet1!E1455</f>
        <v>172.1</v>
      </c>
      <c r="F1455" s="6">
        <f>Sheet1!F1455</f>
        <v>172.25</v>
      </c>
      <c r="H1455" s="6">
        <f ca="1">IF(ROW($H1455)-1&lt;$I$1,$F1455,AVERAGE($F1455:OFFSET($F1455,(($I$1-1)*-1),0)))</f>
        <v>179.14166666666665</v>
      </c>
      <c r="J1455" s="6">
        <f ca="1">IF(ROW($J1455)-1&lt;$K$1,$F1455,AVERAGE($F1455:OFFSET($F1455,(($K$1-1)*-1),0)))</f>
        <v>180.83392857142854</v>
      </c>
      <c r="L1455" s="7">
        <f t="shared" ca="1" si="132"/>
        <v>-1</v>
      </c>
      <c r="M1455" s="7">
        <f t="shared" ca="1" si="133"/>
        <v>-1</v>
      </c>
      <c r="N1455" s="6" t="str">
        <f t="shared" ca="1" si="134"/>
        <v/>
      </c>
      <c r="O1455" s="6">
        <f t="shared" si="135"/>
        <v>-1.8499999999999943</v>
      </c>
      <c r="Q1455" s="6">
        <v>-13.599999999999994</v>
      </c>
      <c r="R1455" s="9">
        <f t="shared" si="136"/>
        <v>-5099.9999999999982</v>
      </c>
      <c r="S1455" s="7">
        <f t="shared" si="137"/>
        <v>9543.7500000000218</v>
      </c>
    </row>
    <row r="1456" spans="1:19" x14ac:dyDescent="0.25">
      <c r="A1456" s="4">
        <f>Sheet1!A1456</f>
        <v>41193</v>
      </c>
      <c r="B1456" s="5">
        <f>Sheet1!B1456</f>
        <v>0.58333333333333337</v>
      </c>
      <c r="C1456" s="6">
        <f>Sheet1!C1456</f>
        <v>172.1</v>
      </c>
      <c r="D1456" s="6">
        <f>Sheet1!D1456</f>
        <v>172.5</v>
      </c>
      <c r="E1456" s="6">
        <f>Sheet1!E1456</f>
        <v>169.1</v>
      </c>
      <c r="F1456" s="6">
        <f>Sheet1!F1456</f>
        <v>169.55</v>
      </c>
      <c r="H1456" s="6">
        <f ca="1">IF(ROW($H1456)-1&lt;$I$1,$F1456,AVERAGE($F1456:OFFSET($F1456,(($I$1-1)*-1),0)))</f>
        <v>175.75833333333333</v>
      </c>
      <c r="J1456" s="6">
        <f ca="1">IF(ROW($J1456)-1&lt;$K$1,$F1456,AVERAGE($F1456:OFFSET($F1456,(($K$1-1)*-1),0)))</f>
        <v>180.69107142857141</v>
      </c>
      <c r="L1456" s="7">
        <f t="shared" ca="1" si="132"/>
        <v>-1</v>
      </c>
      <c r="M1456" s="7" t="str">
        <f t="shared" ca="1" si="133"/>
        <v/>
      </c>
      <c r="N1456" s="6">
        <f t="shared" ca="1" si="134"/>
        <v>172.1</v>
      </c>
      <c r="O1456" s="6">
        <f t="shared" si="135"/>
        <v>-2.6999999999999886</v>
      </c>
      <c r="P1456" s="6">
        <v>-13.75</v>
      </c>
      <c r="Q1456" s="6">
        <v>2.5499999999999829</v>
      </c>
      <c r="R1456" s="9">
        <f t="shared" si="136"/>
        <v>956.24999999999363</v>
      </c>
      <c r="S1456" s="7">
        <f t="shared" si="137"/>
        <v>4387.5000000000218</v>
      </c>
    </row>
    <row r="1457" spans="1:19" x14ac:dyDescent="0.25">
      <c r="A1457" s="4">
        <f>Sheet1!A1457</f>
        <v>41194</v>
      </c>
      <c r="B1457" s="5">
        <f>Sheet1!B1457</f>
        <v>0.58333333333333337</v>
      </c>
      <c r="C1457" s="6">
        <f>Sheet1!C1457</f>
        <v>169.9</v>
      </c>
      <c r="D1457" s="6">
        <f>Sheet1!D1457</f>
        <v>171.9</v>
      </c>
      <c r="E1457" s="6">
        <f>Sheet1!E1457</f>
        <v>168.5</v>
      </c>
      <c r="F1457" s="6">
        <f>Sheet1!F1457</f>
        <v>170.5</v>
      </c>
      <c r="H1457" s="6">
        <f ca="1">IF(ROW($H1457)-1&lt;$I$1,$F1457,AVERAGE($F1457:OFFSET($F1457,(($I$1-1)*-1),0)))</f>
        <v>173.53333333333333</v>
      </c>
      <c r="J1457" s="6">
        <f ca="1">IF(ROW($J1457)-1&lt;$K$1,$F1457,AVERAGE($F1457:OFFSET($F1457,(($K$1-1)*-1),0)))</f>
        <v>180.5625</v>
      </c>
      <c r="L1457" s="7">
        <f t="shared" ca="1" si="132"/>
        <v>-1</v>
      </c>
      <c r="M1457" s="7" t="str">
        <f t="shared" ca="1" si="133"/>
        <v/>
      </c>
      <c r="N1457" s="6" t="str">
        <f t="shared" ca="1" si="134"/>
        <v/>
      </c>
      <c r="O1457" s="6">
        <f t="shared" si="135"/>
        <v>0.94999999999998863</v>
      </c>
      <c r="Q1457" s="6">
        <v>1.5999999999999943</v>
      </c>
      <c r="R1457" s="9">
        <f t="shared" si="136"/>
        <v>599.99999999999784</v>
      </c>
      <c r="S1457" s="7">
        <f t="shared" si="137"/>
        <v>4387.5000000000218</v>
      </c>
    </row>
    <row r="1458" spans="1:19" x14ac:dyDescent="0.25">
      <c r="A1458" s="4">
        <f>Sheet1!A1458</f>
        <v>41197</v>
      </c>
      <c r="B1458" s="5">
        <f>Sheet1!B1458</f>
        <v>0.58333333333333337</v>
      </c>
      <c r="C1458" s="6">
        <f>Sheet1!C1458</f>
        <v>170.5</v>
      </c>
      <c r="D1458" s="6">
        <f>Sheet1!D1458</f>
        <v>171.55</v>
      </c>
      <c r="E1458" s="6">
        <f>Sheet1!E1458</f>
        <v>168.3</v>
      </c>
      <c r="F1458" s="6">
        <f>Sheet1!F1458</f>
        <v>169.65</v>
      </c>
      <c r="H1458" s="6">
        <f ca="1">IF(ROW($H1458)-1&lt;$I$1,$F1458,AVERAGE($F1458:OFFSET($F1458,(($I$1-1)*-1),0)))</f>
        <v>172.32500000000002</v>
      </c>
      <c r="J1458" s="6">
        <f ca="1">IF(ROW($J1458)-1&lt;$K$1,$F1458,AVERAGE($F1458:OFFSET($F1458,(($K$1-1)*-1),0)))</f>
        <v>180.57142857142858</v>
      </c>
      <c r="L1458" s="7">
        <f t="shared" ca="1" si="132"/>
        <v>-1</v>
      </c>
      <c r="M1458" s="7" t="str">
        <f t="shared" ca="1" si="133"/>
        <v/>
      </c>
      <c r="N1458" s="6" t="str">
        <f t="shared" ca="1" si="134"/>
        <v/>
      </c>
      <c r="O1458" s="6">
        <f t="shared" si="135"/>
        <v>-0.84999999999999432</v>
      </c>
      <c r="Q1458" s="6">
        <v>2.4499999999999886</v>
      </c>
      <c r="R1458" s="9">
        <f t="shared" si="136"/>
        <v>918.74999999999568</v>
      </c>
      <c r="S1458" s="7">
        <f t="shared" si="137"/>
        <v>4387.5000000000218</v>
      </c>
    </row>
    <row r="1459" spans="1:19" x14ac:dyDescent="0.25">
      <c r="A1459" s="4">
        <f>Sheet1!A1459</f>
        <v>41198</v>
      </c>
      <c r="B1459" s="5">
        <f>Sheet1!B1459</f>
        <v>0.58333333333333337</v>
      </c>
      <c r="C1459" s="6">
        <f>Sheet1!C1459</f>
        <v>170.3</v>
      </c>
      <c r="D1459" s="6">
        <f>Sheet1!D1459</f>
        <v>172.25</v>
      </c>
      <c r="E1459" s="6">
        <f>Sheet1!E1459</f>
        <v>169.15</v>
      </c>
      <c r="F1459" s="6">
        <f>Sheet1!F1459</f>
        <v>171.6</v>
      </c>
      <c r="H1459" s="6">
        <f ca="1">IF(ROW($H1459)-1&lt;$I$1,$F1459,AVERAGE($F1459:OFFSET($F1459,(($I$1-1)*-1),0)))</f>
        <v>171.27500000000001</v>
      </c>
      <c r="J1459" s="6">
        <f ca="1">IF(ROW($J1459)-1&lt;$K$1,$F1459,AVERAGE($F1459:OFFSET($F1459,(($K$1-1)*-1),0)))</f>
        <v>180.73571428571429</v>
      </c>
      <c r="L1459" s="7">
        <f t="shared" ca="1" si="132"/>
        <v>-1</v>
      </c>
      <c r="M1459" s="7" t="str">
        <f t="shared" ca="1" si="133"/>
        <v/>
      </c>
      <c r="N1459" s="6" t="str">
        <f t="shared" ca="1" si="134"/>
        <v/>
      </c>
      <c r="O1459" s="6">
        <f t="shared" si="135"/>
        <v>1.9499999999999886</v>
      </c>
      <c r="Q1459" s="6">
        <v>0.5</v>
      </c>
      <c r="R1459" s="9">
        <f t="shared" si="136"/>
        <v>187.5</v>
      </c>
      <c r="S1459" s="7">
        <f t="shared" si="137"/>
        <v>4387.5000000000218</v>
      </c>
    </row>
    <row r="1460" spans="1:19" x14ac:dyDescent="0.25">
      <c r="A1460" s="4">
        <f>Sheet1!A1460</f>
        <v>41199</v>
      </c>
      <c r="B1460" s="5">
        <f>Sheet1!B1460</f>
        <v>0.58333333333333337</v>
      </c>
      <c r="C1460" s="6">
        <f>Sheet1!C1460</f>
        <v>171.8</v>
      </c>
      <c r="D1460" s="6">
        <f>Sheet1!D1460</f>
        <v>172.15</v>
      </c>
      <c r="E1460" s="6">
        <f>Sheet1!E1460</f>
        <v>168.4</v>
      </c>
      <c r="F1460" s="6">
        <f>Sheet1!F1460</f>
        <v>170.3</v>
      </c>
      <c r="H1460" s="6">
        <f ca="1">IF(ROW($H1460)-1&lt;$I$1,$F1460,AVERAGE($F1460:OFFSET($F1460,(($I$1-1)*-1),0)))</f>
        <v>170.64166666666665</v>
      </c>
      <c r="J1460" s="6">
        <f ca="1">IF(ROW($J1460)-1&lt;$K$1,$F1460,AVERAGE($F1460:OFFSET($F1460,(($K$1-1)*-1),0)))</f>
        <v>180.6803571428571</v>
      </c>
      <c r="L1460" s="7">
        <f t="shared" ca="1" si="132"/>
        <v>-1</v>
      </c>
      <c r="M1460" s="7" t="str">
        <f t="shared" ca="1" si="133"/>
        <v/>
      </c>
      <c r="N1460" s="6" t="str">
        <f t="shared" ca="1" si="134"/>
        <v/>
      </c>
      <c r="O1460" s="6">
        <f t="shared" si="135"/>
        <v>-1.2999999999999829</v>
      </c>
      <c r="Q1460" s="6">
        <v>1.7999999999999829</v>
      </c>
      <c r="R1460" s="9">
        <f t="shared" si="136"/>
        <v>674.99999999999363</v>
      </c>
      <c r="S1460" s="7">
        <f t="shared" si="137"/>
        <v>4387.5000000000218</v>
      </c>
    </row>
    <row r="1461" spans="1:19" x14ac:dyDescent="0.25">
      <c r="A1461" s="4">
        <f>Sheet1!A1461</f>
        <v>41200</v>
      </c>
      <c r="B1461" s="5">
        <f>Sheet1!B1461</f>
        <v>0.58333333333333337</v>
      </c>
      <c r="C1461" s="6">
        <f>Sheet1!C1461</f>
        <v>169.9</v>
      </c>
      <c r="D1461" s="6">
        <f>Sheet1!D1461</f>
        <v>170.35</v>
      </c>
      <c r="E1461" s="6">
        <f>Sheet1!E1461</f>
        <v>165.95</v>
      </c>
      <c r="F1461" s="6">
        <f>Sheet1!F1461</f>
        <v>167.4</v>
      </c>
      <c r="H1461" s="6">
        <f ca="1">IF(ROW($H1461)-1&lt;$I$1,$F1461,AVERAGE($F1461:OFFSET($F1461,(($I$1-1)*-1),0)))</f>
        <v>169.83333333333334</v>
      </c>
      <c r="J1461" s="6">
        <f ca="1">IF(ROW($J1461)-1&lt;$K$1,$F1461,AVERAGE($F1461:OFFSET($F1461,(($K$1-1)*-1),0)))</f>
        <v>180.14285714285711</v>
      </c>
      <c r="L1461" s="7">
        <f t="shared" ca="1" si="132"/>
        <v>-1</v>
      </c>
      <c r="M1461" s="7" t="str">
        <f t="shared" ca="1" si="133"/>
        <v/>
      </c>
      <c r="N1461" s="6" t="str">
        <f t="shared" ca="1" si="134"/>
        <v/>
      </c>
      <c r="O1461" s="6">
        <f t="shared" si="135"/>
        <v>-2.9000000000000057</v>
      </c>
      <c r="Q1461" s="6">
        <v>4.6999999999999886</v>
      </c>
      <c r="R1461" s="9">
        <f t="shared" si="136"/>
        <v>1762.4999999999957</v>
      </c>
      <c r="S1461" s="7">
        <f t="shared" si="137"/>
        <v>4387.5000000000218</v>
      </c>
    </row>
    <row r="1462" spans="1:19" x14ac:dyDescent="0.25">
      <c r="A1462" s="4">
        <f>Sheet1!A1462</f>
        <v>41201</v>
      </c>
      <c r="B1462" s="5">
        <f>Sheet1!B1462</f>
        <v>0.58333333333333337</v>
      </c>
      <c r="C1462" s="6">
        <f>Sheet1!C1462</f>
        <v>167.45</v>
      </c>
      <c r="D1462" s="6">
        <f>Sheet1!D1462</f>
        <v>171.65</v>
      </c>
      <c r="E1462" s="6">
        <f>Sheet1!E1462</f>
        <v>166.95</v>
      </c>
      <c r="F1462" s="6">
        <f>Sheet1!F1462</f>
        <v>170.45</v>
      </c>
      <c r="H1462" s="6">
        <f ca="1">IF(ROW($H1462)-1&lt;$I$1,$F1462,AVERAGE($F1462:OFFSET($F1462,(($I$1-1)*-1),0)))</f>
        <v>169.98333333333332</v>
      </c>
      <c r="J1462" s="6">
        <f ca="1">IF(ROW($J1462)-1&lt;$K$1,$F1462,AVERAGE($F1462:OFFSET($F1462,(($K$1-1)*-1),0)))</f>
        <v>179.57499999999999</v>
      </c>
      <c r="L1462" s="7">
        <f t="shared" ca="1" si="132"/>
        <v>-1</v>
      </c>
      <c r="M1462" s="7" t="str">
        <f t="shared" ca="1" si="133"/>
        <v/>
      </c>
      <c r="N1462" s="6" t="str">
        <f t="shared" ca="1" si="134"/>
        <v/>
      </c>
      <c r="O1462" s="6">
        <f t="shared" si="135"/>
        <v>3.0499999999999829</v>
      </c>
      <c r="Q1462" s="6">
        <v>1.6500000000000057</v>
      </c>
      <c r="R1462" s="9">
        <f t="shared" si="136"/>
        <v>618.75000000000216</v>
      </c>
      <c r="S1462" s="7">
        <f t="shared" si="137"/>
        <v>4387.5000000000218</v>
      </c>
    </row>
    <row r="1463" spans="1:19" x14ac:dyDescent="0.25">
      <c r="A1463" s="4">
        <f>Sheet1!A1463</f>
        <v>41204</v>
      </c>
      <c r="B1463" s="5">
        <f>Sheet1!B1463</f>
        <v>0.58333333333333337</v>
      </c>
      <c r="C1463" s="6">
        <f>Sheet1!C1463</f>
        <v>171.3</v>
      </c>
      <c r="D1463" s="6">
        <f>Sheet1!D1463</f>
        <v>174.5</v>
      </c>
      <c r="E1463" s="6">
        <f>Sheet1!E1463</f>
        <v>170.2</v>
      </c>
      <c r="F1463" s="6">
        <f>Sheet1!F1463</f>
        <v>173.3</v>
      </c>
      <c r="H1463" s="6">
        <f ca="1">IF(ROW($H1463)-1&lt;$I$1,$F1463,AVERAGE($F1463:OFFSET($F1463,(($I$1-1)*-1),0)))</f>
        <v>170.45000000000002</v>
      </c>
      <c r="J1463" s="6">
        <f ca="1">IF(ROW($J1463)-1&lt;$K$1,$F1463,AVERAGE($F1463:OFFSET($F1463,(($K$1-1)*-1),0)))</f>
        <v>179.11071428571427</v>
      </c>
      <c r="L1463" s="7">
        <f t="shared" ca="1" si="132"/>
        <v>-1</v>
      </c>
      <c r="M1463" s="7" t="str">
        <f t="shared" ca="1" si="133"/>
        <v/>
      </c>
      <c r="N1463" s="6" t="str">
        <f t="shared" ca="1" si="134"/>
        <v/>
      </c>
      <c r="O1463" s="6">
        <f t="shared" si="135"/>
        <v>2.8500000000000227</v>
      </c>
      <c r="Q1463" s="6">
        <v>-1.2000000000000171</v>
      </c>
      <c r="R1463" s="9">
        <f t="shared" si="136"/>
        <v>-450.00000000000637</v>
      </c>
      <c r="S1463" s="7">
        <f t="shared" si="137"/>
        <v>4387.5000000000218</v>
      </c>
    </row>
    <row r="1464" spans="1:19" x14ac:dyDescent="0.25">
      <c r="A1464" s="4">
        <f>Sheet1!A1464</f>
        <v>41205</v>
      </c>
      <c r="B1464" s="5">
        <f>Sheet1!B1464</f>
        <v>0.58333333333333337</v>
      </c>
      <c r="C1464" s="6">
        <f>Sheet1!C1464</f>
        <v>172.9</v>
      </c>
      <c r="D1464" s="6">
        <f>Sheet1!D1464</f>
        <v>172.9</v>
      </c>
      <c r="E1464" s="6">
        <f>Sheet1!E1464</f>
        <v>169.05</v>
      </c>
      <c r="F1464" s="6">
        <f>Sheet1!F1464</f>
        <v>169.65</v>
      </c>
      <c r="H1464" s="6">
        <f ca="1">IF(ROW($H1464)-1&lt;$I$1,$F1464,AVERAGE($F1464:OFFSET($F1464,(($I$1-1)*-1),0)))</f>
        <v>170.45</v>
      </c>
      <c r="J1464" s="6">
        <f ca="1">IF(ROW($J1464)-1&lt;$K$1,$F1464,AVERAGE($F1464:OFFSET($F1464,(($K$1-1)*-1),0)))</f>
        <v>178.46785714285713</v>
      </c>
      <c r="L1464" s="7">
        <f t="shared" ca="1" si="132"/>
        <v>-1</v>
      </c>
      <c r="M1464" s="7" t="str">
        <f t="shared" ca="1" si="133"/>
        <v/>
      </c>
      <c r="N1464" s="6" t="str">
        <f t="shared" ca="1" si="134"/>
        <v/>
      </c>
      <c r="O1464" s="6">
        <f t="shared" si="135"/>
        <v>-3.6500000000000057</v>
      </c>
      <c r="Q1464" s="6">
        <v>2.4499999999999886</v>
      </c>
      <c r="R1464" s="9">
        <f t="shared" si="136"/>
        <v>918.74999999999568</v>
      </c>
      <c r="S1464" s="7">
        <f t="shared" si="137"/>
        <v>4387.5000000000218</v>
      </c>
    </row>
    <row r="1465" spans="1:19" x14ac:dyDescent="0.25">
      <c r="A1465" s="4">
        <f>Sheet1!A1465</f>
        <v>41206</v>
      </c>
      <c r="B1465" s="5">
        <f>Sheet1!B1465</f>
        <v>0.58333333333333337</v>
      </c>
      <c r="C1465" s="6">
        <f>Sheet1!C1465</f>
        <v>169.65</v>
      </c>
      <c r="D1465" s="6">
        <f>Sheet1!D1465</f>
        <v>171.1</v>
      </c>
      <c r="E1465" s="6">
        <f>Sheet1!E1465</f>
        <v>167.5</v>
      </c>
      <c r="F1465" s="6">
        <f>Sheet1!F1465</f>
        <v>168.6</v>
      </c>
      <c r="H1465" s="6">
        <f ca="1">IF(ROW($H1465)-1&lt;$I$1,$F1465,AVERAGE($F1465:OFFSET($F1465,(($I$1-1)*-1),0)))</f>
        <v>169.95000000000002</v>
      </c>
      <c r="J1465" s="6">
        <f ca="1">IF(ROW($J1465)-1&lt;$K$1,$F1465,AVERAGE($F1465:OFFSET($F1465,(($K$1-1)*-1),0)))</f>
        <v>177.70714285714283</v>
      </c>
      <c r="L1465" s="7">
        <f t="shared" ca="1" si="132"/>
        <v>-1</v>
      </c>
      <c r="M1465" s="7" t="str">
        <f t="shared" ca="1" si="133"/>
        <v/>
      </c>
      <c r="N1465" s="6" t="str">
        <f t="shared" ca="1" si="134"/>
        <v/>
      </c>
      <c r="O1465" s="6">
        <f t="shared" si="135"/>
        <v>-1.0500000000000114</v>
      </c>
      <c r="Q1465" s="6">
        <v>3.5</v>
      </c>
      <c r="R1465" s="9">
        <f t="shared" si="136"/>
        <v>1312.5</v>
      </c>
      <c r="S1465" s="7">
        <f t="shared" si="137"/>
        <v>4387.5000000000218</v>
      </c>
    </row>
    <row r="1466" spans="1:19" x14ac:dyDescent="0.25">
      <c r="A1466" s="4">
        <f>Sheet1!A1466</f>
        <v>41207</v>
      </c>
      <c r="B1466" s="5">
        <f>Sheet1!B1466</f>
        <v>0.58333333333333337</v>
      </c>
      <c r="C1466" s="6">
        <f>Sheet1!C1466</f>
        <v>169.3</v>
      </c>
      <c r="D1466" s="6">
        <f>Sheet1!D1466</f>
        <v>170.7</v>
      </c>
      <c r="E1466" s="6">
        <f>Sheet1!E1466</f>
        <v>168</v>
      </c>
      <c r="F1466" s="6">
        <f>Sheet1!F1466</f>
        <v>169.8</v>
      </c>
      <c r="H1466" s="6">
        <f ca="1">IF(ROW($H1466)-1&lt;$I$1,$F1466,AVERAGE($F1466:OFFSET($F1466,(($I$1-1)*-1),0)))</f>
        <v>169.86666666666667</v>
      </c>
      <c r="J1466" s="6">
        <f ca="1">IF(ROW($J1466)-1&lt;$K$1,$F1466,AVERAGE($F1466:OFFSET($F1466,(($K$1-1)*-1),0)))</f>
        <v>177.18392857142859</v>
      </c>
      <c r="L1466" s="7">
        <f t="shared" ca="1" si="132"/>
        <v>-1</v>
      </c>
      <c r="M1466" s="7" t="str">
        <f t="shared" ca="1" si="133"/>
        <v/>
      </c>
      <c r="N1466" s="6" t="str">
        <f t="shared" ca="1" si="134"/>
        <v/>
      </c>
      <c r="O1466" s="6">
        <f t="shared" si="135"/>
        <v>1.2000000000000171</v>
      </c>
      <c r="Q1466" s="6">
        <v>2.2999999999999829</v>
      </c>
      <c r="R1466" s="9">
        <f t="shared" si="136"/>
        <v>862.49999999999363</v>
      </c>
      <c r="S1466" s="7">
        <f t="shared" si="137"/>
        <v>4387.5000000000218</v>
      </c>
    </row>
    <row r="1467" spans="1:19" x14ac:dyDescent="0.25">
      <c r="A1467" s="4">
        <f>Sheet1!A1467</f>
        <v>41208</v>
      </c>
      <c r="B1467" s="5">
        <f>Sheet1!B1467</f>
        <v>0.58333333333333337</v>
      </c>
      <c r="C1467" s="6">
        <f>Sheet1!C1467</f>
        <v>169.8</v>
      </c>
      <c r="D1467" s="6">
        <f>Sheet1!D1467</f>
        <v>170.25</v>
      </c>
      <c r="E1467" s="6">
        <f>Sheet1!E1467</f>
        <v>165.7</v>
      </c>
      <c r="F1467" s="6">
        <f>Sheet1!F1467</f>
        <v>166.55</v>
      </c>
      <c r="H1467" s="6">
        <f ca="1">IF(ROW($H1467)-1&lt;$I$1,$F1467,AVERAGE($F1467:OFFSET($F1467,(($I$1-1)*-1),0)))</f>
        <v>169.72499999999999</v>
      </c>
      <c r="J1467" s="6">
        <f ca="1">IF(ROW($J1467)-1&lt;$K$1,$F1467,AVERAGE($F1467:OFFSET($F1467,(($K$1-1)*-1),0)))</f>
        <v>176.47857142857146</v>
      </c>
      <c r="L1467" s="7">
        <f t="shared" ca="1" si="132"/>
        <v>-1</v>
      </c>
      <c r="M1467" s="7" t="str">
        <f t="shared" ca="1" si="133"/>
        <v/>
      </c>
      <c r="N1467" s="6" t="str">
        <f t="shared" ca="1" si="134"/>
        <v/>
      </c>
      <c r="O1467" s="6">
        <f t="shared" si="135"/>
        <v>-3.25</v>
      </c>
      <c r="Q1467" s="6">
        <v>5.5499999999999829</v>
      </c>
      <c r="R1467" s="9">
        <f t="shared" si="136"/>
        <v>2081.2499999999936</v>
      </c>
      <c r="S1467" s="7">
        <f t="shared" si="137"/>
        <v>4387.5000000000218</v>
      </c>
    </row>
    <row r="1468" spans="1:19" x14ac:dyDescent="0.25">
      <c r="A1468" s="4">
        <f>Sheet1!A1468</f>
        <v>41211</v>
      </c>
      <c r="B1468" s="5">
        <f>Sheet1!B1468</f>
        <v>0.58333333333333337</v>
      </c>
      <c r="C1468" s="6">
        <f>Sheet1!C1468</f>
        <v>166.55</v>
      </c>
      <c r="D1468" s="6">
        <f>Sheet1!D1468</f>
        <v>170.6</v>
      </c>
      <c r="E1468" s="6">
        <f>Sheet1!E1468</f>
        <v>165.1</v>
      </c>
      <c r="F1468" s="6">
        <f>Sheet1!F1468</f>
        <v>170.45</v>
      </c>
      <c r="H1468" s="6">
        <f ca="1">IF(ROW($H1468)-1&lt;$I$1,$F1468,AVERAGE($F1468:OFFSET($F1468,(($I$1-1)*-1),0)))</f>
        <v>169.72500000000002</v>
      </c>
      <c r="J1468" s="6">
        <f ca="1">IF(ROW($J1468)-1&lt;$K$1,$F1468,AVERAGE($F1468:OFFSET($F1468,(($K$1-1)*-1),0)))</f>
        <v>176.02321428571432</v>
      </c>
      <c r="L1468" s="7">
        <f t="shared" ca="1" si="132"/>
        <v>-1</v>
      </c>
      <c r="M1468" s="7" t="str">
        <f t="shared" ca="1" si="133"/>
        <v/>
      </c>
      <c r="N1468" s="6" t="str">
        <f t="shared" ca="1" si="134"/>
        <v/>
      </c>
      <c r="O1468" s="6">
        <f t="shared" si="135"/>
        <v>3.8999999999999773</v>
      </c>
      <c r="Q1468" s="6">
        <v>1.6500000000000057</v>
      </c>
      <c r="R1468" s="9">
        <f t="shared" si="136"/>
        <v>618.75000000000216</v>
      </c>
      <c r="S1468" s="7">
        <f t="shared" si="137"/>
        <v>4387.5000000000218</v>
      </c>
    </row>
    <row r="1469" spans="1:19" x14ac:dyDescent="0.25">
      <c r="A1469" s="4">
        <f>Sheet1!A1469</f>
        <v>41212</v>
      </c>
      <c r="B1469" s="5">
        <f>Sheet1!B1469</f>
        <v>0.58333333333333337</v>
      </c>
      <c r="C1469" s="6">
        <f>Sheet1!C1469</f>
        <v>170.8</v>
      </c>
      <c r="D1469" s="6">
        <f>Sheet1!D1469</f>
        <v>171.55</v>
      </c>
      <c r="E1469" s="6">
        <f>Sheet1!E1469</f>
        <v>165.35</v>
      </c>
      <c r="F1469" s="6">
        <f>Sheet1!F1469</f>
        <v>166</v>
      </c>
      <c r="H1469" s="6">
        <f ca="1">IF(ROW($H1469)-1&lt;$I$1,$F1469,AVERAGE($F1469:OFFSET($F1469,(($I$1-1)*-1),0)))</f>
        <v>168.50833333333333</v>
      </c>
      <c r="J1469" s="6">
        <f ca="1">IF(ROW($J1469)-1&lt;$K$1,$F1469,AVERAGE($F1469:OFFSET($F1469,(($K$1-1)*-1),0)))</f>
        <v>175.61607142857147</v>
      </c>
      <c r="L1469" s="7">
        <f t="shared" ca="1" si="132"/>
        <v>-1</v>
      </c>
      <c r="M1469" s="7" t="str">
        <f t="shared" ca="1" si="133"/>
        <v/>
      </c>
      <c r="N1469" s="6" t="str">
        <f t="shared" ca="1" si="134"/>
        <v/>
      </c>
      <c r="O1469" s="6">
        <f t="shared" si="135"/>
        <v>-4.4499999999999886</v>
      </c>
      <c r="Q1469" s="6">
        <v>6.0999999999999943</v>
      </c>
      <c r="R1469" s="9">
        <f t="shared" si="136"/>
        <v>2287.4999999999977</v>
      </c>
      <c r="S1469" s="7">
        <f t="shared" si="137"/>
        <v>4387.5000000000218</v>
      </c>
    </row>
    <row r="1470" spans="1:19" x14ac:dyDescent="0.25">
      <c r="A1470" s="4">
        <f>Sheet1!A1470</f>
        <v>41213</v>
      </c>
      <c r="B1470" s="5">
        <f>Sheet1!B1470</f>
        <v>0.58333333333333337</v>
      </c>
      <c r="C1470" s="6">
        <f>Sheet1!C1470</f>
        <v>165.85</v>
      </c>
      <c r="D1470" s="6">
        <f>Sheet1!D1470</f>
        <v>167.65</v>
      </c>
      <c r="E1470" s="6">
        <f>Sheet1!E1470</f>
        <v>163.19999999999999</v>
      </c>
      <c r="F1470" s="6">
        <f>Sheet1!F1470</f>
        <v>163.44999999999999</v>
      </c>
      <c r="H1470" s="6">
        <f ca="1">IF(ROW($H1470)-1&lt;$I$1,$F1470,AVERAGE($F1470:OFFSET($F1470,(($I$1-1)*-1),0)))</f>
        <v>167.47499999999999</v>
      </c>
      <c r="J1470" s="6">
        <f ca="1">IF(ROW($J1470)-1&lt;$K$1,$F1470,AVERAGE($F1470:OFFSET($F1470,(($K$1-1)*-1),0)))</f>
        <v>174.95000000000002</v>
      </c>
      <c r="L1470" s="7">
        <f t="shared" ca="1" si="132"/>
        <v>-1</v>
      </c>
      <c r="M1470" s="7" t="str">
        <f t="shared" ca="1" si="133"/>
        <v/>
      </c>
      <c r="N1470" s="6" t="str">
        <f t="shared" ca="1" si="134"/>
        <v/>
      </c>
      <c r="O1470" s="6">
        <f t="shared" si="135"/>
        <v>-2.5500000000000114</v>
      </c>
      <c r="Q1470" s="6">
        <v>8.6500000000000057</v>
      </c>
      <c r="R1470" s="9">
        <f t="shared" si="136"/>
        <v>3243.7500000000023</v>
      </c>
      <c r="S1470" s="7">
        <f t="shared" si="137"/>
        <v>4387.5000000000218</v>
      </c>
    </row>
    <row r="1471" spans="1:19" x14ac:dyDescent="0.25">
      <c r="A1471" s="4">
        <f>Sheet1!A1471</f>
        <v>41214</v>
      </c>
      <c r="B1471" s="5">
        <f>Sheet1!B1471</f>
        <v>0.58333333333333337</v>
      </c>
      <c r="C1471" s="6">
        <f>Sheet1!C1471</f>
        <v>163.44999999999999</v>
      </c>
      <c r="D1471" s="6">
        <f>Sheet1!D1471</f>
        <v>165.2</v>
      </c>
      <c r="E1471" s="6">
        <f>Sheet1!E1471</f>
        <v>161.6</v>
      </c>
      <c r="F1471" s="6">
        <f>Sheet1!F1471</f>
        <v>162.25</v>
      </c>
      <c r="H1471" s="6">
        <f ca="1">IF(ROW($H1471)-1&lt;$I$1,$F1471,AVERAGE($F1471:OFFSET($F1471,(($I$1-1)*-1),0)))</f>
        <v>166.41666666666666</v>
      </c>
      <c r="J1471" s="6">
        <f ca="1">IF(ROW($J1471)-1&lt;$K$1,$F1471,AVERAGE($F1471:OFFSET($F1471,(($K$1-1)*-1),0)))</f>
        <v>174.27678571428572</v>
      </c>
      <c r="L1471" s="7">
        <f t="shared" ca="1" si="132"/>
        <v>-1</v>
      </c>
      <c r="M1471" s="7" t="str">
        <f t="shared" ca="1" si="133"/>
        <v/>
      </c>
      <c r="N1471" s="6" t="str">
        <f t="shared" ca="1" si="134"/>
        <v/>
      </c>
      <c r="O1471" s="6">
        <f t="shared" si="135"/>
        <v>-1.1999999999999886</v>
      </c>
      <c r="Q1471" s="6">
        <v>9.8499999999999943</v>
      </c>
      <c r="R1471" s="9">
        <f t="shared" si="136"/>
        <v>3693.7499999999977</v>
      </c>
      <c r="S1471" s="7">
        <f t="shared" si="137"/>
        <v>4387.5000000000218</v>
      </c>
    </row>
    <row r="1472" spans="1:19" x14ac:dyDescent="0.25">
      <c r="A1472" s="4">
        <f>Sheet1!A1472</f>
        <v>41215</v>
      </c>
      <c r="B1472" s="5">
        <f>Sheet1!B1472</f>
        <v>0.58333333333333337</v>
      </c>
      <c r="C1472" s="6">
        <f>Sheet1!C1472</f>
        <v>163.80000000000001</v>
      </c>
      <c r="D1472" s="6">
        <f>Sheet1!D1472</f>
        <v>164.25</v>
      </c>
      <c r="E1472" s="6">
        <f>Sheet1!E1472</f>
        <v>161.94999999999999</v>
      </c>
      <c r="F1472" s="6">
        <f>Sheet1!F1472</f>
        <v>163.5</v>
      </c>
      <c r="H1472" s="6">
        <f ca="1">IF(ROW($H1472)-1&lt;$I$1,$F1472,AVERAGE($F1472:OFFSET($F1472,(($I$1-1)*-1),0)))</f>
        <v>165.36666666666667</v>
      </c>
      <c r="J1472" s="6">
        <f ca="1">IF(ROW($J1472)-1&lt;$K$1,$F1472,AVERAGE($F1472:OFFSET($F1472,(($K$1-1)*-1),0)))</f>
        <v>173.6</v>
      </c>
      <c r="L1472" s="7">
        <f t="shared" ca="1" si="132"/>
        <v>-1</v>
      </c>
      <c r="M1472" s="7" t="str">
        <f t="shared" ca="1" si="133"/>
        <v/>
      </c>
      <c r="N1472" s="6" t="str">
        <f t="shared" ca="1" si="134"/>
        <v/>
      </c>
      <c r="O1472" s="6">
        <f t="shared" si="135"/>
        <v>1.25</v>
      </c>
      <c r="Q1472" s="6">
        <v>8.5999999999999943</v>
      </c>
      <c r="R1472" s="9">
        <f t="shared" si="136"/>
        <v>3224.9999999999977</v>
      </c>
      <c r="S1472" s="7">
        <f t="shared" si="137"/>
        <v>4387.5000000000218</v>
      </c>
    </row>
    <row r="1473" spans="1:19" x14ac:dyDescent="0.25">
      <c r="A1473" s="4">
        <f>Sheet1!A1473</f>
        <v>41218</v>
      </c>
      <c r="B1473" s="5">
        <f>Sheet1!B1473</f>
        <v>0.58333333333333337</v>
      </c>
      <c r="C1473" s="6">
        <f>Sheet1!C1473</f>
        <v>163.5</v>
      </c>
      <c r="D1473" s="6">
        <f>Sheet1!D1473</f>
        <v>163.5</v>
      </c>
      <c r="E1473" s="6">
        <f>Sheet1!E1473</f>
        <v>159.6</v>
      </c>
      <c r="F1473" s="6">
        <f>Sheet1!F1473</f>
        <v>159.69999999999999</v>
      </c>
      <c r="H1473" s="6">
        <f ca="1">IF(ROW($H1473)-1&lt;$I$1,$F1473,AVERAGE($F1473:OFFSET($F1473,(($I$1-1)*-1),0)))</f>
        <v>164.22499999999999</v>
      </c>
      <c r="J1473" s="6">
        <f ca="1">IF(ROW($J1473)-1&lt;$K$1,$F1473,AVERAGE($F1473:OFFSET($F1473,(($K$1-1)*-1),0)))</f>
        <v>172.9375</v>
      </c>
      <c r="L1473" s="7">
        <f t="shared" ca="1" si="132"/>
        <v>-1</v>
      </c>
      <c r="M1473" s="7" t="str">
        <f t="shared" ca="1" si="133"/>
        <v/>
      </c>
      <c r="N1473" s="6" t="str">
        <f t="shared" ca="1" si="134"/>
        <v/>
      </c>
      <c r="O1473" s="6">
        <f t="shared" si="135"/>
        <v>-3.8000000000000114</v>
      </c>
      <c r="Q1473" s="6">
        <v>12.400000000000006</v>
      </c>
      <c r="R1473" s="9">
        <f t="shared" si="136"/>
        <v>4650.0000000000018</v>
      </c>
      <c r="S1473" s="7">
        <f t="shared" si="137"/>
        <v>4387.5000000000218</v>
      </c>
    </row>
    <row r="1474" spans="1:19" x14ac:dyDescent="0.25">
      <c r="A1474" s="4">
        <f>Sheet1!A1474</f>
        <v>41219</v>
      </c>
      <c r="B1474" s="5">
        <f>Sheet1!B1474</f>
        <v>0.58333333333333337</v>
      </c>
      <c r="C1474" s="6">
        <f>Sheet1!C1474</f>
        <v>159.80000000000001</v>
      </c>
      <c r="D1474" s="6">
        <f>Sheet1!D1474</f>
        <v>161.30000000000001</v>
      </c>
      <c r="E1474" s="6">
        <f>Sheet1!E1474</f>
        <v>159.15</v>
      </c>
      <c r="F1474" s="6">
        <f>Sheet1!F1474</f>
        <v>159.4</v>
      </c>
      <c r="H1474" s="6">
        <f ca="1">IF(ROW($H1474)-1&lt;$I$1,$F1474,AVERAGE($F1474:OFFSET($F1474,(($I$1-1)*-1),0)))</f>
        <v>162.38333333333335</v>
      </c>
      <c r="J1474" s="6">
        <f ca="1">IF(ROW($J1474)-1&lt;$K$1,$F1474,AVERAGE($F1474:OFFSET($F1474,(($K$1-1)*-1),0)))</f>
        <v>172.09107142857144</v>
      </c>
      <c r="L1474" s="7">
        <f t="shared" ca="1" si="132"/>
        <v>-1</v>
      </c>
      <c r="M1474" s="7" t="str">
        <f t="shared" ca="1" si="133"/>
        <v/>
      </c>
      <c r="N1474" s="6" t="str">
        <f t="shared" ca="1" si="134"/>
        <v/>
      </c>
      <c r="O1474" s="6">
        <f t="shared" si="135"/>
        <v>-0.29999999999998295</v>
      </c>
      <c r="Q1474" s="6">
        <v>12.699999999999989</v>
      </c>
      <c r="R1474" s="9">
        <f t="shared" si="136"/>
        <v>4762.4999999999955</v>
      </c>
      <c r="S1474" s="7">
        <f t="shared" si="137"/>
        <v>4387.5000000000218</v>
      </c>
    </row>
    <row r="1475" spans="1:19" x14ac:dyDescent="0.25">
      <c r="A1475" s="4">
        <f>Sheet1!A1475</f>
        <v>41220</v>
      </c>
      <c r="B1475" s="5">
        <f>Sheet1!B1475</f>
        <v>0.58333333333333337</v>
      </c>
      <c r="C1475" s="6">
        <f>Sheet1!C1475</f>
        <v>159.80000000000001</v>
      </c>
      <c r="D1475" s="6">
        <f>Sheet1!D1475</f>
        <v>162.80000000000001</v>
      </c>
      <c r="E1475" s="6">
        <f>Sheet1!E1475</f>
        <v>159.5</v>
      </c>
      <c r="F1475" s="6">
        <f>Sheet1!F1475</f>
        <v>160</v>
      </c>
      <c r="H1475" s="6">
        <f ca="1">IF(ROW($H1475)-1&lt;$I$1,$F1475,AVERAGE($F1475:OFFSET($F1475,(($I$1-1)*-1),0)))</f>
        <v>161.38333333333333</v>
      </c>
      <c r="J1475" s="6">
        <f ca="1">IF(ROW($J1475)-1&lt;$K$1,$F1475,AVERAGE($F1475:OFFSET($F1475,(($K$1-1)*-1),0)))</f>
        <v>171.29464285714283</v>
      </c>
      <c r="L1475" s="7">
        <f t="shared" ref="L1475:L1511" ca="1" si="138">IF(ROW($L1475)&gt;($K$1),IF($H1475&gt;$J1475,1,IF($H1475&lt;$J1475,-1,$L1474*-1)),0)</f>
        <v>-1</v>
      </c>
      <c r="M1475" s="7" t="str">
        <f t="shared" ca="1" si="133"/>
        <v/>
      </c>
      <c r="N1475" s="6" t="str">
        <f t="shared" ca="1" si="134"/>
        <v/>
      </c>
      <c r="O1475" s="6">
        <f t="shared" si="135"/>
        <v>0.59999999999999432</v>
      </c>
      <c r="Q1475" s="6">
        <v>12.099999999999994</v>
      </c>
      <c r="R1475" s="9">
        <f t="shared" si="136"/>
        <v>4537.4999999999982</v>
      </c>
      <c r="S1475" s="7">
        <f t="shared" si="137"/>
        <v>4387.5000000000218</v>
      </c>
    </row>
    <row r="1476" spans="1:19" x14ac:dyDescent="0.25">
      <c r="A1476" s="4">
        <f>Sheet1!A1476</f>
        <v>41221</v>
      </c>
      <c r="B1476" s="5">
        <f>Sheet1!B1476</f>
        <v>0.58333333333333337</v>
      </c>
      <c r="C1476" s="6">
        <f>Sheet1!C1476</f>
        <v>160.30000000000001</v>
      </c>
      <c r="D1476" s="6">
        <f>Sheet1!D1476</f>
        <v>162</v>
      </c>
      <c r="E1476" s="6">
        <f>Sheet1!E1476</f>
        <v>158.69999999999999</v>
      </c>
      <c r="F1476" s="6">
        <f>Sheet1!F1476</f>
        <v>160.19999999999999</v>
      </c>
      <c r="H1476" s="6">
        <f ca="1">IF(ROW($H1476)-1&lt;$I$1,$F1476,AVERAGE($F1476:OFFSET($F1476,(($I$1-1)*-1),0)))</f>
        <v>160.84166666666667</v>
      </c>
      <c r="J1476" s="6">
        <f ca="1">IF(ROW($J1476)-1&lt;$K$1,$F1476,AVERAGE($F1476:OFFSET($F1476,(($K$1-1)*-1),0)))</f>
        <v>170.34285714285713</v>
      </c>
      <c r="L1476" s="7">
        <f t="shared" ca="1" si="138"/>
        <v>-1</v>
      </c>
      <c r="M1476" s="7" t="str">
        <f t="shared" ref="M1476:M1511" ca="1" si="139">IF(L1476&lt;&gt;L1475,L1476,"")</f>
        <v/>
      </c>
      <c r="N1476" s="6" t="str">
        <f t="shared" ref="N1476:N1511" ca="1" si="140">IF(M1475&lt;&gt;"",C1476,"")</f>
        <v/>
      </c>
      <c r="O1476" s="6">
        <f t="shared" ref="O1476:O1511" si="141">F1476-F1475</f>
        <v>0.19999999999998863</v>
      </c>
      <c r="Q1476" s="6">
        <v>11.900000000000006</v>
      </c>
      <c r="R1476" s="9">
        <f t="shared" ref="R1476:R1511" si="142">IF(Q1476="","",Q1476*375)</f>
        <v>4462.5000000000018</v>
      </c>
      <c r="S1476" s="7">
        <f t="shared" si="137"/>
        <v>4387.5000000000218</v>
      </c>
    </row>
    <row r="1477" spans="1:19" x14ac:dyDescent="0.25">
      <c r="A1477" s="4">
        <f>Sheet1!A1477</f>
        <v>41222</v>
      </c>
      <c r="B1477" s="5">
        <f>Sheet1!B1477</f>
        <v>0.58333333333333337</v>
      </c>
      <c r="C1477" s="6">
        <f>Sheet1!C1477</f>
        <v>160.75</v>
      </c>
      <c r="D1477" s="6">
        <f>Sheet1!D1477</f>
        <v>161.15</v>
      </c>
      <c r="E1477" s="6">
        <f>Sheet1!E1477</f>
        <v>158.4</v>
      </c>
      <c r="F1477" s="6">
        <f>Sheet1!F1477</f>
        <v>158.69999999999999</v>
      </c>
      <c r="H1477" s="6">
        <f ca="1">IF(ROW($H1477)-1&lt;$I$1,$F1477,AVERAGE($F1477:OFFSET($F1477,(($I$1-1)*-1),0)))</f>
        <v>160.25</v>
      </c>
      <c r="J1477" s="6">
        <f ca="1">IF(ROW($J1477)-1&lt;$K$1,$F1477,AVERAGE($F1477:OFFSET($F1477,(($K$1-1)*-1),0)))</f>
        <v>169.13749999999999</v>
      </c>
      <c r="L1477" s="7">
        <f t="shared" ca="1" si="138"/>
        <v>-1</v>
      </c>
      <c r="M1477" s="7" t="str">
        <f t="shared" ca="1" si="139"/>
        <v/>
      </c>
      <c r="N1477" s="6" t="str">
        <f t="shared" ca="1" si="140"/>
        <v/>
      </c>
      <c r="O1477" s="6">
        <f t="shared" si="141"/>
        <v>-1.5</v>
      </c>
      <c r="Q1477" s="6">
        <v>13.400000000000006</v>
      </c>
      <c r="R1477" s="9">
        <f t="shared" si="142"/>
        <v>5025.0000000000018</v>
      </c>
      <c r="S1477" s="7">
        <f t="shared" si="137"/>
        <v>4387.5000000000218</v>
      </c>
    </row>
    <row r="1478" spans="1:19" x14ac:dyDescent="0.25">
      <c r="A1478" s="4">
        <f>Sheet1!A1478</f>
        <v>41225</v>
      </c>
      <c r="B1478" s="5">
        <f>Sheet1!B1478</f>
        <v>0.58333333333333337</v>
      </c>
      <c r="C1478" s="6">
        <f>Sheet1!C1478</f>
        <v>160.15</v>
      </c>
      <c r="D1478" s="6">
        <f>Sheet1!D1478</f>
        <v>162.85</v>
      </c>
      <c r="E1478" s="6">
        <f>Sheet1!E1478</f>
        <v>160.1</v>
      </c>
      <c r="F1478" s="6">
        <f>Sheet1!F1478</f>
        <v>161.35</v>
      </c>
      <c r="H1478" s="6">
        <f ca="1">IF(ROW($H1478)-1&lt;$I$1,$F1478,AVERAGE($F1478:OFFSET($F1478,(($I$1-1)*-1),0)))</f>
        <v>159.89166666666668</v>
      </c>
      <c r="J1478" s="6">
        <f ca="1">IF(ROW($J1478)-1&lt;$K$1,$F1478,AVERAGE($F1478:OFFSET($F1478,(($K$1-1)*-1),0)))</f>
        <v>168.11964285714288</v>
      </c>
      <c r="L1478" s="7">
        <f t="shared" ca="1" si="138"/>
        <v>-1</v>
      </c>
      <c r="M1478" s="7" t="str">
        <f t="shared" ca="1" si="139"/>
        <v/>
      </c>
      <c r="N1478" s="6" t="str">
        <f t="shared" ca="1" si="140"/>
        <v/>
      </c>
      <c r="O1478" s="6">
        <f t="shared" si="141"/>
        <v>2.6500000000000057</v>
      </c>
      <c r="Q1478" s="6">
        <v>10.75</v>
      </c>
      <c r="R1478" s="9">
        <f t="shared" si="142"/>
        <v>4031.25</v>
      </c>
      <c r="S1478" s="7">
        <f t="shared" si="137"/>
        <v>4387.5000000000218</v>
      </c>
    </row>
    <row r="1479" spans="1:19" x14ac:dyDescent="0.25">
      <c r="A1479" s="4">
        <f>Sheet1!A1479</f>
        <v>41226</v>
      </c>
      <c r="B1479" s="5">
        <f>Sheet1!B1479</f>
        <v>0.58333333333333337</v>
      </c>
      <c r="C1479" s="6">
        <f>Sheet1!C1479</f>
        <v>161.15</v>
      </c>
      <c r="D1479" s="6">
        <f>Sheet1!D1479</f>
        <v>161.15</v>
      </c>
      <c r="E1479" s="6">
        <f>Sheet1!E1479</f>
        <v>154.05000000000001</v>
      </c>
      <c r="F1479" s="6">
        <f>Sheet1!F1479</f>
        <v>154.4</v>
      </c>
      <c r="H1479" s="6">
        <f ca="1">IF(ROW($H1479)-1&lt;$I$1,$F1479,AVERAGE($F1479:OFFSET($F1479,(($I$1-1)*-1),0)))</f>
        <v>159.00833333333333</v>
      </c>
      <c r="J1479" s="6">
        <f ca="1">IF(ROW($J1479)-1&lt;$K$1,$F1479,AVERAGE($F1479:OFFSET($F1479,(($K$1-1)*-1),0)))</f>
        <v>167.06785714285712</v>
      </c>
      <c r="L1479" s="7">
        <f t="shared" ca="1" si="138"/>
        <v>-1</v>
      </c>
      <c r="M1479" s="7" t="str">
        <f t="shared" ca="1" si="139"/>
        <v/>
      </c>
      <c r="N1479" s="6" t="str">
        <f t="shared" ca="1" si="140"/>
        <v/>
      </c>
      <c r="O1479" s="6">
        <f t="shared" si="141"/>
        <v>-6.9499999999999886</v>
      </c>
      <c r="Q1479" s="6">
        <v>17.699999999999989</v>
      </c>
      <c r="R1479" s="9">
        <f t="shared" si="142"/>
        <v>6637.4999999999955</v>
      </c>
      <c r="S1479" s="7">
        <f t="shared" si="137"/>
        <v>4387.5000000000218</v>
      </c>
    </row>
    <row r="1480" spans="1:19" x14ac:dyDescent="0.25">
      <c r="A1480" s="4">
        <f>Sheet1!A1480</f>
        <v>41227</v>
      </c>
      <c r="B1480" s="5">
        <f>Sheet1!B1480</f>
        <v>0.58333333333333337</v>
      </c>
      <c r="C1480" s="6">
        <f>Sheet1!C1480</f>
        <v>155.19999999999999</v>
      </c>
      <c r="D1480" s="6">
        <f>Sheet1!D1480</f>
        <v>156.85</v>
      </c>
      <c r="E1480" s="6">
        <f>Sheet1!E1480</f>
        <v>154.85</v>
      </c>
      <c r="F1480" s="6">
        <f>Sheet1!F1480</f>
        <v>155.9</v>
      </c>
      <c r="H1480" s="6">
        <f ca="1">IF(ROW($H1480)-1&lt;$I$1,$F1480,AVERAGE($F1480:OFFSET($F1480,(($I$1-1)*-1),0)))</f>
        <v>158.42499999999998</v>
      </c>
      <c r="J1480" s="6">
        <f ca="1">IF(ROW($J1480)-1&lt;$K$1,$F1480,AVERAGE($F1480:OFFSET($F1480,(($K$1-1)*-1),0)))</f>
        <v>166.31785714285712</v>
      </c>
      <c r="L1480" s="7">
        <f t="shared" ca="1" si="138"/>
        <v>-1</v>
      </c>
      <c r="M1480" s="7" t="str">
        <f t="shared" ca="1" si="139"/>
        <v/>
      </c>
      <c r="N1480" s="6" t="str">
        <f t="shared" ca="1" si="140"/>
        <v/>
      </c>
      <c r="O1480" s="6">
        <f t="shared" si="141"/>
        <v>1.5</v>
      </c>
      <c r="Q1480" s="6">
        <v>16.199999999999989</v>
      </c>
      <c r="R1480" s="9">
        <f t="shared" si="142"/>
        <v>6074.9999999999955</v>
      </c>
      <c r="S1480" s="7">
        <f t="shared" si="137"/>
        <v>4387.5000000000218</v>
      </c>
    </row>
    <row r="1481" spans="1:19" x14ac:dyDescent="0.25">
      <c r="A1481" s="4">
        <f>Sheet1!A1481</f>
        <v>41228</v>
      </c>
      <c r="B1481" s="5">
        <f>Sheet1!B1481</f>
        <v>0.58333333333333337</v>
      </c>
      <c r="C1481" s="6">
        <f>Sheet1!C1481</f>
        <v>155.65</v>
      </c>
      <c r="D1481" s="6">
        <f>Sheet1!D1481</f>
        <v>157.55000000000001</v>
      </c>
      <c r="E1481" s="6">
        <f>Sheet1!E1481</f>
        <v>152.6</v>
      </c>
      <c r="F1481" s="6">
        <f>Sheet1!F1481</f>
        <v>157.15</v>
      </c>
      <c r="H1481" s="6">
        <f ca="1">IF(ROW($H1481)-1&lt;$I$1,$F1481,AVERAGE($F1481:OFFSET($F1481,(($I$1-1)*-1),0)))</f>
        <v>157.94999999999999</v>
      </c>
      <c r="J1481" s="6">
        <f ca="1">IF(ROW($J1481)-1&lt;$K$1,$F1481,AVERAGE($F1481:OFFSET($F1481,(($K$1-1)*-1),0)))</f>
        <v>165.57678571428568</v>
      </c>
      <c r="L1481" s="7">
        <f t="shared" ca="1" si="138"/>
        <v>-1</v>
      </c>
      <c r="M1481" s="7" t="str">
        <f t="shared" ca="1" si="139"/>
        <v/>
      </c>
      <c r="N1481" s="6" t="str">
        <f t="shared" ca="1" si="140"/>
        <v/>
      </c>
      <c r="O1481" s="6">
        <f t="shared" si="141"/>
        <v>1.25</v>
      </c>
      <c r="Q1481" s="6">
        <v>14.949999999999989</v>
      </c>
      <c r="R1481" s="9">
        <f t="shared" si="142"/>
        <v>5606.2499999999955</v>
      </c>
      <c r="S1481" s="7">
        <f t="shared" si="137"/>
        <v>4387.5000000000218</v>
      </c>
    </row>
    <row r="1482" spans="1:19" x14ac:dyDescent="0.25">
      <c r="A1482" s="4">
        <f>Sheet1!A1482</f>
        <v>41229</v>
      </c>
      <c r="B1482" s="5">
        <f>Sheet1!B1482</f>
        <v>0.58333333333333337</v>
      </c>
      <c r="C1482" s="6">
        <f>Sheet1!C1482</f>
        <v>157.05000000000001</v>
      </c>
      <c r="D1482" s="6">
        <f>Sheet1!D1482</f>
        <v>157.15</v>
      </c>
      <c r="E1482" s="6">
        <f>Sheet1!E1482</f>
        <v>154.55000000000001</v>
      </c>
      <c r="F1482" s="6">
        <f>Sheet1!F1482</f>
        <v>155.65</v>
      </c>
      <c r="H1482" s="6">
        <f ca="1">IF(ROW($H1482)-1&lt;$I$1,$F1482,AVERAGE($F1482:OFFSET($F1482,(($I$1-1)*-1),0)))</f>
        <v>157.19166666666663</v>
      </c>
      <c r="J1482" s="6">
        <f ca="1">IF(ROW($J1482)-1&lt;$K$1,$F1482,AVERAGE($F1482:OFFSET($F1482,(($K$1-1)*-1),0)))</f>
        <v>164.91785714285706</v>
      </c>
      <c r="L1482" s="7">
        <f t="shared" ca="1" si="138"/>
        <v>-1</v>
      </c>
      <c r="M1482" s="7" t="str">
        <f t="shared" ca="1" si="139"/>
        <v/>
      </c>
      <c r="N1482" s="6" t="str">
        <f t="shared" ca="1" si="140"/>
        <v/>
      </c>
      <c r="O1482" s="6">
        <f t="shared" si="141"/>
        <v>-1.5</v>
      </c>
      <c r="Q1482" s="6">
        <v>16.449999999999989</v>
      </c>
      <c r="R1482" s="9">
        <f t="shared" si="142"/>
        <v>6168.7499999999955</v>
      </c>
      <c r="S1482" s="7">
        <f t="shared" si="137"/>
        <v>4387.5000000000218</v>
      </c>
    </row>
    <row r="1483" spans="1:19" x14ac:dyDescent="0.25">
      <c r="A1483" s="4">
        <f>Sheet1!A1483</f>
        <v>41232</v>
      </c>
      <c r="B1483" s="5">
        <f>Sheet1!B1483</f>
        <v>0.58333333333333337</v>
      </c>
      <c r="C1483" s="6">
        <f>Sheet1!C1483</f>
        <v>156.30000000000001</v>
      </c>
      <c r="D1483" s="6">
        <f>Sheet1!D1483</f>
        <v>160.94999999999999</v>
      </c>
      <c r="E1483" s="6">
        <f>Sheet1!E1483</f>
        <v>156.15</v>
      </c>
      <c r="F1483" s="6">
        <f>Sheet1!F1483</f>
        <v>160.55000000000001</v>
      </c>
      <c r="H1483" s="6">
        <f ca="1">IF(ROW($H1483)-1&lt;$I$1,$F1483,AVERAGE($F1483:OFFSET($F1483,(($I$1-1)*-1),0)))</f>
        <v>157.5</v>
      </c>
      <c r="J1483" s="6">
        <f ca="1">IF(ROW($J1483)-1&lt;$K$1,$F1483,AVERAGE($F1483:OFFSET($F1483,(($K$1-1)*-1),0)))</f>
        <v>164.49999999999994</v>
      </c>
      <c r="L1483" s="7">
        <f t="shared" ca="1" si="138"/>
        <v>-1</v>
      </c>
      <c r="M1483" s="7" t="str">
        <f t="shared" ca="1" si="139"/>
        <v/>
      </c>
      <c r="N1483" s="6" t="str">
        <f t="shared" ca="1" si="140"/>
        <v/>
      </c>
      <c r="O1483" s="6">
        <f t="shared" si="141"/>
        <v>4.9000000000000057</v>
      </c>
      <c r="Q1483" s="6">
        <v>11.549999999999983</v>
      </c>
      <c r="R1483" s="9">
        <f t="shared" si="142"/>
        <v>4331.2499999999936</v>
      </c>
      <c r="S1483" s="7">
        <f t="shared" si="137"/>
        <v>4387.5000000000218</v>
      </c>
    </row>
    <row r="1484" spans="1:19" x14ac:dyDescent="0.25">
      <c r="A1484" s="4">
        <f>Sheet1!A1484</f>
        <v>41233</v>
      </c>
      <c r="B1484" s="5">
        <f>Sheet1!B1484</f>
        <v>0.58333333333333337</v>
      </c>
      <c r="C1484" s="6">
        <f>Sheet1!C1484</f>
        <v>160.05000000000001</v>
      </c>
      <c r="D1484" s="6">
        <f>Sheet1!D1484</f>
        <v>160.30000000000001</v>
      </c>
      <c r="E1484" s="6">
        <f>Sheet1!E1484</f>
        <v>155.05000000000001</v>
      </c>
      <c r="F1484" s="6">
        <f>Sheet1!F1484</f>
        <v>155.6</v>
      </c>
      <c r="H1484" s="6">
        <f ca="1">IF(ROW($H1484)-1&lt;$I$1,$F1484,AVERAGE($F1484:OFFSET($F1484,(($I$1-1)*-1),0)))</f>
        <v>156.54166666666669</v>
      </c>
      <c r="J1484" s="6">
        <f ca="1">IF(ROW($J1484)-1&lt;$K$1,$F1484,AVERAGE($F1484:OFFSET($F1484,(($K$1-1)*-1),0)))</f>
        <v>164.00178571428569</v>
      </c>
      <c r="L1484" s="7">
        <f t="shared" ca="1" si="138"/>
        <v>-1</v>
      </c>
      <c r="M1484" s="7" t="str">
        <f t="shared" ca="1" si="139"/>
        <v/>
      </c>
      <c r="N1484" s="6" t="str">
        <f t="shared" ca="1" si="140"/>
        <v/>
      </c>
      <c r="O1484" s="6">
        <f t="shared" si="141"/>
        <v>-4.9500000000000171</v>
      </c>
      <c r="Q1484" s="6">
        <v>16.5</v>
      </c>
      <c r="R1484" s="9">
        <f t="shared" si="142"/>
        <v>6187.5</v>
      </c>
      <c r="S1484" s="7">
        <f t="shared" si="137"/>
        <v>4387.5000000000218</v>
      </c>
    </row>
    <row r="1485" spans="1:19" x14ac:dyDescent="0.25">
      <c r="A1485" s="4">
        <f>Sheet1!A1485</f>
        <v>41234</v>
      </c>
      <c r="B1485" s="5">
        <f>Sheet1!B1485</f>
        <v>0.58333333333333337</v>
      </c>
      <c r="C1485" s="6">
        <f>Sheet1!C1485</f>
        <v>155.35</v>
      </c>
      <c r="D1485" s="6">
        <f>Sheet1!D1485</f>
        <v>157.30000000000001</v>
      </c>
      <c r="E1485" s="6">
        <f>Sheet1!E1485</f>
        <v>154.15</v>
      </c>
      <c r="F1485" s="6">
        <f>Sheet1!F1485</f>
        <v>156.6</v>
      </c>
      <c r="H1485" s="6">
        <f ca="1">IF(ROW($H1485)-1&lt;$I$1,$F1485,AVERAGE($F1485:OFFSET($F1485,(($I$1-1)*-1),0)))</f>
        <v>156.90833333333333</v>
      </c>
      <c r="J1485" s="6">
        <f ca="1">IF(ROW($J1485)-1&lt;$K$1,$F1485,AVERAGE($F1485:OFFSET($F1485,(($K$1-1)*-1),0)))</f>
        <v>163.50535714285715</v>
      </c>
      <c r="L1485" s="7">
        <f t="shared" ca="1" si="138"/>
        <v>-1</v>
      </c>
      <c r="M1485" s="7" t="str">
        <f t="shared" ca="1" si="139"/>
        <v/>
      </c>
      <c r="N1485" s="6" t="str">
        <f t="shared" ca="1" si="140"/>
        <v/>
      </c>
      <c r="O1485" s="6">
        <f t="shared" si="141"/>
        <v>1</v>
      </c>
      <c r="Q1485" s="6">
        <v>15.5</v>
      </c>
      <c r="R1485" s="9">
        <f t="shared" si="142"/>
        <v>5812.5</v>
      </c>
      <c r="S1485" s="7">
        <f t="shared" si="137"/>
        <v>4387.5000000000218</v>
      </c>
    </row>
    <row r="1486" spans="1:19" x14ac:dyDescent="0.25">
      <c r="A1486" s="4">
        <f>Sheet1!A1486</f>
        <v>41236</v>
      </c>
      <c r="B1486" s="5">
        <f>Sheet1!B1486</f>
        <v>0.58333333333333337</v>
      </c>
      <c r="C1486" s="6">
        <f>Sheet1!C1486</f>
        <v>156.15</v>
      </c>
      <c r="D1486" s="6">
        <f>Sheet1!D1486</f>
        <v>157</v>
      </c>
      <c r="E1486" s="6">
        <f>Sheet1!E1486</f>
        <v>152.80000000000001</v>
      </c>
      <c r="F1486" s="6">
        <f>Sheet1!F1486</f>
        <v>153.94999999999999</v>
      </c>
      <c r="H1486" s="6">
        <f ca="1">IF(ROW($H1486)-1&lt;$I$1,$F1486,AVERAGE($F1486:OFFSET($F1486,(($I$1-1)*-1),0)))</f>
        <v>156.58333333333334</v>
      </c>
      <c r="J1486" s="6">
        <f ca="1">IF(ROW($J1486)-1&lt;$K$1,$F1486,AVERAGE($F1486:OFFSET($F1486,(($K$1-1)*-1),0)))</f>
        <v>162.9446428571429</v>
      </c>
      <c r="L1486" s="7">
        <f t="shared" ca="1" si="138"/>
        <v>-1</v>
      </c>
      <c r="M1486" s="7" t="str">
        <f t="shared" ca="1" si="139"/>
        <v/>
      </c>
      <c r="N1486" s="6" t="str">
        <f t="shared" ca="1" si="140"/>
        <v/>
      </c>
      <c r="O1486" s="6">
        <f t="shared" si="141"/>
        <v>-2.6500000000000057</v>
      </c>
      <c r="Q1486" s="6">
        <v>18.150000000000006</v>
      </c>
      <c r="R1486" s="9">
        <f t="shared" si="142"/>
        <v>6806.2500000000018</v>
      </c>
      <c r="S1486" s="7">
        <f t="shared" si="137"/>
        <v>4387.5000000000218</v>
      </c>
    </row>
    <row r="1487" spans="1:19" x14ac:dyDescent="0.25">
      <c r="A1487" s="4">
        <f>Sheet1!A1487</f>
        <v>41239</v>
      </c>
      <c r="B1487" s="5">
        <f>Sheet1!B1487</f>
        <v>0.58333333333333337</v>
      </c>
      <c r="C1487" s="6">
        <f>Sheet1!C1487</f>
        <v>153.69999999999999</v>
      </c>
      <c r="D1487" s="6">
        <f>Sheet1!D1487</f>
        <v>154.6</v>
      </c>
      <c r="E1487" s="6">
        <f>Sheet1!E1487</f>
        <v>150.75</v>
      </c>
      <c r="F1487" s="6">
        <f>Sheet1!F1487</f>
        <v>152.05000000000001</v>
      </c>
      <c r="H1487" s="6">
        <f ca="1">IF(ROW($H1487)-1&lt;$I$1,$F1487,AVERAGE($F1487:OFFSET($F1487,(($I$1-1)*-1),0)))</f>
        <v>155.73333333333335</v>
      </c>
      <c r="J1487" s="6">
        <f ca="1">IF(ROW($J1487)-1&lt;$K$1,$F1487,AVERAGE($F1487:OFFSET($F1487,(($K$1-1)*-1),0)))</f>
        <v>162.24642857142857</v>
      </c>
      <c r="L1487" s="7">
        <f t="shared" ca="1" si="138"/>
        <v>-1</v>
      </c>
      <c r="M1487" s="7" t="str">
        <f t="shared" ca="1" si="139"/>
        <v/>
      </c>
      <c r="N1487" s="6" t="str">
        <f t="shared" ca="1" si="140"/>
        <v/>
      </c>
      <c r="O1487" s="6">
        <f t="shared" si="141"/>
        <v>-1.8999999999999773</v>
      </c>
      <c r="Q1487" s="6">
        <v>20.049999999999983</v>
      </c>
      <c r="R1487" s="9">
        <f t="shared" si="142"/>
        <v>7518.7499999999936</v>
      </c>
      <c r="S1487" s="7">
        <f t="shared" si="137"/>
        <v>4387.5000000000218</v>
      </c>
    </row>
    <row r="1488" spans="1:19" x14ac:dyDescent="0.25">
      <c r="A1488" s="4">
        <f>Sheet1!A1488</f>
        <v>41240</v>
      </c>
      <c r="B1488" s="5">
        <f>Sheet1!B1488</f>
        <v>0.58333333333333337</v>
      </c>
      <c r="C1488" s="6">
        <f>Sheet1!C1488</f>
        <v>151.75</v>
      </c>
      <c r="D1488" s="6">
        <f>Sheet1!D1488</f>
        <v>154.44999999999999</v>
      </c>
      <c r="E1488" s="6">
        <f>Sheet1!E1488</f>
        <v>151.4</v>
      </c>
      <c r="F1488" s="6">
        <f>Sheet1!F1488</f>
        <v>152.30000000000001</v>
      </c>
      <c r="H1488" s="6">
        <f ca="1">IF(ROW($H1488)-1&lt;$I$1,$F1488,AVERAGE($F1488:OFFSET($F1488,(($I$1-1)*-1),0)))</f>
        <v>155.17499999999998</v>
      </c>
      <c r="J1488" s="6">
        <f ca="1">IF(ROW($J1488)-1&lt;$K$1,$F1488,AVERAGE($F1488:OFFSET($F1488,(($K$1-1)*-1),0)))</f>
        <v>161.60357142857146</v>
      </c>
      <c r="L1488" s="7">
        <f t="shared" ca="1" si="138"/>
        <v>-1</v>
      </c>
      <c r="M1488" s="7" t="str">
        <f t="shared" ca="1" si="139"/>
        <v/>
      </c>
      <c r="N1488" s="6" t="str">
        <f t="shared" ca="1" si="140"/>
        <v/>
      </c>
      <c r="O1488" s="6">
        <f t="shared" si="141"/>
        <v>0.25</v>
      </c>
      <c r="Q1488" s="6">
        <v>19.799999999999983</v>
      </c>
      <c r="R1488" s="9">
        <f t="shared" si="142"/>
        <v>7424.9999999999936</v>
      </c>
      <c r="S1488" s="7">
        <f t="shared" ref="S1488:S1511" si="143">S1487+(P1488*375)</f>
        <v>4387.5000000000218</v>
      </c>
    </row>
    <row r="1489" spans="1:19" x14ac:dyDescent="0.25">
      <c r="A1489" s="4">
        <f>Sheet1!A1489</f>
        <v>41241</v>
      </c>
      <c r="B1489" s="5">
        <f>Sheet1!B1489</f>
        <v>0.58333333333333337</v>
      </c>
      <c r="C1489" s="6">
        <f>Sheet1!C1489</f>
        <v>151.94999999999999</v>
      </c>
      <c r="D1489" s="6">
        <f>Sheet1!D1489</f>
        <v>158.5</v>
      </c>
      <c r="E1489" s="6">
        <f>Sheet1!E1489</f>
        <v>150.25</v>
      </c>
      <c r="F1489" s="6">
        <f>Sheet1!F1489</f>
        <v>158</v>
      </c>
      <c r="H1489" s="6">
        <f ca="1">IF(ROW($H1489)-1&lt;$I$1,$F1489,AVERAGE($F1489:OFFSET($F1489,(($I$1-1)*-1),0)))</f>
        <v>154.75</v>
      </c>
      <c r="J1489" s="6">
        <f ca="1">IF(ROW($J1489)-1&lt;$K$1,$F1489,AVERAGE($F1489:OFFSET($F1489,(($K$1-1)*-1),0)))</f>
        <v>161.26785714285714</v>
      </c>
      <c r="L1489" s="7">
        <f t="shared" ca="1" si="138"/>
        <v>-1</v>
      </c>
      <c r="M1489" s="7" t="str">
        <f t="shared" ca="1" si="139"/>
        <v/>
      </c>
      <c r="N1489" s="6" t="str">
        <f t="shared" ca="1" si="140"/>
        <v/>
      </c>
      <c r="O1489" s="6">
        <f t="shared" si="141"/>
        <v>5.6999999999999886</v>
      </c>
      <c r="Q1489" s="6">
        <v>14.099999999999994</v>
      </c>
      <c r="R1489" s="9">
        <f t="shared" si="142"/>
        <v>5287.4999999999982</v>
      </c>
      <c r="S1489" s="7">
        <f t="shared" si="143"/>
        <v>4387.5000000000218</v>
      </c>
    </row>
    <row r="1490" spans="1:19" x14ac:dyDescent="0.25">
      <c r="A1490" s="4">
        <f>Sheet1!A1490</f>
        <v>41242</v>
      </c>
      <c r="B1490" s="5">
        <f>Sheet1!B1490</f>
        <v>0.58333333333333337</v>
      </c>
      <c r="C1490" s="6">
        <f>Sheet1!C1490</f>
        <v>157.65</v>
      </c>
      <c r="D1490" s="6">
        <f>Sheet1!D1490</f>
        <v>160.30000000000001</v>
      </c>
      <c r="E1490" s="6">
        <f>Sheet1!E1490</f>
        <v>156.65</v>
      </c>
      <c r="F1490" s="6">
        <f>Sheet1!F1490</f>
        <v>159.55000000000001</v>
      </c>
      <c r="H1490" s="6">
        <f ca="1">IF(ROW($H1490)-1&lt;$I$1,$F1490,AVERAGE($F1490:OFFSET($F1490,(($I$1-1)*-1),0)))</f>
        <v>155.40833333333333</v>
      </c>
      <c r="J1490" s="6">
        <f ca="1">IF(ROW($J1490)-1&lt;$K$1,$F1490,AVERAGE($F1490:OFFSET($F1490,(($K$1-1)*-1),0)))</f>
        <v>160.87857142857143</v>
      </c>
      <c r="L1490" s="7">
        <f t="shared" ca="1" si="138"/>
        <v>-1</v>
      </c>
      <c r="M1490" s="7" t="str">
        <f t="shared" ca="1" si="139"/>
        <v/>
      </c>
      <c r="N1490" s="6" t="str">
        <f t="shared" ca="1" si="140"/>
        <v/>
      </c>
      <c r="O1490" s="6">
        <f t="shared" si="141"/>
        <v>1.5500000000000114</v>
      </c>
      <c r="Q1490" s="6">
        <v>12.549999999999983</v>
      </c>
      <c r="R1490" s="9">
        <f t="shared" si="142"/>
        <v>4706.2499999999936</v>
      </c>
      <c r="S1490" s="7">
        <f t="shared" si="143"/>
        <v>4387.5000000000218</v>
      </c>
    </row>
    <row r="1491" spans="1:19" x14ac:dyDescent="0.25">
      <c r="A1491" s="4">
        <f>Sheet1!A1491</f>
        <v>41243</v>
      </c>
      <c r="B1491" s="5">
        <f>Sheet1!B1491</f>
        <v>0.58333333333333337</v>
      </c>
      <c r="C1491" s="6">
        <f>Sheet1!C1491</f>
        <v>158.44999999999999</v>
      </c>
      <c r="D1491" s="6">
        <f>Sheet1!D1491</f>
        <v>159.35</v>
      </c>
      <c r="E1491" s="6">
        <f>Sheet1!E1491</f>
        <v>152.75</v>
      </c>
      <c r="F1491" s="6">
        <f>Sheet1!F1491</f>
        <v>153.75</v>
      </c>
      <c r="H1491" s="6">
        <f ca="1">IF(ROW($H1491)-1&lt;$I$1,$F1491,AVERAGE($F1491:OFFSET($F1491,(($I$1-1)*-1),0)))</f>
        <v>154.93333333333331</v>
      </c>
      <c r="J1491" s="6">
        <f ca="1">IF(ROW($J1491)-1&lt;$K$1,$F1491,AVERAGE($F1491:OFFSET($F1491,(($K$1-1)*-1),0)))</f>
        <v>160.18035714285716</v>
      </c>
      <c r="L1491" s="7">
        <f t="shared" ca="1" si="138"/>
        <v>-1</v>
      </c>
      <c r="M1491" s="7" t="str">
        <f t="shared" ca="1" si="139"/>
        <v/>
      </c>
      <c r="N1491" s="6" t="str">
        <f t="shared" ca="1" si="140"/>
        <v/>
      </c>
      <c r="O1491" s="6">
        <f t="shared" si="141"/>
        <v>-5.8000000000000114</v>
      </c>
      <c r="Q1491" s="6">
        <v>18.349999999999994</v>
      </c>
      <c r="R1491" s="9">
        <f t="shared" si="142"/>
        <v>6881.2499999999982</v>
      </c>
      <c r="S1491" s="7">
        <f t="shared" si="143"/>
        <v>4387.5000000000218</v>
      </c>
    </row>
    <row r="1492" spans="1:19" x14ac:dyDescent="0.25">
      <c r="A1492" s="4">
        <f>Sheet1!A1492</f>
        <v>41246</v>
      </c>
      <c r="B1492" s="5">
        <f>Sheet1!B1492</f>
        <v>0.58333333333333337</v>
      </c>
      <c r="C1492" s="6">
        <f>Sheet1!C1492</f>
        <v>153.75</v>
      </c>
      <c r="D1492" s="6">
        <f>Sheet1!D1492</f>
        <v>156.30000000000001</v>
      </c>
      <c r="E1492" s="6">
        <f>Sheet1!E1492</f>
        <v>152.05000000000001</v>
      </c>
      <c r="F1492" s="6">
        <f>Sheet1!F1492</f>
        <v>153.85</v>
      </c>
      <c r="H1492" s="6">
        <f ca="1">IF(ROW($H1492)-1&lt;$I$1,$F1492,AVERAGE($F1492:OFFSET($F1492,(($I$1-1)*-1),0)))</f>
        <v>154.91666666666669</v>
      </c>
      <c r="J1492" s="6">
        <f ca="1">IF(ROW($J1492)-1&lt;$K$1,$F1492,AVERAGE($F1492:OFFSET($F1492,(($K$1-1)*-1),0)))</f>
        <v>159.61607142857147</v>
      </c>
      <c r="L1492" s="7">
        <f t="shared" ca="1" si="138"/>
        <v>-1</v>
      </c>
      <c r="M1492" s="7" t="str">
        <f t="shared" ca="1" si="139"/>
        <v/>
      </c>
      <c r="N1492" s="6" t="str">
        <f t="shared" ca="1" si="140"/>
        <v/>
      </c>
      <c r="O1492" s="6">
        <f t="shared" si="141"/>
        <v>9.9999999999994316E-2</v>
      </c>
      <c r="Q1492" s="6">
        <v>18.25</v>
      </c>
      <c r="R1492" s="9">
        <f t="shared" si="142"/>
        <v>6843.75</v>
      </c>
      <c r="S1492" s="7">
        <f t="shared" si="143"/>
        <v>4387.5000000000218</v>
      </c>
    </row>
    <row r="1493" spans="1:19" x14ac:dyDescent="0.25">
      <c r="A1493" s="4">
        <f>Sheet1!A1493</f>
        <v>41247</v>
      </c>
      <c r="B1493" s="5">
        <f>Sheet1!B1493</f>
        <v>0.58333333333333337</v>
      </c>
      <c r="C1493" s="6">
        <f>Sheet1!C1493</f>
        <v>153.15</v>
      </c>
      <c r="D1493" s="6">
        <f>Sheet1!D1493</f>
        <v>155.30000000000001</v>
      </c>
      <c r="E1493" s="6">
        <f>Sheet1!E1493</f>
        <v>150.25</v>
      </c>
      <c r="F1493" s="6">
        <f>Sheet1!F1493</f>
        <v>151.5</v>
      </c>
      <c r="H1493" s="6">
        <f ca="1">IF(ROW($H1493)-1&lt;$I$1,$F1493,AVERAGE($F1493:OFFSET($F1493,(($I$1-1)*-1),0)))</f>
        <v>154.82500000000002</v>
      </c>
      <c r="J1493" s="6">
        <f ca="1">IF(ROW($J1493)-1&lt;$K$1,$F1493,AVERAGE($F1493:OFFSET($F1493,(($K$1-1)*-1),0)))</f>
        <v>159.00535714285721</v>
      </c>
      <c r="L1493" s="7">
        <f t="shared" ca="1" si="138"/>
        <v>-1</v>
      </c>
      <c r="M1493" s="7" t="str">
        <f t="shared" ca="1" si="139"/>
        <v/>
      </c>
      <c r="N1493" s="6" t="str">
        <f t="shared" ca="1" si="140"/>
        <v/>
      </c>
      <c r="O1493" s="6">
        <f t="shared" si="141"/>
        <v>-2.3499999999999943</v>
      </c>
      <c r="Q1493" s="6">
        <v>20.599999999999994</v>
      </c>
      <c r="R1493" s="9">
        <f t="shared" si="142"/>
        <v>7724.9999999999982</v>
      </c>
      <c r="S1493" s="7">
        <f t="shared" si="143"/>
        <v>4387.5000000000218</v>
      </c>
    </row>
    <row r="1494" spans="1:19" x14ac:dyDescent="0.25">
      <c r="A1494" s="4">
        <f>Sheet1!A1494</f>
        <v>41248</v>
      </c>
      <c r="B1494" s="5">
        <f>Sheet1!B1494</f>
        <v>0.58333333333333337</v>
      </c>
      <c r="C1494" s="6">
        <f>Sheet1!C1494</f>
        <v>151.5</v>
      </c>
      <c r="D1494" s="6">
        <f>Sheet1!D1494</f>
        <v>152.9</v>
      </c>
      <c r="E1494" s="6">
        <f>Sheet1!E1494</f>
        <v>149.5</v>
      </c>
      <c r="F1494" s="6">
        <f>Sheet1!F1494</f>
        <v>152.25</v>
      </c>
      <c r="H1494" s="6">
        <f ca="1">IF(ROW($H1494)-1&lt;$I$1,$F1494,AVERAGE($F1494:OFFSET($F1494,(($I$1-1)*-1),0)))</f>
        <v>154.81666666666666</v>
      </c>
      <c r="J1494" s="6">
        <f ca="1">IF(ROW($J1494)-1&lt;$K$1,$F1494,AVERAGE($F1494:OFFSET($F1494,(($K$1-1)*-1),0)))</f>
        <v>158.37857142857146</v>
      </c>
      <c r="L1494" s="7">
        <f t="shared" ca="1" si="138"/>
        <v>-1</v>
      </c>
      <c r="M1494" s="7" t="str">
        <f t="shared" ca="1" si="139"/>
        <v/>
      </c>
      <c r="N1494" s="6" t="str">
        <f t="shared" ca="1" si="140"/>
        <v/>
      </c>
      <c r="O1494" s="6">
        <f t="shared" si="141"/>
        <v>0.75</v>
      </c>
      <c r="Q1494" s="6">
        <v>19.849999999999994</v>
      </c>
      <c r="R1494" s="9">
        <f t="shared" si="142"/>
        <v>7443.7499999999982</v>
      </c>
      <c r="S1494" s="7">
        <f t="shared" si="143"/>
        <v>4387.5000000000218</v>
      </c>
    </row>
    <row r="1495" spans="1:19" x14ac:dyDescent="0.25">
      <c r="A1495" s="4">
        <f>Sheet1!A1495</f>
        <v>41249</v>
      </c>
      <c r="B1495" s="5">
        <f>Sheet1!B1495</f>
        <v>0.58333333333333337</v>
      </c>
      <c r="C1495" s="6">
        <f>Sheet1!C1495</f>
        <v>152.85</v>
      </c>
      <c r="D1495" s="6">
        <f>Sheet1!D1495</f>
        <v>154.65</v>
      </c>
      <c r="E1495" s="6">
        <f>Sheet1!E1495</f>
        <v>152.15</v>
      </c>
      <c r="F1495" s="6">
        <f>Sheet1!F1495</f>
        <v>154.1</v>
      </c>
      <c r="H1495" s="6">
        <f ca="1">IF(ROW($H1495)-1&lt;$I$1,$F1495,AVERAGE($F1495:OFFSET($F1495,(($I$1-1)*-1),0)))</f>
        <v>154.16666666666666</v>
      </c>
      <c r="J1495" s="6">
        <f ca="1">IF(ROW($J1495)-1&lt;$K$1,$F1495,AVERAGE($F1495:OFFSET($F1495,(($K$1-1)*-1),0)))</f>
        <v>157.93392857142862</v>
      </c>
      <c r="L1495" s="7">
        <f t="shared" ca="1" si="138"/>
        <v>-1</v>
      </c>
      <c r="M1495" s="7" t="str">
        <f t="shared" ca="1" si="139"/>
        <v/>
      </c>
      <c r="N1495" s="6" t="str">
        <f t="shared" ca="1" si="140"/>
        <v/>
      </c>
      <c r="O1495" s="6">
        <f t="shared" si="141"/>
        <v>1.8499999999999943</v>
      </c>
      <c r="Q1495" s="6">
        <v>18</v>
      </c>
      <c r="R1495" s="9">
        <f t="shared" si="142"/>
        <v>6750</v>
      </c>
      <c r="S1495" s="7">
        <f t="shared" si="143"/>
        <v>4387.5000000000218</v>
      </c>
    </row>
    <row r="1496" spans="1:19" x14ac:dyDescent="0.25">
      <c r="A1496" s="4">
        <f>Sheet1!A1496</f>
        <v>41250</v>
      </c>
      <c r="B1496" s="5">
        <f>Sheet1!B1496</f>
        <v>0.58333333333333337</v>
      </c>
      <c r="C1496" s="6">
        <f>Sheet1!C1496</f>
        <v>153.80000000000001</v>
      </c>
      <c r="D1496" s="6">
        <f>Sheet1!D1496</f>
        <v>158.30000000000001</v>
      </c>
      <c r="E1496" s="6">
        <f>Sheet1!E1496</f>
        <v>152.44999999999999</v>
      </c>
      <c r="F1496" s="6">
        <f>Sheet1!F1496</f>
        <v>157</v>
      </c>
      <c r="H1496" s="6">
        <f ca="1">IF(ROW($H1496)-1&lt;$I$1,$F1496,AVERAGE($F1496:OFFSET($F1496,(($I$1-1)*-1),0)))</f>
        <v>153.74166666666667</v>
      </c>
      <c r="J1496" s="6">
        <f ca="1">IF(ROW($J1496)-1&lt;$K$1,$F1496,AVERAGE($F1496:OFFSET($F1496,(($K$1-1)*-1),0)))</f>
        <v>157.45357142857145</v>
      </c>
      <c r="L1496" s="7">
        <f t="shared" ca="1" si="138"/>
        <v>-1</v>
      </c>
      <c r="M1496" s="7" t="str">
        <f t="shared" ca="1" si="139"/>
        <v/>
      </c>
      <c r="N1496" s="6" t="str">
        <f t="shared" ca="1" si="140"/>
        <v/>
      </c>
      <c r="O1496" s="6">
        <f t="shared" si="141"/>
        <v>2.9000000000000057</v>
      </c>
      <c r="Q1496" s="6">
        <v>15.099999999999994</v>
      </c>
      <c r="R1496" s="9">
        <f t="shared" si="142"/>
        <v>5662.4999999999982</v>
      </c>
      <c r="S1496" s="7">
        <f t="shared" si="143"/>
        <v>4387.5000000000218</v>
      </c>
    </row>
    <row r="1497" spans="1:19" x14ac:dyDescent="0.25">
      <c r="A1497" s="4">
        <f>Sheet1!A1497</f>
        <v>41253</v>
      </c>
      <c r="B1497" s="5">
        <f>Sheet1!B1497</f>
        <v>0.58333333333333337</v>
      </c>
      <c r="C1497" s="6">
        <f>Sheet1!C1497</f>
        <v>155.55000000000001</v>
      </c>
      <c r="D1497" s="6">
        <f>Sheet1!D1497</f>
        <v>156.85</v>
      </c>
      <c r="E1497" s="6">
        <f>Sheet1!E1497</f>
        <v>149.69999999999999</v>
      </c>
      <c r="F1497" s="6">
        <f>Sheet1!F1497</f>
        <v>150.15</v>
      </c>
      <c r="H1497" s="6">
        <f ca="1">IF(ROW($H1497)-1&lt;$I$1,$F1497,AVERAGE($F1497:OFFSET($F1497,(($I$1-1)*-1),0)))</f>
        <v>153.14166666666668</v>
      </c>
      <c r="J1497" s="6">
        <f ca="1">IF(ROW($J1497)-1&lt;$K$1,$F1497,AVERAGE($F1497:OFFSET($F1497,(($K$1-1)*-1),0)))</f>
        <v>156.88750000000002</v>
      </c>
      <c r="L1497" s="7">
        <f t="shared" ca="1" si="138"/>
        <v>-1</v>
      </c>
      <c r="M1497" s="7" t="str">
        <f t="shared" ca="1" si="139"/>
        <v/>
      </c>
      <c r="N1497" s="6" t="str">
        <f t="shared" ca="1" si="140"/>
        <v/>
      </c>
      <c r="O1497" s="6">
        <f t="shared" si="141"/>
        <v>-6.8499999999999943</v>
      </c>
      <c r="Q1497" s="6">
        <v>21.949999999999989</v>
      </c>
      <c r="R1497" s="9">
        <f t="shared" si="142"/>
        <v>8231.2499999999964</v>
      </c>
      <c r="S1497" s="7">
        <f t="shared" si="143"/>
        <v>4387.5000000000218</v>
      </c>
    </row>
    <row r="1498" spans="1:19" x14ac:dyDescent="0.25">
      <c r="A1498" s="4">
        <f>Sheet1!A1498</f>
        <v>41254</v>
      </c>
      <c r="B1498" s="5">
        <f>Sheet1!B1498</f>
        <v>0.58333333333333337</v>
      </c>
      <c r="C1498" s="6">
        <f>Sheet1!C1498</f>
        <v>150.55000000000001</v>
      </c>
      <c r="D1498" s="6">
        <f>Sheet1!D1498</f>
        <v>153.4</v>
      </c>
      <c r="E1498" s="6">
        <f>Sheet1!E1498</f>
        <v>149.9</v>
      </c>
      <c r="F1498" s="6">
        <f>Sheet1!F1498</f>
        <v>152.65</v>
      </c>
      <c r="H1498" s="6">
        <f ca="1">IF(ROW($H1498)-1&lt;$I$1,$F1498,AVERAGE($F1498:OFFSET($F1498,(($I$1-1)*-1),0)))</f>
        <v>152.94166666666666</v>
      </c>
      <c r="J1498" s="6">
        <f ca="1">IF(ROW($J1498)-1&lt;$K$1,$F1498,AVERAGE($F1498:OFFSET($F1498,(($K$1-1)*-1),0)))</f>
        <v>156.50178571428572</v>
      </c>
      <c r="L1498" s="7">
        <f t="shared" ca="1" si="138"/>
        <v>-1</v>
      </c>
      <c r="M1498" s="7" t="str">
        <f t="shared" ca="1" si="139"/>
        <v/>
      </c>
      <c r="N1498" s="6" t="str">
        <f t="shared" ca="1" si="140"/>
        <v/>
      </c>
      <c r="O1498" s="6">
        <f t="shared" si="141"/>
        <v>2.5</v>
      </c>
      <c r="Q1498" s="6">
        <v>19.449999999999989</v>
      </c>
      <c r="R1498" s="9">
        <f t="shared" si="142"/>
        <v>7293.7499999999955</v>
      </c>
      <c r="S1498" s="7">
        <f t="shared" si="143"/>
        <v>4387.5000000000218</v>
      </c>
    </row>
    <row r="1499" spans="1:19" x14ac:dyDescent="0.25">
      <c r="A1499" s="4">
        <f>Sheet1!A1499</f>
        <v>41255</v>
      </c>
      <c r="B1499" s="5">
        <f>Sheet1!B1499</f>
        <v>0.58333333333333337</v>
      </c>
      <c r="C1499" s="6">
        <f>Sheet1!C1499</f>
        <v>152.19999999999999</v>
      </c>
      <c r="D1499" s="6">
        <f>Sheet1!D1499</f>
        <v>153.15</v>
      </c>
      <c r="E1499" s="6">
        <f>Sheet1!E1499</f>
        <v>149.25</v>
      </c>
      <c r="F1499" s="6">
        <f>Sheet1!F1499</f>
        <v>149.65</v>
      </c>
      <c r="H1499" s="6">
        <f ca="1">IF(ROW($H1499)-1&lt;$I$1,$F1499,AVERAGE($F1499:OFFSET($F1499,(($I$1-1)*-1),0)))</f>
        <v>152.63333333333333</v>
      </c>
      <c r="J1499" s="6">
        <f ca="1">IF(ROW($J1499)-1&lt;$K$1,$F1499,AVERAGE($F1499:OFFSET($F1499,(($K$1-1)*-1),0)))</f>
        <v>156.0517857142857</v>
      </c>
      <c r="L1499" s="7">
        <f t="shared" ca="1" si="138"/>
        <v>-1</v>
      </c>
      <c r="M1499" s="7" t="str">
        <f t="shared" ca="1" si="139"/>
        <v/>
      </c>
      <c r="N1499" s="6" t="str">
        <f t="shared" ca="1" si="140"/>
        <v/>
      </c>
      <c r="O1499" s="6">
        <f t="shared" si="141"/>
        <v>-3</v>
      </c>
      <c r="Q1499" s="6">
        <v>22.449999999999989</v>
      </c>
      <c r="R1499" s="9">
        <f t="shared" si="142"/>
        <v>8418.7499999999964</v>
      </c>
      <c r="S1499" s="7">
        <f t="shared" si="143"/>
        <v>4387.5000000000218</v>
      </c>
    </row>
    <row r="1500" spans="1:19" x14ac:dyDescent="0.25">
      <c r="A1500" s="4">
        <f>Sheet1!A1500</f>
        <v>41256</v>
      </c>
      <c r="B1500" s="5">
        <f>Sheet1!B1500</f>
        <v>0.58333333333333337</v>
      </c>
      <c r="C1500" s="6">
        <f>Sheet1!C1500</f>
        <v>149.69999999999999</v>
      </c>
      <c r="D1500" s="6">
        <f>Sheet1!D1500</f>
        <v>150.05000000000001</v>
      </c>
      <c r="E1500" s="6">
        <f>Sheet1!E1500</f>
        <v>146.4</v>
      </c>
      <c r="F1500" s="6">
        <f>Sheet1!F1500</f>
        <v>146.75</v>
      </c>
      <c r="H1500" s="6">
        <f ca="1">IF(ROW($H1500)-1&lt;$I$1,$F1500,AVERAGE($F1500:OFFSET($F1500,(($I$1-1)*-1),0)))</f>
        <v>151.71666666666667</v>
      </c>
      <c r="J1500" s="6">
        <f ca="1">IF(ROW($J1500)-1&lt;$K$1,$F1500,AVERAGE($F1500:OFFSET($F1500,(($K$1-1)*-1),0)))</f>
        <v>155.45357142857145</v>
      </c>
      <c r="L1500" s="7">
        <f t="shared" ca="1" si="138"/>
        <v>-1</v>
      </c>
      <c r="M1500" s="7" t="str">
        <f t="shared" ca="1" si="139"/>
        <v/>
      </c>
      <c r="N1500" s="6" t="str">
        <f t="shared" ca="1" si="140"/>
        <v/>
      </c>
      <c r="O1500" s="6">
        <f t="shared" si="141"/>
        <v>-2.9000000000000057</v>
      </c>
      <c r="Q1500" s="6">
        <v>25.349999999999994</v>
      </c>
      <c r="R1500" s="9">
        <f t="shared" si="142"/>
        <v>9506.2499999999982</v>
      </c>
      <c r="S1500" s="7">
        <f t="shared" si="143"/>
        <v>4387.5000000000218</v>
      </c>
    </row>
    <row r="1501" spans="1:19" x14ac:dyDescent="0.25">
      <c r="A1501" s="4">
        <f>Sheet1!A1501</f>
        <v>41257</v>
      </c>
      <c r="B1501" s="5">
        <f>Sheet1!B1501</f>
        <v>0.58333333333333337</v>
      </c>
      <c r="C1501" s="6">
        <f>Sheet1!C1501</f>
        <v>146.75</v>
      </c>
      <c r="D1501" s="6">
        <f>Sheet1!D1501</f>
        <v>148.69999999999999</v>
      </c>
      <c r="E1501" s="6">
        <f>Sheet1!E1501</f>
        <v>145.35</v>
      </c>
      <c r="F1501" s="6">
        <f>Sheet1!F1501</f>
        <v>146.30000000000001</v>
      </c>
      <c r="H1501" s="6">
        <f ca="1">IF(ROW($H1501)-1&lt;$I$1,$F1501,AVERAGE($F1501:OFFSET($F1501,(($I$1-1)*-1),0)))</f>
        <v>150.41666666666666</v>
      </c>
      <c r="J1501" s="6">
        <f ca="1">IF(ROW($J1501)-1&lt;$K$1,$F1501,AVERAGE($F1501:OFFSET($F1501,(($K$1-1)*-1),0)))</f>
        <v>154.97499999999999</v>
      </c>
      <c r="L1501" s="7">
        <f t="shared" ca="1" si="138"/>
        <v>-1</v>
      </c>
      <c r="M1501" s="7" t="str">
        <f t="shared" ca="1" si="139"/>
        <v/>
      </c>
      <c r="N1501" s="6" t="str">
        <f t="shared" ca="1" si="140"/>
        <v/>
      </c>
      <c r="O1501" s="6">
        <f t="shared" si="141"/>
        <v>-0.44999999999998863</v>
      </c>
      <c r="Q1501" s="6">
        <v>25.799999999999983</v>
      </c>
      <c r="R1501" s="9">
        <f t="shared" si="142"/>
        <v>9674.9999999999927</v>
      </c>
      <c r="S1501" s="7">
        <f t="shared" si="143"/>
        <v>4387.5000000000218</v>
      </c>
    </row>
    <row r="1502" spans="1:19" x14ac:dyDescent="0.25">
      <c r="A1502" s="4">
        <f>Sheet1!A1502</f>
        <v>41260</v>
      </c>
      <c r="B1502" s="5">
        <f>Sheet1!B1502</f>
        <v>0.58333333333333337</v>
      </c>
      <c r="C1502" s="6">
        <f>Sheet1!C1502</f>
        <v>146.30000000000001</v>
      </c>
      <c r="D1502" s="6">
        <f>Sheet1!D1502</f>
        <v>149.30000000000001</v>
      </c>
      <c r="E1502" s="6">
        <f>Sheet1!E1502</f>
        <v>146.25</v>
      </c>
      <c r="F1502" s="6">
        <f>Sheet1!F1502</f>
        <v>149.1</v>
      </c>
      <c r="H1502" s="6">
        <f ca="1">IF(ROW($H1502)-1&lt;$I$1,$F1502,AVERAGE($F1502:OFFSET($F1502,(($I$1-1)*-1),0)))</f>
        <v>149.1</v>
      </c>
      <c r="J1502" s="6">
        <f ca="1">IF(ROW($J1502)-1&lt;$K$1,$F1502,AVERAGE($F1502:OFFSET($F1502,(($K$1-1)*-1),0)))</f>
        <v>154.60714285714289</v>
      </c>
      <c r="L1502" s="7">
        <f t="shared" ca="1" si="138"/>
        <v>-1</v>
      </c>
      <c r="M1502" s="7" t="str">
        <f t="shared" ca="1" si="139"/>
        <v/>
      </c>
      <c r="N1502" s="6" t="str">
        <f t="shared" ca="1" si="140"/>
        <v/>
      </c>
      <c r="O1502" s="6">
        <f t="shared" si="141"/>
        <v>2.7999999999999829</v>
      </c>
      <c r="Q1502" s="6">
        <v>23</v>
      </c>
      <c r="R1502" s="9">
        <f t="shared" si="142"/>
        <v>8625</v>
      </c>
      <c r="S1502" s="7">
        <f t="shared" si="143"/>
        <v>4387.5000000000218</v>
      </c>
    </row>
    <row r="1503" spans="1:19" x14ac:dyDescent="0.25">
      <c r="A1503" s="4">
        <f>Sheet1!A1503</f>
        <v>41261</v>
      </c>
      <c r="B1503" s="5">
        <f>Sheet1!B1503</f>
        <v>0.58333333333333337</v>
      </c>
      <c r="C1503" s="6">
        <f>Sheet1!C1503</f>
        <v>148.19999999999999</v>
      </c>
      <c r="D1503" s="6">
        <f>Sheet1!D1503</f>
        <v>151.15</v>
      </c>
      <c r="E1503" s="6">
        <f>Sheet1!E1503</f>
        <v>146.5</v>
      </c>
      <c r="F1503" s="6">
        <f>Sheet1!F1503</f>
        <v>147.15</v>
      </c>
      <c r="H1503" s="6">
        <f ca="1">IF(ROW($H1503)-1&lt;$I$1,$F1503,AVERAGE($F1503:OFFSET($F1503,(($I$1-1)*-1),0)))</f>
        <v>148.6</v>
      </c>
      <c r="J1503" s="6">
        <f ca="1">IF(ROW($J1503)-1&lt;$K$1,$F1503,AVERAGE($F1503:OFFSET($F1503,(($K$1-1)*-1),0)))</f>
        <v>154.14821428571426</v>
      </c>
      <c r="L1503" s="7">
        <f t="shared" ca="1" si="138"/>
        <v>-1</v>
      </c>
      <c r="M1503" s="7" t="str">
        <f t="shared" ca="1" si="139"/>
        <v/>
      </c>
      <c r="N1503" s="6" t="str">
        <f t="shared" ca="1" si="140"/>
        <v/>
      </c>
      <c r="O1503" s="6">
        <f t="shared" si="141"/>
        <v>-1.9499999999999886</v>
      </c>
      <c r="Q1503" s="6">
        <v>24.949999999999989</v>
      </c>
      <c r="R1503" s="9">
        <f t="shared" si="142"/>
        <v>9356.2499999999964</v>
      </c>
      <c r="S1503" s="7">
        <f t="shared" si="143"/>
        <v>4387.5000000000218</v>
      </c>
    </row>
    <row r="1504" spans="1:19" x14ac:dyDescent="0.25">
      <c r="A1504" s="4">
        <f>Sheet1!A1504</f>
        <v>41262</v>
      </c>
      <c r="B1504" s="5">
        <f>Sheet1!B1504</f>
        <v>0.58333333333333337</v>
      </c>
      <c r="C1504" s="6">
        <f>Sheet1!C1504</f>
        <v>146.69999999999999</v>
      </c>
      <c r="D1504" s="6">
        <f>Sheet1!D1504</f>
        <v>149</v>
      </c>
      <c r="E1504" s="6">
        <f>Sheet1!E1504</f>
        <v>145.85</v>
      </c>
      <c r="F1504" s="6">
        <f>Sheet1!F1504</f>
        <v>148.05000000000001</v>
      </c>
      <c r="H1504" s="6">
        <f ca="1">IF(ROW($H1504)-1&lt;$I$1,$F1504,AVERAGE($F1504:OFFSET($F1504,(($I$1-1)*-1),0)))</f>
        <v>147.83333333333334</v>
      </c>
      <c r="J1504" s="6">
        <f ca="1">IF(ROW($J1504)-1&lt;$K$1,$F1504,AVERAGE($F1504:OFFSET($F1504,(($K$1-1)*-1),0)))</f>
        <v>153.71428571428572</v>
      </c>
      <c r="L1504" s="7">
        <f t="shared" ca="1" si="138"/>
        <v>-1</v>
      </c>
      <c r="M1504" s="7" t="str">
        <f t="shared" ca="1" si="139"/>
        <v/>
      </c>
      <c r="N1504" s="6" t="str">
        <f t="shared" ca="1" si="140"/>
        <v/>
      </c>
      <c r="O1504" s="6">
        <f t="shared" si="141"/>
        <v>0.90000000000000568</v>
      </c>
      <c r="Q1504" s="6">
        <v>24.049999999999983</v>
      </c>
      <c r="R1504" s="9">
        <f t="shared" si="142"/>
        <v>9018.7499999999927</v>
      </c>
      <c r="S1504" s="7">
        <f t="shared" si="143"/>
        <v>4387.5000000000218</v>
      </c>
    </row>
    <row r="1505" spans="1:19" x14ac:dyDescent="0.25">
      <c r="A1505" s="4">
        <f>Sheet1!A1505</f>
        <v>41263</v>
      </c>
      <c r="B1505" s="5">
        <f>Sheet1!B1505</f>
        <v>0.58333333333333337</v>
      </c>
      <c r="C1505" s="6">
        <f>Sheet1!C1505</f>
        <v>148.15</v>
      </c>
      <c r="D1505" s="6">
        <f>Sheet1!D1505</f>
        <v>149.4</v>
      </c>
      <c r="E1505" s="6">
        <f>Sheet1!E1505</f>
        <v>144.94999999999999</v>
      </c>
      <c r="F1505" s="6">
        <f>Sheet1!F1505</f>
        <v>146.1</v>
      </c>
      <c r="H1505" s="6">
        <f ca="1">IF(ROW($H1505)-1&lt;$I$1,$F1505,AVERAGE($F1505:OFFSET($F1505,(($I$1-1)*-1),0)))</f>
        <v>147.24166666666665</v>
      </c>
      <c r="J1505" s="6">
        <f ca="1">IF(ROW($J1505)-1&lt;$K$1,$F1505,AVERAGE($F1505:OFFSET($F1505,(($K$1-1)*-1),0)))</f>
        <v>153.26428571428573</v>
      </c>
      <c r="L1505" s="7">
        <f t="shared" ca="1" si="138"/>
        <v>-1</v>
      </c>
      <c r="M1505" s="7" t="str">
        <f t="shared" ca="1" si="139"/>
        <v/>
      </c>
      <c r="N1505" s="6" t="str">
        <f t="shared" ca="1" si="140"/>
        <v/>
      </c>
      <c r="O1505" s="6">
        <f t="shared" si="141"/>
        <v>-1.9500000000000171</v>
      </c>
      <c r="Q1505" s="6">
        <v>26</v>
      </c>
      <c r="R1505" s="9">
        <f t="shared" si="142"/>
        <v>9750</v>
      </c>
      <c r="S1505" s="7">
        <f t="shared" si="143"/>
        <v>4387.5000000000218</v>
      </c>
    </row>
    <row r="1506" spans="1:19" x14ac:dyDescent="0.25">
      <c r="A1506" s="4">
        <f>Sheet1!A1506</f>
        <v>41264</v>
      </c>
      <c r="B1506" s="5">
        <f>Sheet1!B1506</f>
        <v>0.58333333333333337</v>
      </c>
      <c r="C1506" s="6">
        <f>Sheet1!C1506</f>
        <v>146.4</v>
      </c>
      <c r="D1506" s="6">
        <f>Sheet1!D1506</f>
        <v>150</v>
      </c>
      <c r="E1506" s="6">
        <f>Sheet1!E1506</f>
        <v>145</v>
      </c>
      <c r="F1506" s="6">
        <f>Sheet1!F1506</f>
        <v>149.75</v>
      </c>
      <c r="H1506" s="6">
        <f ca="1">IF(ROW($H1506)-1&lt;$I$1,$F1506,AVERAGE($F1506:OFFSET($F1506,(($I$1-1)*-1),0)))</f>
        <v>147.74166666666665</v>
      </c>
      <c r="J1506" s="6">
        <f ca="1">IF(ROW($J1506)-1&lt;$K$1,$F1506,AVERAGE($F1506:OFFSET($F1506,(($K$1-1)*-1),0)))</f>
        <v>152.85000000000005</v>
      </c>
      <c r="L1506" s="7">
        <f t="shared" ca="1" si="138"/>
        <v>-1</v>
      </c>
      <c r="M1506" s="7" t="str">
        <f t="shared" ca="1" si="139"/>
        <v/>
      </c>
      <c r="N1506" s="6" t="str">
        <f t="shared" ca="1" si="140"/>
        <v/>
      </c>
      <c r="O1506" s="6">
        <f t="shared" si="141"/>
        <v>3.6500000000000057</v>
      </c>
      <c r="Q1506" s="6">
        <v>22.349999999999994</v>
      </c>
      <c r="R1506" s="9">
        <f t="shared" si="142"/>
        <v>8381.2499999999982</v>
      </c>
      <c r="S1506" s="7">
        <f t="shared" si="143"/>
        <v>4387.5000000000218</v>
      </c>
    </row>
    <row r="1507" spans="1:19" x14ac:dyDescent="0.25">
      <c r="A1507" s="4">
        <f>Sheet1!A1507</f>
        <v>41267</v>
      </c>
      <c r="B1507" s="5">
        <f>Sheet1!B1507</f>
        <v>0.58333333333333337</v>
      </c>
      <c r="C1507" s="6">
        <f>Sheet1!C1507</f>
        <v>149.75</v>
      </c>
      <c r="D1507" s="6">
        <f>Sheet1!D1507</f>
        <v>151.1</v>
      </c>
      <c r="E1507" s="6">
        <f>Sheet1!E1507</f>
        <v>148.25</v>
      </c>
      <c r="F1507" s="6">
        <f>Sheet1!F1507</f>
        <v>150.15</v>
      </c>
      <c r="H1507" s="6">
        <f ca="1">IF(ROW($H1507)-1&lt;$I$1,$F1507,AVERAGE($F1507:OFFSET($F1507,(($I$1-1)*-1),0)))</f>
        <v>148.38333333333333</v>
      </c>
      <c r="J1507" s="6">
        <f ca="1">IF(ROW($J1507)-1&lt;$K$1,$F1507,AVERAGE($F1507:OFFSET($F1507,(($K$1-1)*-1),0)))</f>
        <v>152.69821428571427</v>
      </c>
      <c r="L1507" s="7">
        <f t="shared" ca="1" si="138"/>
        <v>-1</v>
      </c>
      <c r="M1507" s="7" t="str">
        <f t="shared" ca="1" si="139"/>
        <v/>
      </c>
      <c r="N1507" s="6" t="str">
        <f t="shared" ca="1" si="140"/>
        <v/>
      </c>
      <c r="O1507" s="6">
        <f t="shared" si="141"/>
        <v>0.40000000000000568</v>
      </c>
      <c r="Q1507" s="6">
        <v>21.949999999999989</v>
      </c>
      <c r="R1507" s="9">
        <f t="shared" si="142"/>
        <v>8231.2499999999964</v>
      </c>
      <c r="S1507" s="7">
        <f t="shared" si="143"/>
        <v>4387.5000000000218</v>
      </c>
    </row>
    <row r="1508" spans="1:19" x14ac:dyDescent="0.25">
      <c r="A1508" s="4">
        <f>Sheet1!A1508</f>
        <v>41269</v>
      </c>
      <c r="B1508" s="5">
        <f>Sheet1!B1508</f>
        <v>0.58333333333333337</v>
      </c>
      <c r="C1508" s="6">
        <f>Sheet1!C1508</f>
        <v>150.19999999999999</v>
      </c>
      <c r="D1508" s="6">
        <f>Sheet1!D1508</f>
        <v>152.1</v>
      </c>
      <c r="E1508" s="6">
        <f>Sheet1!E1508</f>
        <v>149</v>
      </c>
      <c r="F1508" s="6">
        <f>Sheet1!F1508</f>
        <v>151.44999999999999</v>
      </c>
      <c r="H1508" s="6">
        <f ca="1">IF(ROW($H1508)-1&lt;$I$1,$F1508,AVERAGE($F1508:OFFSET($F1508,(($I$1-1)*-1),0)))</f>
        <v>148.77500000000001</v>
      </c>
      <c r="J1508" s="6">
        <f ca="1">IF(ROW($J1508)-1&lt;$K$1,$F1508,AVERAGE($F1508:OFFSET($F1508,(($K$1-1)*-1),0)))</f>
        <v>152.53928571428574</v>
      </c>
      <c r="L1508" s="7">
        <f t="shared" ca="1" si="138"/>
        <v>-1</v>
      </c>
      <c r="M1508" s="7" t="str">
        <f t="shared" ca="1" si="139"/>
        <v/>
      </c>
      <c r="N1508" s="6" t="str">
        <f t="shared" ca="1" si="140"/>
        <v/>
      </c>
      <c r="O1508" s="6">
        <f t="shared" si="141"/>
        <v>1.2999999999999829</v>
      </c>
      <c r="Q1508" s="6">
        <v>20.650000000000006</v>
      </c>
      <c r="R1508" s="9">
        <f t="shared" si="142"/>
        <v>7743.7500000000018</v>
      </c>
      <c r="S1508" s="7">
        <f t="shared" si="143"/>
        <v>4387.5000000000218</v>
      </c>
    </row>
    <row r="1509" spans="1:19" x14ac:dyDescent="0.25">
      <c r="A1509" s="4">
        <f>Sheet1!A1509</f>
        <v>41270</v>
      </c>
      <c r="B1509" s="5">
        <f>Sheet1!B1509</f>
        <v>0.58333333333333337</v>
      </c>
      <c r="C1509" s="6">
        <f>Sheet1!C1509</f>
        <v>151.15</v>
      </c>
      <c r="D1509" s="6">
        <f>Sheet1!D1509</f>
        <v>151.9</v>
      </c>
      <c r="E1509" s="6">
        <f>Sheet1!E1509</f>
        <v>149.94999999999999</v>
      </c>
      <c r="F1509" s="6">
        <f>Sheet1!F1509</f>
        <v>151.05000000000001</v>
      </c>
      <c r="H1509" s="6">
        <f ca="1">IF(ROW($H1509)-1&lt;$I$1,$F1509,AVERAGE($F1509:OFFSET($F1509,(($I$1-1)*-1),0)))</f>
        <v>149.42499999999998</v>
      </c>
      <c r="J1509" s="6">
        <f ca="1">IF(ROW($J1509)-1&lt;$K$1,$F1509,AVERAGE($F1509:OFFSET($F1509,(($K$1-1)*-1),0)))</f>
        <v>152.32142857142861</v>
      </c>
      <c r="L1509" s="7">
        <f t="shared" ca="1" si="138"/>
        <v>-1</v>
      </c>
      <c r="M1509" s="7" t="str">
        <f t="shared" ca="1" si="139"/>
        <v/>
      </c>
      <c r="N1509" s="6" t="str">
        <f t="shared" ca="1" si="140"/>
        <v/>
      </c>
      <c r="O1509" s="6">
        <f t="shared" si="141"/>
        <v>-0.39999999999997726</v>
      </c>
      <c r="Q1509" s="6">
        <v>21.049999999999983</v>
      </c>
      <c r="R1509" s="9">
        <f t="shared" si="142"/>
        <v>7893.7499999999936</v>
      </c>
      <c r="S1509" s="7">
        <f t="shared" si="143"/>
        <v>4387.5000000000218</v>
      </c>
    </row>
    <row r="1510" spans="1:19" x14ac:dyDescent="0.25">
      <c r="A1510" s="4">
        <f>Sheet1!A1510</f>
        <v>41271</v>
      </c>
      <c r="B1510" s="5">
        <f>Sheet1!B1510</f>
        <v>0.58333333333333337</v>
      </c>
      <c r="C1510" s="6">
        <f>Sheet1!C1510</f>
        <v>150.19999999999999</v>
      </c>
      <c r="D1510" s="6">
        <f>Sheet1!D1510</f>
        <v>152.4</v>
      </c>
      <c r="E1510" s="6">
        <f>Sheet1!E1510</f>
        <v>148.75</v>
      </c>
      <c r="F1510" s="6">
        <f>Sheet1!F1510</f>
        <v>150</v>
      </c>
      <c r="H1510" s="6">
        <f ca="1">IF(ROW($H1510)-1&lt;$I$1,$F1510,AVERAGE($F1510:OFFSET($F1510,(($I$1-1)*-1),0)))</f>
        <v>149.75</v>
      </c>
      <c r="J1510" s="6">
        <f ca="1">IF(ROW($J1510)-1&lt;$K$1,$F1510,AVERAGE($F1510:OFFSET($F1510,(($K$1-1)*-1),0)))</f>
        <v>152.11964285714288</v>
      </c>
      <c r="L1510" s="7">
        <f t="shared" ca="1" si="138"/>
        <v>-1</v>
      </c>
      <c r="M1510" s="7" t="str">
        <f t="shared" ca="1" si="139"/>
        <v/>
      </c>
      <c r="N1510" s="6" t="str">
        <f t="shared" ca="1" si="140"/>
        <v/>
      </c>
      <c r="O1510" s="6">
        <f t="shared" si="141"/>
        <v>-1.0500000000000114</v>
      </c>
      <c r="Q1510" s="6">
        <v>22.099999999999994</v>
      </c>
      <c r="R1510" s="9">
        <f t="shared" si="142"/>
        <v>8287.4999999999982</v>
      </c>
      <c r="S1510" s="7">
        <f t="shared" si="143"/>
        <v>4387.5000000000218</v>
      </c>
    </row>
    <row r="1511" spans="1:19" x14ac:dyDescent="0.25">
      <c r="A1511" s="4">
        <f>Sheet1!A1511</f>
        <v>41274</v>
      </c>
      <c r="B1511" s="5">
        <f>Sheet1!B1511</f>
        <v>0.58333333333333337</v>
      </c>
      <c r="C1511" s="6">
        <f>Sheet1!C1511</f>
        <v>149.25</v>
      </c>
      <c r="D1511" s="6">
        <f>Sheet1!D1511</f>
        <v>149.4</v>
      </c>
      <c r="E1511" s="6">
        <f>Sheet1!E1511</f>
        <v>144.4</v>
      </c>
      <c r="F1511" s="6">
        <f>Sheet1!F1511</f>
        <v>146.94999999999999</v>
      </c>
      <c r="H1511" s="6">
        <f ca="1">IF(ROW($H1511)-1&lt;$I$1,$F1511,AVERAGE($F1511:OFFSET($F1511,(($I$1-1)*-1),0)))</f>
        <v>149.89166666666665</v>
      </c>
      <c r="J1511" s="6">
        <f ca="1">IF(ROW($J1511)-1&lt;$K$1,$F1511,AVERAGE($F1511:OFFSET($F1511,(($K$1-1)*-1),0)))</f>
        <v>151.63392857142858</v>
      </c>
      <c r="L1511" s="7">
        <f t="shared" ca="1" si="138"/>
        <v>-1</v>
      </c>
      <c r="M1511" s="7" t="str">
        <f t="shared" ca="1" si="139"/>
        <v/>
      </c>
      <c r="N1511" s="6" t="str">
        <f t="shared" ca="1" si="140"/>
        <v/>
      </c>
      <c r="O1511" s="6">
        <f t="shared" si="141"/>
        <v>-3.0500000000000114</v>
      </c>
      <c r="Q1511" s="6">
        <v>25.150000000000006</v>
      </c>
      <c r="R1511" s="9">
        <f t="shared" si="142"/>
        <v>9431.2500000000018</v>
      </c>
      <c r="S1511" s="7">
        <f t="shared" si="143"/>
        <v>4387.5000000000218</v>
      </c>
    </row>
    <row r="1512" spans="1:19" x14ac:dyDescent="0.25">
      <c r="Q1512" s="6"/>
    </row>
  </sheetData>
  <sheetProtection sheet="1" objects="1" scenarios="1"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cket_Click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Sheet1!KC_5yr_Daily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2013-06-16T16:37:41Z</dcterms:modified>
</cp:coreProperties>
</file>